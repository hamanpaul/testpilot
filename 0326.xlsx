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C:\Users\jcin_chan\Desktop\"/>
    </mc:Choice>
  </mc:AlternateContent>
  <xr:revisionPtr revIDLastSave="0" documentId="8_{3CC882B7-7F68-4C03-91AD-7340AD1C5F27}" xr6:coauthVersionLast="47" xr6:coauthVersionMax="47" xr10:uidLastSave="{00000000-0000-0000-0000-000000000000}"/>
  <bookViews>
    <workbookView xWindow="-120" yWindow="-120" windowWidth="29040" windowHeight="15720" tabRatio="863" firstSheet="5" activeTab="5" xr2:uid="{00000000-000D-0000-FFFF-FFFF00000000}"/>
  </bookViews>
  <sheets>
    <sheet name="data_trigger_force_optimize" sheetId="11" state="hidden" r:id="rId1"/>
    <sheet name="op_result(TBD)" sheetId="12" state="hidden" r:id="rId2"/>
    <sheet name="Summary" sheetId="33" r:id="rId3"/>
    <sheet name="QoS_LLAPI" sheetId="32" r:id="rId4"/>
    <sheet name="QoS_Test_Results" sheetId="40" r:id="rId5"/>
    <sheet name="Wifi_LLAPI" sheetId="43" r:id="rId6"/>
    <sheet name="Ethernet_LLAPI" sheetId="37" r:id="rId7"/>
    <sheet name="LED_LLAPI" sheetId="41" r:id="rId8"/>
    <sheet name="prplMesh_Event" sheetId="38" r:id="rId9"/>
    <sheet name="Button_LLAPI" sheetId="42" r:id="rId10"/>
    <sheet name="XPON_LLAPI" sheetId="45" r:id="rId11"/>
    <sheet name="SFP_LLAPI" sheetId="47" r:id="rId12"/>
    <sheet name="CS00012439197 mod-whm-brcm" sheetId="48" r:id="rId13"/>
  </sheets>
  <definedNames>
    <definedName name="_xlnm._FilterDatabase" localSheetId="4" hidden="1">QoS_Test_Results!$A$1:$E$1</definedName>
    <definedName name="_xlnm._FilterDatabase" localSheetId="9" hidden="1">Button_LLAPI!$A$1:$M$1</definedName>
    <definedName name="_xlnm._FilterDatabase" localSheetId="8" hidden="1">prplMesh_Event!$A$1:$I$1</definedName>
    <definedName name="_xlnm._FilterDatabase" localSheetId="6" hidden="1">Ethernet_LLAPI!$A$1:$M$115</definedName>
    <definedName name="_xlnm._FilterDatabase" localSheetId="7" hidden="1">LED_LLAPI!$A$1:$M$22</definedName>
    <definedName name="_xlnm._FilterDatabase" localSheetId="3" hidden="1">QoS_LLAPI!$A$1:$I$53</definedName>
    <definedName name="_xlnm._FilterDatabase" localSheetId="5" hidden="1">Wifi_LLAPI!$A$1:$AC$1</definedName>
    <definedName name="_Toc209096171">QoS_Test_Results!$A$5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33" l="1" a="1"/>
  <c r="F33" i="33"/>
  <c r="K3" i="33" a="1"/>
  <c r="K3" i="33"/>
  <c r="K24" i="33" a="1"/>
  <c r="K24" i="33"/>
  <c r="K22" i="33" a="1"/>
  <c r="K22" i="33"/>
  <c r="K20" i="33" a="1"/>
  <c r="K20" i="33"/>
  <c r="K18" i="33" a="1"/>
  <c r="K18" i="33"/>
  <c r="E9" i="33" a="1"/>
  <c r="E9" i="33"/>
  <c r="E3" i="33" a="1"/>
  <c r="E3" i="33"/>
  <c r="N14" i="33"/>
  <c r="N13" i="33"/>
  <c r="N12" i="33"/>
  <c r="N11" i="33"/>
  <c r="N10" i="33"/>
  <c r="N9" i="33"/>
  <c r="N8" i="33"/>
  <c r="N7" i="33"/>
  <c r="N6" i="33"/>
  <c r="K763" i="43"/>
  <c r="K762" i="43"/>
  <c r="K761" i="43"/>
  <c r="K760" i="43"/>
  <c r="K759" i="43"/>
  <c r="J763" i="43"/>
  <c r="J762" i="43"/>
  <c r="J761" i="43"/>
  <c r="J760" i="43"/>
  <c r="J759" i="43"/>
  <c r="I759" i="43"/>
  <c r="I763" i="43"/>
  <c r="I762" i="43"/>
  <c r="I761" i="43"/>
  <c r="I760" i="43"/>
  <c r="I750" i="43"/>
  <c r="K755" i="43"/>
  <c r="J755" i="43"/>
  <c r="I755" i="43"/>
  <c r="I754" i="43"/>
  <c r="K754" i="43"/>
  <c r="J754" i="43"/>
  <c r="K753" i="43"/>
  <c r="J753" i="43"/>
  <c r="I753" i="43"/>
  <c r="K752" i="43"/>
  <c r="J752" i="43"/>
  <c r="I752" i="43"/>
  <c r="K751" i="43"/>
  <c r="J751" i="43"/>
  <c r="I751" i="43"/>
  <c r="K750" i="43"/>
  <c r="J750" i="43"/>
  <c r="K40" i="33" a="1"/>
  <c r="K40" i="33" l="1"/>
  <c r="K39" i="33" a="1"/>
  <c r="K39" i="33" l="1"/>
  <c r="K19" i="33" a="1"/>
  <c r="K19" i="33" s="1"/>
  <c r="K21" i="33" a="1"/>
  <c r="K21" i="33" s="1"/>
  <c r="K23" i="33" a="1"/>
  <c r="K23" i="33" s="1"/>
  <c r="G38" i="33" a="1"/>
  <c r="I7" i="33" a="1"/>
  <c r="E26" i="33" a="1"/>
  <c r="E32" i="33" a="1"/>
  <c r="H6" i="33" a="1"/>
  <c r="I20" i="33" a="1"/>
  <c r="E34" i="33" a="1"/>
  <c r="H4" i="33" a="1"/>
  <c r="I12" i="33" a="1"/>
  <c r="F28" i="33" a="1"/>
  <c r="E11" i="33" a="1"/>
  <c r="I18" i="33" a="1"/>
  <c r="G5" i="33" a="1"/>
  <c r="E6" i="33" a="1"/>
  <c r="G28" i="33" a="1"/>
  <c r="G15" i="33" a="1"/>
  <c r="F27" i="33" a="1"/>
  <c r="G40" i="33" a="1"/>
  <c r="G33" i="33" a="1"/>
  <c r="I24" i="33" a="1"/>
  <c r="E39" i="33" a="1"/>
  <c r="G37" i="33" a="1"/>
  <c r="E5" i="33" a="1"/>
  <c r="E7" i="33" a="1"/>
  <c r="G32" i="33" a="1"/>
  <c r="F11" i="33" a="1"/>
  <c r="G6" i="33" a="1"/>
  <c r="G16" i="33" a="1"/>
  <c r="K27" i="33" a="1"/>
  <c r="I34" i="33" a="1"/>
  <c r="H28" i="33" a="1"/>
  <c r="E30" i="33" a="1"/>
  <c r="K15" i="33" a="1"/>
  <c r="I39" i="33" a="1"/>
  <c r="G26" i="33" a="1"/>
  <c r="H14" i="33" a="1"/>
  <c r="E15" i="33" a="1"/>
  <c r="F18" i="33" a="1"/>
  <c r="K7" i="33" a="1"/>
  <c r="H12" i="33" a="1"/>
  <c r="E14" i="33" a="1"/>
  <c r="I36" i="33" a="1"/>
  <c r="K33" i="33" a="1"/>
  <c r="F14" i="33" a="1"/>
  <c r="H11" i="33" a="1"/>
  <c r="E22" i="33" a="1"/>
  <c r="K14" i="33" a="1"/>
  <c r="I32" i="33" a="1"/>
  <c r="H34" i="33" a="1"/>
  <c r="E18" i="33" a="1"/>
  <c r="G4" i="33" a="1"/>
  <c r="F10" i="33" a="1"/>
  <c r="H7" i="33" a="1"/>
  <c r="H9" i="33" a="1"/>
  <c r="I15" i="33" a="1"/>
  <c r="E16" i="33" a="1"/>
  <c r="K32" i="33" a="1"/>
  <c r="F36" i="33" a="1"/>
  <c r="H32" i="33" a="1"/>
  <c r="F37" i="33" a="1"/>
  <c r="E31" i="33" a="1"/>
  <c r="F22" i="33" a="1"/>
  <c r="E28" i="33" a="1"/>
  <c r="I22" i="33" a="1"/>
  <c r="G20" i="33" a="1"/>
  <c r="G36" i="33" a="1"/>
  <c r="H5" i="33" a="1"/>
  <c r="I11" i="33" a="1"/>
  <c r="I3" i="33" a="1"/>
  <c r="H33" i="33" a="1"/>
  <c r="F26" i="33" a="1"/>
  <c r="E25" i="33" a="1"/>
  <c r="K34" i="33" a="1"/>
  <c r="I10" i="33" a="1"/>
  <c r="G39" i="33" a="1"/>
  <c r="F3" i="33" a="1"/>
  <c r="K25" i="33" a="1"/>
  <c r="E27" i="33" a="1"/>
  <c r="I16" i="33" a="1"/>
  <c r="H40" i="33" a="1"/>
  <c r="I31" i="33" a="1"/>
  <c r="K38" i="33" a="1"/>
  <c r="K30" i="33" a="1"/>
  <c r="H20" i="33" a="1"/>
  <c r="E40" i="33" a="1"/>
  <c r="H31" i="33" a="1"/>
  <c r="E36" i="33" a="1"/>
  <c r="F7" i="33" a="1"/>
  <c r="H10" i="33" a="1"/>
  <c r="E24" i="33" a="1"/>
  <c r="G25" i="33" a="1"/>
  <c r="F40" i="33" a="1"/>
  <c r="I38" i="33" a="1"/>
  <c r="G31" i="33" a="1"/>
  <c r="F32" i="33" a="1"/>
  <c r="I5" i="33" a="1"/>
  <c r="F20" i="33" a="1"/>
  <c r="K12" i="33" a="1"/>
  <c r="G18" i="33" a="1"/>
  <c r="I9" i="33" a="1"/>
  <c r="F15" i="33" a="1"/>
  <c r="I37" i="33" a="1"/>
  <c r="G24" i="33" a="1"/>
  <c r="E38" i="33" a="1"/>
  <c r="F12" i="33" a="1"/>
  <c r="K9" i="33" a="1"/>
  <c r="I30" i="33" a="1"/>
  <c r="H27" i="33" a="1"/>
  <c r="F39" i="33" a="1"/>
  <c r="H39" i="33" a="1"/>
  <c r="H30" i="33" a="1"/>
  <c r="F4" i="33" a="1"/>
  <c r="F5" i="33" a="1"/>
  <c r="F6" i="33" a="1"/>
  <c r="G9" i="33" a="1"/>
  <c r="H18" i="33" a="1"/>
  <c r="H16" i="33" a="1"/>
  <c r="E10" i="33" a="1"/>
  <c r="I14" i="33" a="1"/>
  <c r="G3" i="33" a="1"/>
  <c r="K28" i="33" a="1"/>
  <c r="K11" i="33" a="1"/>
  <c r="F30" i="33" a="1"/>
  <c r="K31" i="33" a="1"/>
  <c r="K16" i="33" a="1"/>
  <c r="H25" i="33" a="1"/>
  <c r="K10" i="33" a="1"/>
  <c r="K37" i="33" a="1"/>
  <c r="I33" i="33" a="1"/>
  <c r="E12" i="33" a="1"/>
  <c r="G14" i="33" a="1"/>
  <c r="I26" i="33" a="1"/>
  <c r="F38" i="33" a="1"/>
  <c r="F31" i="33" a="1"/>
  <c r="E4" i="33" a="1"/>
  <c r="G22" i="33" a="1"/>
  <c r="F24" i="33" a="1"/>
  <c r="G11" i="33" a="1"/>
  <c r="G12" i="33" a="1"/>
  <c r="H37" i="33" a="1"/>
  <c r="F9" i="33" a="1"/>
  <c r="H26" i="33" a="1"/>
  <c r="F25" i="33" a="1"/>
  <c r="H15" i="33" a="1"/>
  <c r="I6" i="33" a="1"/>
  <c r="E33" i="33" a="1"/>
  <c r="I25" i="33" a="1"/>
  <c r="K26" i="33" a="1"/>
  <c r="H38" i="33" a="1"/>
  <c r="G34" i="33" a="1"/>
  <c r="I40" i="33" a="1"/>
  <c r="K5" i="33" a="1"/>
  <c r="F16" i="33" a="1"/>
  <c r="K6" i="33" a="1"/>
  <c r="I28" i="33" a="1"/>
  <c r="H3" i="33" a="1"/>
  <c r="K4" i="33" a="1"/>
  <c r="I27" i="33" a="1"/>
  <c r="G30" i="33" a="1"/>
  <c r="H22" i="33" a="1"/>
  <c r="H36" i="33" a="1"/>
  <c r="G27" i="33" a="1"/>
  <c r="E20" i="33" a="1"/>
  <c r="G7" i="33" a="1"/>
  <c r="F34" i="33" a="1"/>
  <c r="G10" i="33" a="1"/>
  <c r="H24" i="33" a="1"/>
  <c r="I4" i="33" a="1"/>
  <c r="E37" i="33" a="1"/>
  <c r="K36" i="33" a="1"/>
  <c r="I4" i="33" l="1"/>
  <c r="I24" i="33"/>
  <c r="G27" i="33"/>
  <c r="K16" i="33"/>
  <c r="G24" i="33"/>
  <c r="I18" i="33"/>
  <c r="I19" i="33" s="1" a="1"/>
  <c r="I19" i="33" s="1"/>
  <c r="F16" i="33"/>
  <c r="H11" i="33"/>
  <c r="I22" i="33"/>
  <c r="I23" i="33" s="1" a="1"/>
  <c r="I23" i="33" s="1"/>
  <c r="F4" i="33"/>
  <c r="I26" i="33"/>
  <c r="G11" i="33"/>
  <c r="I40" i="33"/>
  <c r="I5" i="33"/>
  <c r="H18" i="33"/>
  <c r="H19" i="33" s="1" a="1"/>
  <c r="H19" i="33" s="1"/>
  <c r="E7" i="33"/>
  <c r="I10" i="33"/>
  <c r="F27" i="33"/>
  <c r="I34" i="33"/>
  <c r="E30" i="33"/>
  <c r="H12" i="33"/>
  <c r="K4" i="33"/>
  <c r="H40" i="33"/>
  <c r="G4" i="33"/>
  <c r="I12" i="33"/>
  <c r="G32" i="33"/>
  <c r="I16" i="33"/>
  <c r="G12" i="33"/>
  <c r="K12" i="33"/>
  <c r="E27" i="33"/>
  <c r="H15" i="33"/>
  <c r="F40" i="33"/>
  <c r="F6" i="33"/>
  <c r="I14" i="33"/>
  <c r="I32" i="33"/>
  <c r="I33" i="33"/>
  <c r="K36" i="33"/>
  <c r="E10" i="33"/>
  <c r="G36" i="33"/>
  <c r="F24" i="33"/>
  <c r="H4" i="33"/>
  <c r="K25" i="33"/>
  <c r="G40" i="33"/>
  <c r="F12" i="33"/>
  <c r="H25" i="33"/>
  <c r="E16" i="33"/>
  <c r="E32" i="33"/>
  <c r="E15" i="33"/>
  <c r="H39" i="33"/>
  <c r="E36" i="33"/>
  <c r="H16" i="33"/>
  <c r="H3" i="33"/>
  <c r="H10" i="33"/>
  <c r="K26" i="33"/>
  <c r="I28" i="33"/>
  <c r="F11" i="33"/>
  <c r="E24" i="33"/>
  <c r="F5" i="33"/>
  <c r="G20" i="33"/>
  <c r="G21" i="33" s="1" a="1"/>
  <c r="G21" i="33" s="1"/>
  <c r="F30" i="33"/>
  <c r="E12" i="33"/>
  <c r="G30" i="33"/>
  <c r="F20" i="33"/>
  <c r="F21" i="33" s="1" a="1"/>
  <c r="F21" i="33" s="1"/>
  <c r="K31" i="33"/>
  <c r="F7" i="33"/>
  <c r="F28" i="33"/>
  <c r="I6" i="33"/>
  <c r="F34" i="33"/>
  <c r="K28" i="33"/>
  <c r="K5" i="33"/>
  <c r="F39" i="33"/>
  <c r="K27" i="33"/>
  <c r="G33" i="33"/>
  <c r="G15" i="33"/>
  <c r="F25" i="33"/>
  <c r="K6" i="33"/>
  <c r="G38" i="33"/>
  <c r="G6" i="33"/>
  <c r="G5" i="33"/>
  <c r="F36" i="33"/>
  <c r="H38" i="33"/>
  <c r="K33" i="33"/>
  <c r="I3" i="33"/>
  <c r="K38" i="33"/>
  <c r="G3" i="33"/>
  <c r="K7" i="33"/>
  <c r="G7" i="33"/>
  <c r="F22" i="33"/>
  <c r="F23" i="33" s="1" a="1"/>
  <c r="F23" i="33" s="1"/>
  <c r="I25" i="33"/>
  <c r="I36" i="33"/>
  <c r="E38" i="33"/>
  <c r="G10" i="33"/>
  <c r="H20" i="33"/>
  <c r="H21" i="33" s="1" a="1"/>
  <c r="H21" i="33" s="1"/>
  <c r="H24" i="33"/>
  <c r="G28" i="33"/>
  <c r="I15" i="33"/>
  <c r="E25" i="33"/>
  <c r="I31" i="33"/>
  <c r="H33" i="33"/>
  <c r="E34" i="33"/>
  <c r="K9" i="33"/>
  <c r="G34" i="33"/>
  <c r="G39" i="33"/>
  <c r="H5" i="33"/>
  <c r="F9" i="33"/>
  <c r="F18" i="33"/>
  <c r="F19" i="33" s="1" a="1"/>
  <c r="F19" i="33" s="1"/>
  <c r="F37" i="33"/>
  <c r="E6" i="33"/>
  <c r="J6" i="33" s="1"/>
  <c r="F3" i="33"/>
  <c r="F15" i="33"/>
  <c r="H27" i="33"/>
  <c r="G18" i="33"/>
  <c r="G19" i="33" s="1" a="1"/>
  <c r="G19" i="33" s="1"/>
  <c r="E39" i="33"/>
  <c r="I9" i="33"/>
  <c r="I38" i="33"/>
  <c r="H34" i="33"/>
  <c r="I27" i="33"/>
  <c r="H32" i="33"/>
  <c r="F14" i="33"/>
  <c r="I30" i="33"/>
  <c r="G26" i="33"/>
  <c r="E14" i="33"/>
  <c r="K15" i="33"/>
  <c r="H14" i="33"/>
  <c r="K37" i="33"/>
  <c r="G16" i="33"/>
  <c r="G22" i="33"/>
  <c r="G23" i="33" s="1" a="1"/>
  <c r="G23" i="33" s="1"/>
  <c r="E11" i="33"/>
  <c r="I11" i="33"/>
  <c r="H31" i="33"/>
  <c r="E22" i="33"/>
  <c r="K10" i="33"/>
  <c r="I20" i="33"/>
  <c r="I21" i="33" s="1" a="1"/>
  <c r="I21" i="33" s="1"/>
  <c r="I7" i="33"/>
  <c r="H6" i="33"/>
  <c r="E20" i="33"/>
  <c r="G25" i="33"/>
  <c r="G31" i="33"/>
  <c r="H28" i="33"/>
  <c r="E37" i="33"/>
  <c r="H26" i="33"/>
  <c r="I37" i="33"/>
  <c r="H36" i="33"/>
  <c r="F26" i="33"/>
  <c r="H30" i="33"/>
  <c r="E5" i="33"/>
  <c r="E31" i="33"/>
  <c r="G37" i="33"/>
  <c r="F32" i="33"/>
  <c r="E28" i="33"/>
  <c r="I39" i="33"/>
  <c r="F10" i="33"/>
  <c r="H37" i="33"/>
  <c r="K34" i="33"/>
  <c r="K32" i="33"/>
  <c r="E40" i="33"/>
  <c r="G14" i="33"/>
  <c r="E26" i="33"/>
  <c r="E18" i="33"/>
  <c r="F31" i="33"/>
  <c r="E33" i="33"/>
  <c r="K11" i="33"/>
  <c r="H9" i="33"/>
  <c r="K30" i="33"/>
  <c r="E4" i="33"/>
  <c r="G9" i="33"/>
  <c r="H22" i="33"/>
  <c r="H23" i="33" s="1" a="1"/>
  <c r="H23" i="33" s="1"/>
  <c r="H7" i="33"/>
  <c r="F38" i="33"/>
  <c r="K14" i="33"/>
  <c r="J18" i="33" l="1"/>
  <c r="E13" i="33" a="1"/>
  <c r="E13" i="33" s="1"/>
  <c r="K8" i="33" a="1"/>
  <c r="K8" i="33" s="1"/>
  <c r="J15" i="33"/>
  <c r="F13" i="33" a="1"/>
  <c r="F13" i="33" s="1"/>
  <c r="G8" i="33" a="1"/>
  <c r="G8" i="33" s="1"/>
  <c r="J4" i="33"/>
  <c r="F8" i="33" a="1"/>
  <c r="F8" i="33" s="1"/>
  <c r="J12" i="33"/>
  <c r="K13" i="33" a="1"/>
  <c r="K13" i="33" s="1"/>
  <c r="H8" i="33" a="1"/>
  <c r="H8" i="33" s="1"/>
  <c r="K17" i="33" a="1"/>
  <c r="K17" i="33" s="1"/>
  <c r="K35" i="33" a="1"/>
  <c r="K35" i="33" s="1"/>
  <c r="D5" i="33"/>
  <c r="C5" i="33" s="1"/>
  <c r="I8" i="33" a="1"/>
  <c r="I8" i="33" s="1"/>
  <c r="D11" i="33"/>
  <c r="C11" i="33" s="1"/>
  <c r="J16" i="33"/>
  <c r="I13" i="33" a="1"/>
  <c r="I13" i="33" s="1"/>
  <c r="D6" i="33"/>
  <c r="C6" i="33" s="1"/>
  <c r="K41" i="33" a="1"/>
  <c r="K41" i="33" s="1"/>
  <c r="H17" i="33" a="1"/>
  <c r="H17" i="33" s="1"/>
  <c r="H29" i="33" a="1"/>
  <c r="H29" i="33" s="1"/>
  <c r="K29" i="33" a="1"/>
  <c r="K29" i="33" s="1"/>
  <c r="G41" i="33" a="1"/>
  <c r="G41" i="33" s="1"/>
  <c r="H13" i="33" a="1"/>
  <c r="H13" i="33" s="1"/>
  <c r="H41" i="33" a="1"/>
  <c r="H41" i="33" s="1"/>
  <c r="I35" i="33" a="1"/>
  <c r="I35" i="33" s="1"/>
  <c r="I17" i="33" a="1"/>
  <c r="I17" i="33" s="1"/>
  <c r="I41" i="33" a="1"/>
  <c r="I41" i="33" s="1"/>
  <c r="J3" i="33"/>
  <c r="G13" i="33" a="1"/>
  <c r="G13" i="33" s="1"/>
  <c r="G17" i="33" a="1"/>
  <c r="G17" i="33" s="1"/>
  <c r="F17" i="33" a="1"/>
  <c r="F17" i="33" s="1"/>
  <c r="J7" i="33"/>
  <c r="D33" i="33"/>
  <c r="C33" i="33" s="1"/>
  <c r="J33" i="33"/>
  <c r="D26" i="33"/>
  <c r="C26" i="33" s="1"/>
  <c r="J26" i="33"/>
  <c r="J37" i="33"/>
  <c r="D37" i="33"/>
  <c r="C37" i="33" s="1"/>
  <c r="D22" i="33"/>
  <c r="E23" i="33" a="1"/>
  <c r="E23" i="33" s="1"/>
  <c r="J23" i="33" s="1"/>
  <c r="D9" i="33"/>
  <c r="F35" i="33" a="1"/>
  <c r="F35" i="33" s="1"/>
  <c r="D24" i="33"/>
  <c r="J24" i="33"/>
  <c r="E29" i="33" a="1"/>
  <c r="E29" i="33" s="1"/>
  <c r="D15" i="33"/>
  <c r="C15" i="33" s="1"/>
  <c r="D27" i="33"/>
  <c r="C27" i="33" s="1"/>
  <c r="J27" i="33"/>
  <c r="J9" i="33"/>
  <c r="J22" i="33"/>
  <c r="H35" i="33" a="1"/>
  <c r="H35" i="33" s="1"/>
  <c r="D20" i="33"/>
  <c r="E21" i="33" a="1"/>
  <c r="E21" i="33" s="1"/>
  <c r="J21" i="33" s="1"/>
  <c r="D14" i="33"/>
  <c r="J39" i="33"/>
  <c r="D39" i="33"/>
  <c r="C39" i="33" s="1"/>
  <c r="F41" i="33" a="1"/>
  <c r="F41" i="33" s="1"/>
  <c r="G35" i="33" a="1"/>
  <c r="G35" i="33" s="1"/>
  <c r="E41" i="33" a="1"/>
  <c r="E41" i="33" s="1"/>
  <c r="D36" i="33"/>
  <c r="J36" i="33"/>
  <c r="D32" i="33"/>
  <c r="C32" i="33" s="1"/>
  <c r="J32" i="33"/>
  <c r="D10" i="33"/>
  <c r="C10" i="33" s="1"/>
  <c r="D30" i="33"/>
  <c r="E35" i="33" a="1"/>
  <c r="E35" i="33" s="1"/>
  <c r="J30" i="33"/>
  <c r="G29" i="33" a="1"/>
  <c r="G29" i="33" s="1"/>
  <c r="I29" i="33" a="1"/>
  <c r="I29" i="33" s="1"/>
  <c r="E17" i="33" a="1"/>
  <c r="E17" i="33" s="1"/>
  <c r="J20" i="33"/>
  <c r="J10" i="33"/>
  <c r="J14" i="33"/>
  <c r="E8" i="33" a="1"/>
  <c r="E8" i="33" s="1"/>
  <c r="J5" i="33"/>
  <c r="J11" i="33"/>
  <c r="D4" i="33"/>
  <c r="C4" i="33" s="1"/>
  <c r="D18" i="33"/>
  <c r="E19" i="33" a="1"/>
  <c r="E19" i="33" s="1"/>
  <c r="J19" i="33" s="1"/>
  <c r="D40" i="33"/>
  <c r="C40" i="33" s="1"/>
  <c r="J40" i="33"/>
  <c r="D28" i="33"/>
  <c r="C28" i="33" s="1"/>
  <c r="J28" i="33"/>
  <c r="D31" i="33"/>
  <c r="C31" i="33" s="1"/>
  <c r="J31" i="33"/>
  <c r="D3" i="33"/>
  <c r="D34" i="33"/>
  <c r="C34" i="33" s="1"/>
  <c r="J34" i="33"/>
  <c r="D25" i="33"/>
  <c r="C25" i="33" s="1"/>
  <c r="J25" i="33"/>
  <c r="J38" i="33"/>
  <c r="D38" i="33"/>
  <c r="C38" i="33" s="1"/>
  <c r="D12" i="33"/>
  <c r="C12" i="33" s="1"/>
  <c r="D16" i="33"/>
  <c r="C16" i="33" s="1"/>
  <c r="F29" i="33" a="1"/>
  <c r="F29" i="33" s="1"/>
  <c r="D7" i="33"/>
  <c r="C7" i="33" s="1"/>
  <c r="J35" i="33" l="1"/>
  <c r="J13" i="33"/>
  <c r="J8" i="33"/>
  <c r="J17" i="33"/>
  <c r="J29" i="33"/>
  <c r="C3" i="33"/>
  <c r="C8" i="33" s="1" a="1"/>
  <c r="C8" i="33" s="1"/>
  <c r="D8" i="33" a="1"/>
  <c r="D8" i="33" s="1"/>
  <c r="C18" i="33"/>
  <c r="C19" i="33" s="1" a="1"/>
  <c r="C19" i="33" s="1"/>
  <c r="D19" i="33" a="1"/>
  <c r="D19" i="33" s="1"/>
  <c r="C14" i="33"/>
  <c r="C17" i="33" s="1" a="1"/>
  <c r="C17" i="33" s="1"/>
  <c r="D17" i="33" a="1"/>
  <c r="D17" i="33" s="1"/>
  <c r="C30" i="33"/>
  <c r="C35" i="33" s="1" a="1"/>
  <c r="C35" i="33" s="1"/>
  <c r="D35" i="33" a="1"/>
  <c r="D35" i="33" s="1"/>
  <c r="C9" i="33"/>
  <c r="C13" i="33" s="1" a="1"/>
  <c r="C13" i="33" s="1"/>
  <c r="D13" i="33" a="1"/>
  <c r="D13" i="33" s="1"/>
  <c r="C36" i="33"/>
  <c r="C41" i="33" s="1" a="1"/>
  <c r="C41" i="33" s="1"/>
  <c r="D41" i="33" a="1"/>
  <c r="D41" i="33" s="1"/>
  <c r="D21" i="33" a="1"/>
  <c r="D21" i="33" s="1"/>
  <c r="C20" i="33"/>
  <c r="C21" i="33" s="1" a="1"/>
  <c r="C21" i="33" s="1"/>
  <c r="J41" i="33"/>
  <c r="C24" i="33"/>
  <c r="C29" i="33" s="1" a="1"/>
  <c r="C29" i="33" s="1"/>
  <c r="D29" i="33" a="1"/>
  <c r="D29" i="33" s="1"/>
  <c r="C22" i="33"/>
  <c r="C23" i="33" s="1" a="1"/>
  <c r="C23" i="33" s="1"/>
  <c r="D23" i="33" a="1"/>
  <c r="D23" i="33" s="1"/>
  <c r="L23" i="33" l="1"/>
  <c r="O11" i="33" s="1"/>
  <c r="L21" i="33"/>
  <c r="O10" i="33" s="1"/>
  <c r="L13" i="33"/>
  <c r="O7" i="33" s="1"/>
  <c r="L17" i="33"/>
  <c r="O8" i="33" s="1"/>
  <c r="L8" i="33"/>
  <c r="O6" i="33" s="1"/>
  <c r="L41" i="33"/>
  <c r="O14" i="33" s="1"/>
  <c r="L19" i="33"/>
  <c r="O9" i="33" s="1"/>
  <c r="L35" i="33"/>
  <c r="O13" i="33" s="1"/>
  <c r="L29" i="33"/>
  <c r="O12" i="3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<sst xmlns="http://schemas.openxmlformats.org/spreadsheetml/2006/main" count="15732" uniqueCount="3361">
  <si>
    <t xml:space="preserve">
{
   "wifi_item" :
   {
      "steering" : "renew",
      "mesh_regen" : "renew",
      ...(TBD)
   },
   "system_item":
   {
      "node" : "restart"
      "dhcpd" : "restart",   
      "hostapd" : "restart", 
      ...(TBD)
   }
}
/*
   1. node: device's mac address
   2. action items:
      a. renew
      b. restart
   ...(TBD)
*/</t>
    <phoneticPr fontId="1" type="noConversion"/>
  </si>
  <si>
    <t>caller</t>
    <phoneticPr fontId="1" type="noConversion"/>
  </si>
  <si>
    <t>callee</t>
    <phoneticPr fontId="1" type="noConversion"/>
  </si>
  <si>
    <t>name</t>
    <phoneticPr fontId="1" type="noConversion"/>
  </si>
  <si>
    <t>description</t>
    <phoneticPr fontId="1" type="noConversion"/>
  </si>
  <si>
    <t>parameters or file path</t>
    <phoneticPr fontId="1" type="noConversion"/>
  </si>
  <si>
    <t>example</t>
    <phoneticPr fontId="1" type="noConversion"/>
  </si>
  <si>
    <t>In Home QED(IHQ) (ubus method)</t>
    <phoneticPr fontId="1" type="noConversion"/>
  </si>
  <si>
    <t>(app)cloudagent</t>
    <phoneticPr fontId="1" type="noConversion"/>
  </si>
  <si>
    <t>IHQ_diag_results</t>
    <phoneticPr fontId="1" type="noConversion"/>
  </si>
  <si>
    <t xml:space="preserve">To notify APP what network issues are found by IHQ
</t>
    <phoneticPr fontId="1" type="noConversion"/>
  </si>
  <si>
    <r>
      <t xml:space="preserve">
     "tid": Transmit ID
     "health_score":  IHQ network health score 0~100
     "diag_results": IHQ diagnostic results
     "index": </t>
    </r>
    <r>
      <rPr>
        <sz val="12"/>
        <color rgb="FF0070C0"/>
        <rFont val="Calibri"/>
        <family val="2"/>
      </rPr>
      <t>Please reference index value in Threshold column of network_health_score page</t>
    </r>
    <r>
      <rPr>
        <sz val="12"/>
        <color theme="1"/>
        <rFont val="Calibri"/>
        <family val="2"/>
      </rPr>
      <t xml:space="preserve">
      "type":  includes "WAN", "Topology", "Equipment" or "Device"
      "severity" :  includes "Low", "Medium", "High", "Critical" or "Fatal"
      "description" : Issue description
      "comment" : Suggestion if the issue cannot be resolved by Force Optimization. 
</t>
    </r>
    <phoneticPr fontId="1" type="noConversion"/>
  </si>
  <si>
    <t xml:space="preserve">
{
   "tid" : "12345"
    "health_score" : "80"
    "diag_results": {
     "device_cpu_load":
     {
          "Type" : "Equipment"
          "Severity" : "High"
          "Description" : "CPU loading is too high in equipment AA:BB:CC:DD:EE:01"
           "Comment" : "Try to reboot the equipment" 
     },
     "low_rssi_clients":
     {
          "Type" : "Device"
          "Severity" : "Medium"
          "Description" : "Found low RSSI issues in some connected devices"
           "Comment" : "" 
     }
     }
}</t>
    <phoneticPr fontId="1" type="noConversion"/>
  </si>
  <si>
    <t>IHQ_op_results</t>
    <phoneticPr fontId="1" type="noConversion"/>
  </si>
  <si>
    <t xml:space="preserve">To notify APP what optimization items are completed by IHQ
</t>
    <phoneticPr fontId="1" type="noConversion"/>
  </si>
  <si>
    <t xml:space="preserve">
      "tid": Transmit ID
      "op_results": IHQ force optimization results
      "type":  includes "Optimize" or "Warning"
      "description" : Issue description
      "result" : includes "Done" or "Fail"</t>
    <phoneticPr fontId="1" type="noConversion"/>
  </si>
  <si>
    <t xml:space="preserve">
{
   "tid" : "12345"
    "op_results": [
    {
          "Type" : "Optimize"
          "Description" : "Optimizing Wi-Fi channel"
           "result" : "Done"
     },
     {
          "Type" : "Warning"
          "Description" : "Try to reboot the equipment AA:BB:CC:DD:EE:FF"
           "result" : ""
     }
     ]
}</t>
    <phoneticPr fontId="1" type="noConversion"/>
  </si>
  <si>
    <t>Firmware Version</t>
  </si>
  <si>
    <t>4.0.3</t>
  </si>
  <si>
    <t>Detailed Statistics by Object</t>
  </si>
  <si>
    <t>Module</t>
  </si>
  <si>
    <t>Object Category</t>
  </si>
  <si>
    <t>Total Items</t>
  </si>
  <si>
    <t>Tested Items</t>
  </si>
  <si>
    <t>Pass</t>
  </si>
  <si>
    <t>Fail</t>
  </si>
  <si>
    <t>To be tested</t>
  </si>
  <si>
    <t>Not Supported</t>
  </si>
  <si>
    <t>Skip</t>
  </si>
  <si>
    <t>Pass Rate</t>
  </si>
  <si>
    <t>result empty</t>
  </si>
  <si>
    <t>Progress</t>
  </si>
  <si>
    <t>SFP</t>
  </si>
  <si>
    <t>SFPs.Cage.1.SFP.Transceiver</t>
  </si>
  <si>
    <t>SFPs.Cage.1.SFP.Transceiver.Thresholds</t>
  </si>
  <si>
    <t>SFPs.Cage.1.SFP.Transceiver.Status</t>
  </si>
  <si>
    <t>Finish %</t>
  </si>
  <si>
    <t>Automation %</t>
  </si>
  <si>
    <t>SFPs.Cage.1.SFP.Transceiver.Alarms</t>
  </si>
  <si>
    <t>SFPs.Cage.1.SFP.Transceiver.Warnings</t>
  </si>
  <si>
    <t>TOTAL</t>
  </si>
  <si>
    <t>QoS</t>
  </si>
  <si>
    <t>QoS.QueueStats</t>
  </si>
  <si>
    <t>QoS.Queue</t>
  </si>
  <si>
    <t>QoS.Shaper</t>
  </si>
  <si>
    <t>QoS.Scheduler</t>
  </si>
  <si>
    <t>Ethernet</t>
  </si>
  <si>
    <t>Ethernet.Interface</t>
  </si>
  <si>
    <t>Ethernet.Link</t>
  </si>
  <si>
    <t>Ethernet.RMONStats</t>
  </si>
  <si>
    <t>Button</t>
  </si>
  <si>
    <t>Buttons.Button</t>
  </si>
  <si>
    <t>LED</t>
  </si>
  <si>
    <t>LEDs.LED</t>
  </si>
  <si>
    <t>XPON</t>
  </si>
  <si>
    <t>XPON.ONU</t>
  </si>
  <si>
    <t>WiFi 5g</t>
  </si>
  <si>
    <t>WiFi.AccessPoint</t>
  </si>
  <si>
    <t>WiFi.EndPoint</t>
  </si>
  <si>
    <t>WiFi.Radio</t>
  </si>
  <si>
    <t>WiFi.SSID</t>
  </si>
  <si>
    <t>WiFi.wps_DefParam</t>
  </si>
  <si>
    <t>WiFi 6g</t>
  </si>
  <si>
    <t>WiFi 2.4g</t>
  </si>
  <si>
    <r>
      <rPr>
        <b/>
        <sz val="9"/>
        <color rgb="FF000000"/>
        <rFont val="Calibri"/>
        <scheme val="minor"/>
      </rPr>
      <t xml:space="preserve">Total Items : 
</t>
    </r>
    <r>
      <rPr>
        <sz val="9"/>
        <color rgb="FF000000"/>
        <rFont val="Calibri"/>
        <scheme val="minor"/>
      </rPr>
      <t xml:space="preserve">The total number of test items defined for the object category. The total value include. 
The value of Total Items is the sum of Pass, Fail, To be tested, Not Supported, and Skip items.
</t>
    </r>
    <r>
      <rPr>
        <b/>
        <sz val="9"/>
        <color rgb="FF000000"/>
        <rFont val="Calibri"/>
        <scheme val="minor"/>
      </rPr>
      <t xml:space="preserve">Pass : 
</t>
    </r>
    <r>
      <rPr>
        <sz val="9"/>
        <color rgb="FF000000"/>
        <rFont val="Calibri"/>
        <scheme val="minor"/>
      </rPr>
      <t xml:space="preserve">Tested and passed
</t>
    </r>
    <r>
      <rPr>
        <b/>
        <sz val="9"/>
        <color rgb="FF000000"/>
        <rFont val="Calibri"/>
        <scheme val="minor"/>
      </rPr>
      <t xml:space="preserve">Fail : 
</t>
    </r>
    <r>
      <rPr>
        <sz val="9"/>
        <color rgb="FF000000"/>
        <rFont val="Calibri"/>
        <scheme val="minor"/>
      </rPr>
      <t xml:space="preserve">Tested and failed
</t>
    </r>
    <r>
      <rPr>
        <b/>
        <sz val="9"/>
        <color rgb="FF000000"/>
        <rFont val="Calibri"/>
        <scheme val="minor"/>
      </rPr>
      <t xml:space="preserve">To be tested:
</t>
    </r>
    <r>
      <rPr>
        <sz val="9"/>
        <color rgb="FF000000"/>
        <rFont val="Calibri"/>
        <scheme val="minor"/>
      </rPr>
      <t xml:space="preserve">1. In the current test environment, no Wi-Fi station is capable of generating intentionally malformed or manipulated IEEE 802.11e error frames. Additionally, Scapy cannot be used for this purpose due to Wi-Fi station and driver limitations.
Testing will be revisited once appropriate Wi-Fi protocol test equipment or interference generation capability becomes available.
2. No ethernet RMON test environment
</t>
    </r>
    <r>
      <rPr>
        <b/>
        <sz val="9"/>
        <color rgb="FF000000"/>
        <rFont val="Calibri"/>
        <scheme val="minor"/>
      </rPr>
      <t xml:space="preserve">Not Supported : 
</t>
    </r>
    <r>
      <rPr>
        <sz val="9"/>
        <color rgb="FF000000"/>
        <rFont val="Calibri"/>
        <scheme val="minor"/>
      </rPr>
      <t xml:space="preserve">1. Not supported by prplWare’s pWHM
2. Not supported by Wi-Fi standards
</t>
    </r>
    <r>
      <rPr>
        <b/>
        <sz val="9"/>
        <color rgb="FF000000"/>
        <rFont val="Calibri"/>
        <scheme val="minor"/>
      </rPr>
      <t xml:space="preserve">Skip : 
</t>
    </r>
    <r>
      <rPr>
        <sz val="9"/>
        <color rgb="FF000000"/>
        <rFont val="Calibri"/>
        <scheme val="minor"/>
      </rPr>
      <t xml:space="preserve">This project is a gateway (GW) and does not support WiFi Station Mode.
</t>
    </r>
    <r>
      <rPr>
        <b/>
        <sz val="9"/>
        <color rgb="FF000000"/>
        <rFont val="Calibri"/>
        <scheme val="minor"/>
      </rPr>
      <t xml:space="preserve">Pass Rate : 
</t>
    </r>
    <r>
      <rPr>
        <sz val="9"/>
        <color rgb="FF000000"/>
        <rFont val="Calibri"/>
        <scheme val="minor"/>
      </rPr>
      <t>The percentage of passed test items, calculated as Pass / (Pass + Fail + To be tested).</t>
    </r>
  </si>
  <si>
    <r>
      <rPr>
        <b/>
        <sz val="9"/>
        <color rgb="FF000000"/>
        <rFont val="Calibri"/>
        <scheme val="minor"/>
      </rPr>
      <t xml:space="preserve">Test Environment Information : 
</t>
    </r>
    <r>
      <rPr>
        <sz val="9"/>
        <color rgb="FF000000"/>
        <rFont val="Calibri"/>
        <scheme val="minor"/>
      </rPr>
      <t xml:space="preserve">SFP module : HUMAX: HMXHNXGSPP-MAAMC
OLT : ALU 7360 ISAM / Software version: isam-release : R6.5.02a
Ethernet (10G) : ASUS XG-C100C 10G PCI-E Network Adapter, driver 2.2.2.0
Ethernet (2.5G) : 8156 Realtek Semiconductor Corp. USB 10/100/1G/2.5G, driver: r8152 version: v1.12.13 
</t>
    </r>
  </si>
  <si>
    <t>Object</t>
  </si>
  <si>
    <t>Parameter Name</t>
  </si>
  <si>
    <t>HLAPI</t>
  </si>
  <si>
    <t>LLAPI</t>
  </si>
  <si>
    <t>LLAPI
Handler</t>
  </si>
  <si>
    <t>Implemented by</t>
  </si>
  <si>
    <t>ARC 4.0.1
Test Result</t>
  </si>
  <si>
    <t>ARC 4.0.3
Test Result</t>
  </si>
  <si>
    <t>Brcm 4.0.3
Test Result</t>
  </si>
  <si>
    <t>ARC 4.0.3 
Comment</t>
  </si>
  <si>
    <t>Brcm 4.0.3
Comment</t>
  </si>
  <si>
    <t>Comment</t>
  </si>
  <si>
    <t>Internal Comment</t>
  </si>
  <si>
    <t>QoS.QueueStats.{i}.</t>
  </si>
  <si>
    <t>Enable</t>
  </si>
  <si>
    <t>ubus-cli QoS.QueueStats.{i}.Enable=[0|1]</t>
  </si>
  <si>
    <t>Not required</t>
  </si>
  <si>
    <t>PRPL</t>
  </si>
  <si>
    <t>Status</t>
  </si>
  <si>
    <t>ubus-cli QoS.QueueStats.{i}.Status?</t>
  </si>
  <si>
    <t>Alias</t>
  </si>
  <si>
    <t>The CPE MUST NOT change the value.</t>
  </si>
  <si>
    <t>Interface</t>
  </si>
  <si>
    <t>ubus-cli QoS.QueueStats.{i}.Interface="Device.Ethernet.Interface.1"</t>
  </si>
  <si>
    <t>Queue</t>
  </si>
  <si>
    <t>ubus-cli QoS.QueueStats.{i}.Queue="Path_Name_of_Queue_Obj"
e.g. ubus-cli QoS.QueueStats.1.Queue="QoS.Queue.queue-qid-0"</t>
  </si>
  <si>
    <t>OutputPackets</t>
  </si>
  <si>
    <t>ubus-cli QoS.QueueStats.{i}.OutputPackets?</t>
  </si>
  <si>
    <t>Supported</t>
  </si>
  <si>
    <t>retrieve-stats</t>
  </si>
  <si>
    <t>BRCM</t>
  </si>
  <si>
    <t>tmctl getqstats returns txPackets</t>
  </si>
  <si>
    <t>OutputBytes</t>
  </si>
  <si>
    <t>ubus-cli QoS.QueueStats.{i}.OutputBytes?</t>
  </si>
  <si>
    <t>tmctl getqstats returns txBytes</t>
  </si>
  <si>
    <t>DroppedPackets</t>
  </si>
  <si>
    <t>ubus-cli QoS.QueueStats.{i}.DroppedPackets?</t>
  </si>
  <si>
    <t>tmctl getqstats returns droppedPackets</t>
  </si>
  <si>
    <t>DroppedBytes</t>
  </si>
  <si>
    <t>ubus-cli QoS.QueueStats.{i}.DroppedBytes?</t>
  </si>
  <si>
    <r>
      <rPr>
        <b/>
        <sz val="9"/>
        <color theme="1"/>
        <rFont val="Calibri"/>
      </rPr>
      <t>(Fixed)</t>
    </r>
    <r>
      <rPr>
        <sz val="9"/>
        <color theme="1"/>
        <rFont val="Calibri"/>
      </rPr>
      <t xml:space="preserve"> Add DroppedBytes support</t>
    </r>
  </si>
  <si>
    <t>BRCM ticket: CS00012436083</t>
  </si>
  <si>
    <t>ARC: These parameters are not supported and return a value of 0.
BRCM: Yes, no supported in current release.(CS00012436083)</t>
  </si>
  <si>
    <t>QueueOccupancyPackets</t>
  </si>
  <si>
    <t>ubus-cli QoS.QueueStats.{i}.QueueOccupancyPackets?</t>
  </si>
  <si>
    <r>
      <rPr>
        <b/>
        <sz val="9"/>
        <color rgb="FF000000"/>
        <rFont val="Calibri"/>
      </rPr>
      <t xml:space="preserve">(SW Limitation) </t>
    </r>
    <r>
      <rPr>
        <sz val="9"/>
        <color rgb="FF000000"/>
        <rFont val="Calibri"/>
      </rPr>
      <t>Queue occupancy not supported by tmctl API</t>
    </r>
  </si>
  <si>
    <t>QueueOccupancyPercentage</t>
  </si>
  <si>
    <t>ubus-cli QoS.QueueStats.{i}.QueueOccupancyPercentage?</t>
  </si>
  <si>
    <r>
      <rPr>
        <b/>
        <sz val="9"/>
        <color theme="1"/>
        <rFont val="Calibri"/>
      </rPr>
      <t xml:space="preserve">(SW Limitation) </t>
    </r>
    <r>
      <rPr>
        <sz val="9"/>
        <color theme="1"/>
        <rFont val="Calibri"/>
      </rPr>
      <t>Queue occupancy not supported by tmctl API</t>
    </r>
  </si>
  <si>
    <t>QoS.Queue.{i}.</t>
  </si>
  <si>
    <t>ubus-cli QoS.Queue.{i}.Enable=[0|1]</t>
  </si>
  <si>
    <t>activate-queue /
deactivate-queue</t>
  </si>
  <si>
    <t>Standard enable/disable</t>
  </si>
  <si>
    <t>ubus-cli QoS.Queue.{i}.Status?</t>
  </si>
  <si>
    <t>Children</t>
  </si>
  <si>
    <t>ubus-cli QoS.Queue.{i}.Children?</t>
  </si>
  <si>
    <t>TrafficClasses</t>
  </si>
  <si>
    <t>ubus-cli QoS.Queue.{i}.TrafficClasses=&lt;unsigned integers&gt;
e.g. ubus-cli QoS.Queue.1.TrafficClasses=1</t>
  </si>
  <si>
    <t>ubus-cli QoS.Queue.{i}.Interface="Path_Name_of_Interface_Obj"
e.g. ubus-cli QoS.Queue.1.Interface="Device.Ethernet.Interface.1"</t>
  </si>
  <si>
    <t>activate-queue</t>
  </si>
  <si>
    <t>Interface binding</t>
  </si>
  <si>
    <t>AllInterfaces</t>
  </si>
  <si>
    <t>ubus-cli QoS.Queue.{i}.AllInterfaces=[0|1]</t>
  </si>
  <si>
    <r>
      <rPr>
        <b/>
        <sz val="9"/>
        <color theme="1"/>
        <rFont val="Calibri"/>
      </rPr>
      <t xml:space="preserve">(HW Limitation) </t>
    </r>
    <r>
      <rPr>
        <sz val="9"/>
        <color theme="1"/>
        <rFont val="Calibri"/>
      </rPr>
      <t>Per interface hardware queue</t>
    </r>
  </si>
  <si>
    <t>BRCM: "AllInterfaces","BufferLength" and "AssuredRate" are not supported; "REDPercentage" and "ShapingBurstSize" are supported, while may not used in XRDP chip. (CS00012436083)</t>
  </si>
  <si>
    <t>HardwareAssisted</t>
  </si>
  <si>
    <t>ubus-cli QoS.Queue.{i}.HardwareAssisted?</t>
  </si>
  <si>
    <r>
      <rPr>
        <b/>
        <sz val="9"/>
        <color theme="1"/>
        <rFont val="Calibri"/>
      </rPr>
      <t>(Fixed)</t>
    </r>
    <r>
      <rPr>
        <sz val="9"/>
        <color theme="1"/>
        <rFont val="Calibri"/>
      </rPr>
      <t xml:space="preserve"> ODL default value</t>
    </r>
  </si>
  <si>
    <t>ARC: Currently return false value
BRCM: with mod-qos-brcm backend, all queues are hardware assisted. We will fix the return-value to "TRUE" in later release. (CS00012436083)</t>
  </si>
  <si>
    <t>BufferLength</t>
  </si>
  <si>
    <t>ubus-cli QoS.Queue.{i}.BufferLength=&lt;Queue buffer size in bytes&gt;</t>
  </si>
  <si>
    <t>CS00012447687 [AT&amp;T][BGW-720] QoS Queue BufferLength should be expressed in bytes</t>
  </si>
  <si>
    <r>
      <rPr>
        <b/>
        <sz val="9"/>
        <color theme="1"/>
        <rFont val="Calibri"/>
      </rPr>
      <t>(Fixed)</t>
    </r>
    <r>
      <rPr>
        <sz val="9"/>
        <color theme="1"/>
        <rFont val="Calibri"/>
      </rPr>
      <t xml:space="preserve"> Set correct buffer length</t>
    </r>
  </si>
  <si>
    <t>Weight</t>
  </si>
  <si>
    <t>ubus-cli QoS.Queue.{i}.Weight=&lt;1~63&gt;</t>
  </si>
  <si>
    <t>WRR weight</t>
  </si>
  <si>
    <t>Precedence</t>
  </si>
  <si>
    <t>ubus-cli QoS.Queue.{i}.Precedence=&lt;1~8&gt;</t>
  </si>
  <si>
    <t>Queue priority</t>
  </si>
  <si>
    <t>REDThreshold</t>
  </si>
  <si>
    <t>ubus-cli QoS.Queue.{i}.REDThreshold=&lt;min_th&gt;
note: min_th is the minimum threshold and is measured as a percentage of the queue size</t>
  </si>
  <si>
    <r>
      <rPr>
        <b/>
        <sz val="9"/>
        <color theme="1"/>
        <rFont val="Calibri"/>
      </rPr>
      <t>(Fixed)</t>
    </r>
    <r>
      <rPr>
        <sz val="9"/>
        <color theme="1"/>
        <rFont val="Calibri"/>
      </rPr>
      <t xml:space="preserve"> Correct threshold calculation</t>
    </r>
  </si>
  <si>
    <t>ARC: the result of the threshold isn't expected.
BRCM: It should be a bug in current implementation. Will fix it in next release (CS00012436083)</t>
  </si>
  <si>
    <t>REDPercentage</t>
  </si>
  <si>
    <t>ubus-cli QoS.Queue.{i}.REDPercentage=&lt;max_p&gt;</t>
  </si>
  <si>
    <t>(HW Limitation)
Runner=100% fixed</t>
  </si>
  <si>
    <r>
      <rPr>
        <b/>
        <sz val="9"/>
        <color theme="1"/>
        <rFont val="Calibri"/>
      </rPr>
      <t>(Fixed)</t>
    </r>
    <r>
      <rPr>
        <sz val="9"/>
        <color theme="1"/>
        <rFont val="Calibri"/>
      </rPr>
      <t xml:space="preserve"> Correct percentage calculation
HW Limitation: Runner=100% fixed, Archer=configurable</t>
    </r>
  </si>
  <si>
    <t>DropAlgorithm</t>
  </si>
  <si>
    <t>ubus-cli QoS.Queue.{i}.DropAlgorithm="DT|RED|WRED|BLUE"</t>
  </si>
  <si>
    <t>(HW Limitation)
Only DT/RED/WRED supported</t>
  </si>
  <si>
    <r>
      <rPr>
        <b/>
        <sz val="9"/>
        <color rgb="FF000000"/>
        <rFont val="Calibri"/>
      </rPr>
      <t xml:space="preserve">(HW Limitation) </t>
    </r>
    <r>
      <rPr>
        <sz val="9"/>
        <color rgb="FF000000"/>
        <rFont val="Calibri"/>
      </rPr>
      <t>Only DT/RED/WRED supported / No PRPL LLAPI for WRED</t>
    </r>
  </si>
  <si>
    <t>ARC: Partial support — currently only DT, RED, and WRED are supported.
BRCM : Yes. (CS00012436083)</t>
  </si>
  <si>
    <t>SchedulerAlgorithm</t>
  </si>
  <si>
    <t>ubus-cli QoS.Queue.{i}.SchedulerAlgorithm="SP|WFQ|WRR|HTB|DRR"</t>
  </si>
  <si>
    <t>(HW Limitation)
Only SP/WRR supported</t>
  </si>
  <si>
    <r>
      <rPr>
        <b/>
        <sz val="9"/>
        <color theme="1"/>
        <rFont val="Calibri"/>
      </rPr>
      <t xml:space="preserve">(HW Limitation) </t>
    </r>
    <r>
      <rPr>
        <sz val="9"/>
        <color theme="1"/>
        <rFont val="Calibri"/>
      </rPr>
      <t>Only SP/WRR supported</t>
    </r>
  </si>
  <si>
    <t>ARC: Only support SP and WRR.
BRCM : We support SP,WFQ,WRR in current release. For "WFQ" algorithm, it doesn't be supported on PON platform, it will be supported by some archer/crossbow platform. (CS00012436083)</t>
  </si>
  <si>
    <t>ShapingRate</t>
  </si>
  <si>
    <t>ubus-cli QoS.Queue.{i}.ShapingRate=&lt;rate to shape in bps&gt;</t>
  </si>
  <si>
    <r>
      <rPr>
        <b/>
        <sz val="9"/>
        <color theme="1"/>
        <rFont val="Calibri"/>
      </rPr>
      <t>(Fixed)</t>
    </r>
    <r>
      <rPr>
        <sz val="9"/>
        <color theme="1"/>
        <rFont val="Calibri"/>
      </rPr>
      <t xml:space="preserve"> Correct Shaping Rate</t>
    </r>
  </si>
  <si>
    <t>ARC: Partial support — currently, the ShapingRate can only be configured in bps and not as a percentage.
BRCM : Yes. (CS00012436083)</t>
  </si>
  <si>
    <t>CurrentShapingRate</t>
  </si>
  <si>
    <t>ubus-cli QoS.Queue.{i}.CurrentShapingRate?</t>
  </si>
  <si>
    <t>retrieve-queue-stats</t>
  </si>
  <si>
    <r>
      <rPr>
        <b/>
        <sz val="9"/>
        <color theme="1"/>
        <rFont val="Calibri"/>
      </rPr>
      <t>(Fixed)</t>
    </r>
    <r>
      <rPr>
        <sz val="9"/>
        <color theme="1"/>
        <rFont val="Calibri"/>
      </rPr>
      <t xml:space="preserve"> Get current value from hardware</t>
    </r>
  </si>
  <si>
    <t>ARC: These parameters are not supported and return a value of 0.
BRCM: Yes, no supported in current release. (CS00012436083)</t>
  </si>
  <si>
    <t>AssuredRate</t>
  </si>
  <si>
    <t>ubus-cli QoS.Queue.{i}.AssuredRate=&lt;minimum rate to shape in bps&gt;</t>
  </si>
  <si>
    <r>
      <rPr>
        <b/>
        <sz val="9"/>
        <color theme="1"/>
        <rFont val="Calibri"/>
      </rPr>
      <t xml:space="preserve">(Fixed) </t>
    </r>
    <r>
      <rPr>
        <sz val="9"/>
        <color theme="1"/>
        <rFont val="Calibri"/>
      </rPr>
      <t>Enable dual-rate mode to support minRate</t>
    </r>
  </si>
  <si>
    <t>CurrentAssuredRate</t>
  </si>
  <si>
    <t>ubus-cli QoS.Queue.{i}.CurrentAssuredRate?</t>
  </si>
  <si>
    <r>
      <rPr>
        <b/>
        <sz val="9"/>
        <color theme="1"/>
        <rFont val="Calibri"/>
      </rPr>
      <t xml:space="preserve">(Fixed) </t>
    </r>
    <r>
      <rPr>
        <sz val="9"/>
        <color theme="1"/>
        <rFont val="Calibri"/>
      </rPr>
      <t>Get current value from hardware</t>
    </r>
  </si>
  <si>
    <t>ShapingBurstSize</t>
  </si>
  <si>
    <t>ubus-cli QoS.Queue.{i}.ShapingBurstSize=&lt;burst size in bytes&gt;</t>
  </si>
  <si>
    <r>
      <rPr>
        <b/>
        <sz val="9"/>
        <color rgb="FF000000"/>
        <rFont val="Calibri"/>
      </rPr>
      <t xml:space="preserve">(HW Limitation) </t>
    </r>
    <r>
      <rPr>
        <sz val="9"/>
        <color rgb="FF000000"/>
        <rFont val="Calibri"/>
      </rPr>
      <t>burstsize not used by XRDP devices</t>
    </r>
  </si>
  <si>
    <t>Controller</t>
  </si>
  <si>
    <t># ubus-cli
&gt; protected
&gt; QoS.Queue.{i}.Controller="mod-qos-brcm"</t>
  </si>
  <si>
    <t>QueueKey</t>
  </si>
  <si>
    <t># ubus-cli
&gt; protected
&gt; QoS.Queue.{i}.QueueKey=&lt;0~7&gt;</t>
  </si>
  <si>
    <t>Queue ID</t>
  </si>
  <si>
    <t>ARC: It is necessary to pre-configure the QueueKey in the default configuration.</t>
  </si>
  <si>
    <t>QoS.Shaper.{i}.</t>
  </si>
  <si>
    <t>ubus-cli QoS.Shaper.{i}.Enable=[0|1]</t>
  </si>
  <si>
    <t>activate-shaper /
deactivate-shaper</t>
  </si>
  <si>
    <t>ubus-cli QoS.Shaper.{i}.Status?</t>
  </si>
  <si>
    <t>ubus-cli QoS.Shaper.{i}.Children?</t>
  </si>
  <si>
    <t>ubus-cli QoS.Shaper.{i}.Interface="Path_Name_of_Interface_Obj"
e.g. ubus-cli QoS.Shaper.1.Interface="Device.Ethernet.Interface.1"</t>
  </si>
  <si>
    <t>activate-shaper</t>
  </si>
  <si>
    <t>ubus-cli QoS.Shaper.{i}.ShapingRate=&lt;rate to shape in bps&gt;</t>
  </si>
  <si>
    <t>Port Shaper</t>
  </si>
  <si>
    <t>ubus-cli QoS.Shaper.{i}.ShapingBurstSize=&lt;burst size in bytes&gt;</t>
  </si>
  <si>
    <r>
      <rPr>
        <b/>
        <sz val="9"/>
        <color theme="1"/>
        <rFont val="Calibri"/>
      </rPr>
      <t xml:space="preserve">(HW Limitation) </t>
    </r>
    <r>
      <rPr>
        <sz val="9"/>
        <color theme="1"/>
        <rFont val="Calibri"/>
      </rPr>
      <t>burstsize not used by XRDP devices</t>
    </r>
  </si>
  <si>
    <t>BRCM : We support this paramter, while it may not be used in XRDP chip. (CS00012436083)</t>
  </si>
  <si>
    <t># ubus-cli
&gt; protected
&gt; QoS.Shaper.{i}.Controller="mod-qos-brcm"</t>
  </si>
  <si>
    <t>QoS.Scheduler.{i}.</t>
  </si>
  <si>
    <t>ubus-cli QoS.Scheduler.{i}.Enable=[0|1]</t>
  </si>
  <si>
    <t>activate-scheduler /
deactivate-scheduler</t>
  </si>
  <si>
    <t>ubus-cli QoS.Scheduler.{i}.Status?</t>
  </si>
  <si>
    <t>ubus-cli QoS.Scheduler.{i}.Children?</t>
  </si>
  <si>
    <t>ubus-cli QoS.Scheduler.{i}.Interface="Path_Name_of_Interface_Obj"
e.g. ubus-cli QoS.Scheduler.1.Interface=""Device.Ethernet.Interface.1""</t>
  </si>
  <si>
    <t>activate-scheduler</t>
  </si>
  <si>
    <t>ubus-cli QoS.Scheduler.{i}.SchedulerAlgorithm="SP|WFQ|WRR|SP_WRR|HTB|DRR|TBF|FQ_CODEL"</t>
  </si>
  <si>
    <t>ARC: Partial support — currently only SP, WRR, and SP_WRR are supported.
BRCM : We support SP, WFQ, WRR, and SP_WRR in current release. For "WFQ" algorithm, it doesn't be supported on PON platform, it will be supported by some archer/crossbow platform. (CS00012436083)</t>
  </si>
  <si>
    <t>ubus-cli QoS.Scheduler.{i}.ShapingRate=&lt;rate to shape in bps&gt;</t>
  </si>
  <si>
    <r>
      <rPr>
        <b/>
        <sz val="9"/>
        <color rgb="FF000000"/>
        <rFont val="Calibri"/>
      </rPr>
      <t xml:space="preserve">(HW Limitation) </t>
    </r>
    <r>
      <rPr>
        <sz val="9"/>
        <color rgb="FF000000"/>
        <rFont val="Calibri"/>
      </rPr>
      <t>QoS.Shaper Only</t>
    </r>
  </si>
  <si>
    <t>BRCM : "ShapingRate" and "AssuredRate" are not supported, while "DefaultQueue" is supported. (CS00012436083)</t>
  </si>
  <si>
    <t>ubus-cli QoS.Scheduler.{i}.AssuredRate=&lt;minimum rate to shape in bps&gt;</t>
  </si>
  <si>
    <t>DefaultQueue</t>
  </si>
  <si>
    <t>ubus-cli QoS.Scheduler.{i}.DefaultQueue="Path_Name_of_Queue_Obj"
e.g. ubus-cli QoS.Scheduler.1.DefaultQueue="QoS.Queue.queue-qid-0"</t>
  </si>
  <si>
    <t>Default queue is fixed</t>
  </si>
  <si>
    <t># ubus-cli
&gt; protected
&gt; QoS.Scheduler.{i}.Controller="mod-qos-brcm"</t>
  </si>
  <si>
    <t>ClassKeyMajor</t>
  </si>
  <si>
    <t># ubus-cli
&gt; protected
&gt; QoS.Scheduler.{i}.ClassKeyMajor=&lt;the class key major&gt;</t>
  </si>
  <si>
    <t>Description</t>
  </si>
  <si>
    <t>Test Steps</t>
  </si>
  <si>
    <t>4.0.3 
Command Output</t>
  </si>
  <si>
    <t>4.0.1 
Command Output</t>
  </si>
  <si>
    <t>4.0.3 
Command Output (old)</t>
  </si>
  <si>
    <t>Activate a Platform Specific Scheduler: activate-scheduler</t>
  </si>
  <si>
    <t>Activate the scheduler with the algorithm WRR on the WAN port (eth0) to verify that the CPE correctly applies the configuration.</t>
  </si>
  <si>
    <t xml:space="preserve">1.	Run the following commands on the CPE console:
ubus-cli QoS.Queue.1.Weight=20
ubus-cli QoS.Queue.1.SchedulerAlgorithm="WRR"
ubus-cli QoS.Scheduler.1.SchedulerAlgorithm="WRR"
ubus-cli QoS.Scheduler.1.Interface="Device.Ethernet.Interface.1"
ubus-cli QoS.Scheduler.1.Enable=1
2.	Confirm that no error occurs after running the above commands.
</t>
  </si>
  <si>
    <r>
      <rPr>
        <sz val="9"/>
        <color rgb="FF000000"/>
        <rFont val="Calibri"/>
        <scheme val="minor"/>
      </rPr>
      <t xml:space="preserve">Expected: schedMode=2  (WRR), weight=20
root@prplOS:/# tmctl getqcfg --devtype 0 --if eth0 --qid 0
    qid      : 0
    priority : -1
    qsize    : 2728
    weight   : </t>
    </r>
    <r>
      <rPr>
        <sz val="9"/>
        <color rgb="FFFF0000"/>
        <rFont val="Calibri"/>
        <scheme val="minor"/>
      </rPr>
      <t xml:space="preserve">20
</t>
    </r>
    <r>
      <rPr>
        <sz val="9"/>
        <color rgb="FF000000"/>
        <rFont val="Calibri"/>
        <scheme val="minor"/>
      </rPr>
      <t xml:space="preserve">    minBufs  : 1
    schedMode: </t>
    </r>
    <r>
      <rPr>
        <sz val="9"/>
        <color rgb="FFFF0000"/>
        <rFont val="Calibri"/>
        <scheme val="minor"/>
      </rPr>
      <t xml:space="preserve">2
</t>
    </r>
    <r>
      <rPr>
        <sz val="9"/>
        <color rgb="FF000000"/>
        <rFont val="Calibri"/>
        <scheme val="minor"/>
      </rPr>
      <t xml:space="preserve">    shaper   : (0, 0, 0)
ret code = 0.
</t>
    </r>
  </si>
  <si>
    <r>
      <rPr>
        <sz val="9"/>
        <color rgb="FF000000"/>
        <rFont val="Calibri"/>
        <scheme val="minor"/>
      </rPr>
      <t xml:space="preserve">root@prplOS:/# bs /b/e egress_tm/index=3
Object: egress_tm/index=3. Object type: egress_tm. Owned by: port/name=eth0
==============================
                 dir : ds
               index : 3
               level : queue
                mode : </t>
    </r>
    <r>
      <rPr>
        <sz val="9"/>
        <color rgb="FFFF0000"/>
        <rFont val="Calibri"/>
        <scheme val="minor"/>
      </rPr>
      <t xml:space="preserve">wrr
</t>
    </r>
    <r>
      <rPr>
        <sz val="9"/>
        <color rgb="FF000000"/>
        <rFont val="Calibri"/>
        <scheme val="minor"/>
      </rPr>
      <t xml:space="preserve">          overall_rl : no
       service_queue : {enable=no}
        rl_rate_mode : single_rate
          rate_limit : not configured
          num_queues : 8
        queue_cfg[7] : {queue_id=0,drop_threshold=4190208,weight=20,drop_alg=dt,reserved_packet_buffers=1,active=yes}
       queue_stat[7] : {passed={packets=231,bytes=34924},discarded={packets=0,bytes=0}}
  queue_occupancy[7] : {packets=0,bytes=0}
              weight : 0
           aqm_stats : no
     subsidiary_type : unspecified</t>
    </r>
  </si>
  <si>
    <r>
      <rPr>
        <sz val="9"/>
        <color rgb="FF000000"/>
        <rFont val="Calibri"/>
        <scheme val="minor"/>
      </rPr>
      <t xml:space="preserve">root@prplOS:~# bs /b/e egress_tm/index=3
Object: egress_tm/index=3. Object type: egress_tm. Owned by: port/name=eth0
==============================
                 dir : ds
               index : 3
               level : queue
                mode : </t>
    </r>
    <r>
      <rPr>
        <sz val="9"/>
        <color rgb="FFFF0000"/>
        <rFont val="Calibri"/>
        <scheme val="minor"/>
      </rPr>
      <t xml:space="preserve">wrr
</t>
    </r>
    <r>
      <rPr>
        <sz val="9"/>
        <color rgb="FF000000"/>
        <rFont val="Calibri"/>
        <scheme val="minor"/>
      </rPr>
      <t xml:space="preserve">          overall_rl : no
       service_queue : {enable=no}
        rl_rate_mode : dual_rate
          rate_limit : not configured
          num_queues : 8
        queue_cfg[7] : {queue_id=0,drop_threshold=4190208,weight=20,drop_alg=dt,reserved_packet_buffers=1,active=yes}
       queue_stat[7] : {passed={packets=0,bytes=0},discarded={packets=0,bytes=0}}
  queue_occupancy[7] : {packets=0,bytes=0}
              weight : 0
           aqm_stats : no
     subsidiary_type : unspecified</t>
    </r>
  </si>
  <si>
    <t>Activate the scheduler with the algorithm SP on the WAN port (eth0) to verify that the CPE correctly applies the configuration.</t>
  </si>
  <si>
    <t xml:space="preserve">1.	Run the following commands on the CPE console:
ubus-cli QoS.Queue.1.SchedulerAlgorithm="SP"
ubus-cli QoS.Scheduler.1.SchedulerAlgorithm="SP"
ubus-cli QoS.Scheduler.1.Interface="Device.Ethernet.Interface.1"
ubus-cli QoS.Scheduler.1.Enable=1
2.	Confirm that no error occurs after running the above commands.
</t>
  </si>
  <si>
    <r>
      <rPr>
        <sz val="9"/>
        <color rgb="FF000000"/>
        <rFont val="Calibri"/>
        <scheme val="minor"/>
      </rPr>
      <t xml:space="preserve">Expected: schedMode=1 (SP)
root@prplOS:/# tmctl getqcfg --devtype 0 --if eth0 --qid 0
    qid      : 0
    priority : 7
    qsize    : 2728
    weight   : 0
    minBufs  : 1
    schedMode: </t>
    </r>
    <r>
      <rPr>
        <sz val="9"/>
        <color rgb="FFFF0000"/>
        <rFont val="Calibri"/>
        <scheme val="minor"/>
      </rPr>
      <t xml:space="preserve">1
</t>
    </r>
    <r>
      <rPr>
        <sz val="9"/>
        <color rgb="FF000000"/>
        <rFont val="Calibri"/>
        <scheme val="minor"/>
      </rPr>
      <t xml:space="preserve">    shaper   : (0, 0, 0)
ret code = 0.</t>
    </r>
  </si>
  <si>
    <r>
      <rPr>
        <sz val="9"/>
        <color rgb="FF000000"/>
        <rFont val="Calibri"/>
        <scheme val="minor"/>
      </rPr>
      <t xml:space="preserve">root@prplOS:/# bs /b/e egress_tm/index=3
Object: egress_tm/index=3. Object type: egress_tm. Owned by: port/name=eth0
==============================
                 dir : ds
               index : 3
               level : queue
                mode : </t>
    </r>
    <r>
      <rPr>
        <sz val="9"/>
        <color rgb="FFFF0000"/>
        <rFont val="Calibri"/>
        <scheme val="minor"/>
      </rPr>
      <t xml:space="preserve">sp
</t>
    </r>
    <r>
      <rPr>
        <sz val="9"/>
        <color rgb="FF000000"/>
        <rFont val="Calibri"/>
        <scheme val="minor"/>
      </rPr>
      <t xml:space="preserve">          overall_rl : no
       service_queue : {enable=no}
        rl_rate_mode : single_rate
          rate_limit : not configured
          num_queues : 8
        queue_cfg[0] : {queue_id=0,drop_threshold=4190208,weight=0,drop_alg=dt,reserved_packet_buffers=1,active=yes}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{passed={packets=232,bytes=24183},discarded={packets=0,bytes=0}}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{passed={packets=577,bytes=125678},discarded={packets=0,bytes=0}}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
root@prplOS:/#</t>
    </r>
  </si>
  <si>
    <r>
      <rPr>
        <sz val="9"/>
        <color rgb="FF000000"/>
        <rFont val="Calibri"/>
        <scheme val="minor"/>
      </rPr>
      <t xml:space="preserve">root@prplOS:~# bs /b/e egress_tm/index=3
Object: egress_tm/index=3. Object type: egress_tm. Owned by: port/name=eth0
==============================
                 dir : ds
               index : 3
               level : queue
                mode : </t>
    </r>
    <r>
      <rPr>
        <sz val="9"/>
        <color rgb="FFFF0000"/>
        <rFont val="Calibri"/>
        <scheme val="minor"/>
      </rPr>
      <t xml:space="preserve">sp
</t>
    </r>
    <r>
      <rPr>
        <sz val="9"/>
        <color rgb="FF000000"/>
        <rFont val="Calibri"/>
        <scheme val="minor"/>
      </rPr>
      <t xml:space="preserve">          overall_rl : no
       service_queue : {enable=no}
        rl_rate_mode : dual_rate
          rate_limit : not configured
          num_queues : 8
        queue_cfg[0] : {queue_id=0,drop_threshold=4190208,weight=0,drop_alg=dt,reserved_packet_buffers=1,active=yes}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{passed={packets=0,bytes=0},discarded={packets=0,bytes=0}}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</si>
  <si>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t>Deactivate a Platform Specific Scheduler: deactivate-schedule</t>
  </si>
  <si>
    <t>Deactivate the scheduler with the algorithm SP on the WAN port (eth0) to verify that the CPE correctly applies the configuration.</t>
  </si>
  <si>
    <t xml:space="preserve">1.	Run the following commands on the CPE console:
ubus-cli QoS.Scheduler.1.SchedulerAlgorithm="SP"
ubus-cli QoS.Scheduler.1.Interface="Device.Ethernet.Interface.1"
ubus-cli QoS.Scheduler.1.Enable=0
2.	Confirm that no error occurs after running the above commands.
</t>
  </si>
  <si>
    <t>Expected: Scheduler disabled (return error)
root@prplOS:/# tmctl getqcfg --devtype 0 --if eth0 --qid 0
tmctl: tmctl_getQueueCfg() failed, ret = 1.
ret code = 108.</t>
  </si>
  <si>
    <r>
      <rPr>
        <sz val="9"/>
        <color rgb="FF000000"/>
        <rFont val="Calibri"/>
        <scheme val="minor"/>
      </rPr>
      <t xml:space="preserve">root@prplOS:/# bs /b/e egress_tm/index=3
Object: egress_tm/index=3. Object type: egress_tm. Owned by: port/name=eth0
==============================
                 dir : ds
               index : 3
               level : queue
                mode : </t>
    </r>
    <r>
      <rPr>
        <sz val="9"/>
        <color rgb="FFFF0000"/>
        <rFont val="Calibri"/>
        <scheme val="minor"/>
      </rPr>
      <t xml:space="preserve">sp
</t>
    </r>
    <r>
      <rPr>
        <sz val="9"/>
        <color rgb="FF000000"/>
        <rFont val="Calibri"/>
        <scheme val="minor"/>
      </rPr>
      <t xml:space="preserve">          overall_rl : no
       service_queue : {enable=no}
        rl_rate_mode : single_rate
          rate_limit : not configured
          num_queues : 8
              weight : 0
           aqm_stats : no
     subsidiary_type : unspecified</t>
    </r>
  </si>
  <si>
    <r>
      <rPr>
        <sz val="9"/>
        <color rgb="FF000000"/>
        <rFont val="Calibri"/>
        <scheme val="minor"/>
      </rPr>
      <t xml:space="preserve">root@prplOS:~# bs /b/e egress_tm/index=3
Object: egress_tm/index=3. Object type: egress_tm. Owned by: port/name=eth0
==============================
                 dir : ds
               index : 3
               level : queue
                mode : </t>
    </r>
    <r>
      <rPr>
        <sz val="9"/>
        <color rgb="FFFF0000"/>
        <rFont val="Calibri"/>
        <scheme val="minor"/>
      </rPr>
      <t xml:space="preserve">sp
</t>
    </r>
    <r>
      <rPr>
        <sz val="9"/>
        <color rgb="FF000000"/>
        <rFont val="Calibri"/>
        <scheme val="minor"/>
      </rPr>
      <t xml:space="preserve">          overall_rl : no
       service_queue : {enable=no}
        rl_rate_mode : single_rate
          rate_limit : not configured
          num_queues : 8
              weight : 0
           aqm_stats : no
     subsidiary_type : unspecified</t>
    </r>
  </si>
  <si>
    <t>Activate a Platform Specific Shaper: activate-shaper</t>
  </si>
  <si>
    <t>Activate the port shaper with a shaping rate of 125 Mbps on the WAN port (eth0) to verify that the CPE correctly applies the configuration.</t>
  </si>
  <si>
    <t xml:space="preserve">1.	Run the following commands on the CPE console:
ubus-cli QoS.Shaper.1.Interface="Device.Ethernet.Interface.1."
ubus-cli QoS.Shaper.1.ShapingRate=125000000
ubus-cli QoS.Shaper.1.Enable=1
ubus-cli QoS.Scheduler.1.Enable=1
2.	Confirm that no error occurs after running the above commands.
</t>
  </si>
  <si>
    <r>
      <rPr>
        <sz val="9"/>
        <color rgb="FF000000"/>
        <rFont val="Calibri"/>
        <scheme val="minor"/>
      </rPr>
      <t>Expected: ShapingRate=125000 (kbps)
root@prplOS:/# tmctl getportshaper --devtype 0 --if eth0
    shaper   : (</t>
    </r>
    <r>
      <rPr>
        <sz val="9"/>
        <color rgb="FFFF0000"/>
        <rFont val="Calibri"/>
        <scheme val="minor"/>
      </rPr>
      <t>125000</t>
    </r>
    <r>
      <rPr>
        <sz val="9"/>
        <color rgb="FF000000"/>
        <rFont val="Calibri"/>
        <scheme val="minor"/>
      </rPr>
      <t>, 0, 0)
    overhead : 0 (L2)
ret code = 0</t>
    </r>
  </si>
  <si>
    <r>
      <rPr>
        <sz val="9"/>
        <color rgb="FF000000"/>
        <rFont val="Calibri"/>
        <scheme val="minor"/>
      </rPr>
      <t>root@prplOS:/# bs /b/e egress_tm/index=3
Object: egress_tm/index=3. Object type: egress_tm. Owned by: port/name=eth0
==============================
                 dir : ds
               index : 3
               level : queue
                mode : sp
          overall_rl : no
       service_queue : {enable=no}
        rl_rate_mode : single_rate
          rate_limit : rate_limit/index=0{af=</t>
    </r>
    <r>
      <rPr>
        <sz val="9"/>
        <color rgb="FFFF0000"/>
        <rFont val="Calibri"/>
        <scheme val="minor"/>
      </rPr>
      <t>125000000</t>
    </r>
    <r>
      <rPr>
        <sz val="9"/>
        <color rgb="FF000000"/>
        <rFont val="Calibri"/>
        <scheme val="minor"/>
      </rPr>
      <t>,be=0}
          num_queues : 8
        queue_cfg[0] : {queue_id=0,drop_threshold=4190208,weight=0,drop_alg=dt,reserved_packet_buffers=1,active=yes}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{passed={packets=540,bytes=55340},discarded={packets=0,bytes=0}}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</si>
  <si>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r>
      <rPr>
        <sz val="9"/>
        <color rgb="FF000000"/>
        <rFont val="Calibri"/>
        <scheme val="minor"/>
      </rPr>
      <t>root@prplOS:~# bs /b/e egress_tm/index=3
Object: egress_tm/index=3. Object type: egress_tm. Owned by: port/name=eth0
==============================
                 dir : ds
               index : 3
               level : queue
                mode : sp
          overall_rl : no
       service_queue : {enable=no}
        rl_rate_mode : dual_rate
          rate_limit : rate_limit/index=0{af=</t>
    </r>
    <r>
      <rPr>
        <sz val="9"/>
        <color rgb="FFFF0000"/>
        <rFont val="Calibri"/>
        <scheme val="minor"/>
      </rPr>
      <t>125000000</t>
    </r>
    <r>
      <rPr>
        <sz val="9"/>
        <color rgb="FF000000"/>
        <rFont val="Calibri"/>
        <scheme val="minor"/>
      </rPr>
      <t>,be=0}
          num_queues : 8
        queue_cfg[0] : {queue_id=0,drop_threshold=4190208,weight=0,drop_alg=dt,reserved_packet_buffers=1,active=yes}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{passed={packets=0,bytes=0},discarded={packets=0,bytes=0}}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</si>
  <si>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t>Deactivate a Platform Specific Shaper: deactivate-shaper</t>
  </si>
  <si>
    <t>Deactivate the port shaper on the WAN port (eth0) to verify that the CPE correctly applies the configuration.</t>
  </si>
  <si>
    <t xml:space="preserve">1.	Run the following commands on the CPE console:
ubus-cli QoS.Shaper.1.Enable=0
2.	Confirm that no error occurs after running the above commands.
</t>
  </si>
  <si>
    <r>
      <rPr>
        <sz val="9"/>
        <color rgb="FF000000"/>
        <rFont val="Calibri"/>
        <scheme val="minor"/>
      </rPr>
      <t>Expected: ShapingRate=0  (shaper disabled)
root@prplOS:/# tmctl getportshaper --devtype 0 --if eth0
    shaper   : (</t>
    </r>
    <r>
      <rPr>
        <sz val="9"/>
        <color rgb="FFFF0000"/>
        <rFont val="Calibri"/>
        <scheme val="minor"/>
      </rPr>
      <t>0</t>
    </r>
    <r>
      <rPr>
        <sz val="9"/>
        <color rgb="FF000000"/>
        <rFont val="Calibri"/>
        <scheme val="minor"/>
      </rPr>
      <t>, 0, 0)
    overhead : 0 (L2)
ret code = 0</t>
    </r>
  </si>
  <si>
    <r>
      <rPr>
        <sz val="9"/>
        <color rgb="FF000000"/>
        <rFont val="Calibri"/>
        <scheme val="minor"/>
      </rPr>
      <t xml:space="preserve">root@prplOS:/# bs /b/e egress_tm/index=3
ERR: __rdpa_cpu_send_pbuf#1664: can't map DS port/queue 2/0 P0 to RDD. rc=-5
Object: egress_tm/index=3. Object type: egress_tm. Owned by: port/name=eth0
==============================
                 dir : ds
               index : 3
               level : queue
                mode : sp
          overall_rl : no
       service_queue : {enable=no}
        rl_rate_mode : single_rate
          rate_limit : </t>
    </r>
    <r>
      <rPr>
        <sz val="9"/>
        <color rgb="FFFF0000"/>
        <rFont val="Calibri"/>
        <scheme val="minor"/>
      </rPr>
      <t xml:space="preserve">not configured
</t>
    </r>
    <r>
      <rPr>
        <sz val="9"/>
        <color rgb="FF000000"/>
        <rFont val="Calibri"/>
        <scheme val="minor"/>
      </rPr>
      <t xml:space="preserve">          num_queues : 8
              weight : 0
           aqm_stats : no
     subsidiary_type : unspecified
root@prplOS:/#</t>
    </r>
  </si>
  <si>
    <r>
      <rPr>
        <sz val="9"/>
        <color rgb="FF000000"/>
        <rFont val="Calibri"/>
        <scheme val="minor"/>
      </rPr>
      <t xml:space="preserve">root@prplOS:~# bs /b/e egress_tm/index=3
Object: egress_tm/index=3. Object type: egress_tm. Owned by: port/name=eth0
==============================
                 dir : ds
               index : 3
               level : queue
                mode : sp
          overall_rl : no
       service_queue : {enable=no}
        rl_rate_mode : dual_rate
          rate_limit : </t>
    </r>
    <r>
      <rPr>
        <sz val="9"/>
        <color rgb="FFFF0000"/>
        <rFont val="Calibri"/>
        <scheme val="minor"/>
      </rPr>
      <t xml:space="preserve">not configured
</t>
    </r>
    <r>
      <rPr>
        <sz val="9"/>
        <color rgb="FF000000"/>
        <rFont val="Calibri"/>
        <scheme val="minor"/>
      </rPr>
      <t xml:space="preserve">          num_queues : 8
              weight : 0
           aqm_stats : no
     subsidiary_type : unspecified</t>
    </r>
  </si>
  <si>
    <t>Activate a Platform Specific Queue: activate-queue</t>
  </si>
  <si>
    <r>
      <rPr>
        <sz val="9"/>
        <color rgb="FF000000"/>
        <rFont val="Calibri"/>
        <scheme val="minor"/>
      </rPr>
      <t xml:space="preserve">Activate a queue with the following configurations on the WAN port (eth0) to verify that the CPE correctly applies them.
。	Weight is 0.
。	Precedence is 1.
In the tr181 data model definition, lower numbers indicate higher precedence. However, on the Broadcom platform, the queue priority range from 0 to 7 (MAX_Q_PRIO - 1), where lower numbers represent lower priority. Therefore, if the precedence is 1, the corresponding queue priority on the Broadcom platform will be 7.
。	Drop algorithm is DT.
。	Scheduler algorithm is SP.
。	Shaping rate is 125 Mbps.
。	</t>
    </r>
    <r>
      <rPr>
        <sz val="9"/>
        <color rgb="FFFF0000"/>
        <rFont val="Calibri"/>
        <scheme val="minor"/>
      </rPr>
      <t xml:space="preserve">Assured rate is 30 Mbps.
。	Buffer Length is 3840000 bytes   (Note: BufferLength=3840000 bytes = 2500 packets × 1536 bytes/packet)
</t>
    </r>
    <r>
      <rPr>
        <sz val="9"/>
        <color rgb="FF000000"/>
        <rFont val="Calibri"/>
        <scheme val="minor"/>
      </rPr>
      <t xml:space="preserve">。	Queue key is 0.
On the Broadcom platform, the queue key corresponds to the queue ID.
</t>
    </r>
  </si>
  <si>
    <r>
      <rPr>
        <sz val="9"/>
        <color rgb="FF000000"/>
        <rFont val="Calibri"/>
        <scheme val="minor"/>
      </rPr>
      <t xml:space="preserve">1.	Run the following commands on the CPE console:
ubus-cli QoS.Queue.1.Weight=0
ubus-cli QoS.Queue.1.Precedence=1
ubus-cli QoS.Queue.1.DropAlgorithm="DT"
ubus-cli QoS.Queue.1.SchedulerAlgorithm="SP"
ubus-cli QoS.Queue.1.ShapingRate=125000000
</t>
    </r>
    <r>
      <rPr>
        <sz val="9"/>
        <color rgb="FFFF0000"/>
        <rFont val="Calibri"/>
        <scheme val="minor"/>
      </rPr>
      <t xml:space="preserve">ubus-cli QoS.Queue.1.AssuredRate=30000000
ubus-cli QoS.Queue.1.BufferLength=3840000
</t>
    </r>
    <r>
      <rPr>
        <sz val="9"/>
        <color rgb="FF000000"/>
        <rFont val="Calibri"/>
        <scheme val="minor"/>
      </rPr>
      <t xml:space="preserve">ubus-cli QoS.Queue.1.QueueKey=0
ubus-cli QoS.Queue.1.Enable=1
ubus-cli QoS.Shaper.1.Enable=1
ubus-cli QoS.Scheduler.1.SchedulerAlgorithm="SP"
ubus-cli QoS.Scheduler.1.Enable=1
2.	Confirm that no error occurs after running the above commands.
</t>
    </r>
  </si>
  <si>
    <r>
      <rPr>
        <sz val="9"/>
        <color rgb="FF000000"/>
        <rFont val="Calibri"/>
        <scheme val="minor"/>
      </rPr>
      <t xml:space="preserve">root@prplOS:/# tmctl getqcfg --devtype 0 --if eth0 --qid 0
    qid      : 0
    priority : </t>
    </r>
    <r>
      <rPr>
        <sz val="9"/>
        <color rgb="FFFF0000"/>
        <rFont val="Calibri"/>
        <scheme val="minor"/>
      </rPr>
      <t xml:space="preserve">7
</t>
    </r>
    <r>
      <rPr>
        <sz val="9"/>
        <color rgb="FF000000"/>
        <rFont val="Calibri"/>
        <scheme val="minor"/>
      </rPr>
      <t xml:space="preserve">    qsize    : </t>
    </r>
    <r>
      <rPr>
        <sz val="9"/>
        <color rgb="FFFF0000"/>
        <rFont val="Calibri"/>
        <scheme val="minor"/>
      </rPr>
      <t xml:space="preserve">2500
</t>
    </r>
    <r>
      <rPr>
        <sz val="9"/>
        <color rgb="FF000000"/>
        <rFont val="Calibri"/>
        <scheme val="minor"/>
      </rPr>
      <t xml:space="preserve">    weight   : </t>
    </r>
    <r>
      <rPr>
        <sz val="9"/>
        <color rgb="FFFF0000"/>
        <rFont val="Calibri"/>
        <scheme val="minor"/>
      </rPr>
      <t xml:space="preserve">0
</t>
    </r>
    <r>
      <rPr>
        <sz val="9"/>
        <color rgb="FF000000"/>
        <rFont val="Calibri"/>
        <scheme val="minor"/>
      </rPr>
      <t xml:space="preserve">    minBufs  : 1
    schedMode: </t>
    </r>
    <r>
      <rPr>
        <sz val="9"/>
        <color rgb="FFFF0000"/>
        <rFont val="Calibri"/>
        <scheme val="minor"/>
      </rPr>
      <t xml:space="preserve">1
</t>
    </r>
    <r>
      <rPr>
        <sz val="9"/>
        <color rgb="FF000000"/>
        <rFont val="Calibri"/>
        <scheme val="minor"/>
      </rPr>
      <t xml:space="preserve">    shaper   : (</t>
    </r>
    <r>
      <rPr>
        <sz val="9"/>
        <color rgb="FFFF0000"/>
        <rFont val="Calibri"/>
        <scheme val="minor"/>
      </rPr>
      <t>125000</t>
    </r>
    <r>
      <rPr>
        <sz val="9"/>
        <color rgb="FF000000"/>
        <rFont val="Calibri"/>
        <scheme val="minor"/>
      </rPr>
      <t xml:space="preserve">, 0, </t>
    </r>
    <r>
      <rPr>
        <sz val="9"/>
        <color rgb="FFFF0000"/>
        <rFont val="Calibri"/>
        <scheme val="minor"/>
      </rPr>
      <t>30000</t>
    </r>
    <r>
      <rPr>
        <sz val="9"/>
        <color rgb="FF000000"/>
        <rFont val="Calibri"/>
        <scheme val="minor"/>
      </rPr>
      <t xml:space="preserve">)
ret code = 0.
root@prplOS:/# tmctl getqdropalg --devtype 0 --if eth0 --qid 0
    algorithm  : </t>
    </r>
    <r>
      <rPr>
        <sz val="9"/>
        <color rgb="FFFF0000"/>
        <rFont val="Calibri"/>
        <scheme val="minor"/>
      </rPr>
      <t xml:space="preserve">0
</t>
    </r>
    <r>
      <rPr>
        <sz val="9"/>
        <color rgb="FF000000"/>
        <rFont val="Calibri"/>
        <scheme val="minor"/>
      </rPr>
      <t>ret code = 0.
。	schedMode = 1 (SP), 2 (WRR)
。	shaper : (shaping rate, shaping burst size, assured rate)
。	algorithm = 0 (DT), 1 (RED)</t>
    </r>
  </si>
  <si>
    <r>
      <rPr>
        <sz val="9"/>
        <color rgb="FF000000"/>
        <rFont val="Calibri"/>
        <scheme val="minor"/>
      </rPr>
      <t xml:space="preserve">Verify that the queue is activated with the above configurations using the following commands:
      tmctl getqcfg --devtype 0 --if eth0 --qid 0
      tmctl getqdropalg --devtype 0 --if eth0 --qid 0
Output should be:
root@prplOS:/# tmctl getqcfg --devtype 0 --if eth0 --qid 0
    qid      : </t>
    </r>
    <r>
      <rPr>
        <sz val="9"/>
        <color rgb="FFFF0000"/>
        <rFont val="Calibri"/>
        <scheme val="minor"/>
      </rPr>
      <t xml:space="preserve">0
</t>
    </r>
    <r>
      <rPr>
        <sz val="9"/>
        <color rgb="FF000000"/>
        <rFont val="Calibri"/>
        <scheme val="minor"/>
      </rPr>
      <t xml:space="preserve">    priority : </t>
    </r>
    <r>
      <rPr>
        <sz val="9"/>
        <color rgb="FFFF0000"/>
        <rFont val="Calibri"/>
        <scheme val="minor"/>
      </rPr>
      <t xml:space="preserve">7
</t>
    </r>
    <r>
      <rPr>
        <sz val="9"/>
        <color rgb="FF000000"/>
        <rFont val="Calibri"/>
        <scheme val="minor"/>
      </rPr>
      <t xml:space="preserve">    qsize    : </t>
    </r>
    <r>
      <rPr>
        <sz val="9"/>
        <color rgb="FFFF0000"/>
        <rFont val="Calibri"/>
        <scheme val="minor"/>
      </rPr>
      <t xml:space="preserve">2728
</t>
    </r>
    <r>
      <rPr>
        <sz val="9"/>
        <color rgb="FF000000"/>
        <rFont val="Calibri"/>
        <scheme val="minor"/>
      </rPr>
      <t xml:space="preserve">    weight   : </t>
    </r>
    <r>
      <rPr>
        <sz val="9"/>
        <color rgb="FFFF0000"/>
        <rFont val="Calibri"/>
        <scheme val="minor"/>
      </rPr>
      <t xml:space="preserve">0
</t>
    </r>
    <r>
      <rPr>
        <sz val="9"/>
        <color rgb="FF000000"/>
        <rFont val="Calibri"/>
        <scheme val="minor"/>
      </rPr>
      <t xml:space="preserve">    minBufs  : </t>
    </r>
    <r>
      <rPr>
        <sz val="9"/>
        <color rgb="FFFF0000"/>
        <rFont val="Calibri"/>
        <scheme val="minor"/>
      </rPr>
      <t xml:space="preserve">1
</t>
    </r>
    <r>
      <rPr>
        <sz val="9"/>
        <color rgb="FF000000"/>
        <rFont val="Calibri"/>
        <scheme val="minor"/>
      </rPr>
      <t xml:space="preserve">    schedMode: </t>
    </r>
    <r>
      <rPr>
        <sz val="9"/>
        <color rgb="FFFF0000"/>
        <rFont val="Calibri"/>
        <scheme val="minor"/>
      </rPr>
      <t xml:space="preserve">1
</t>
    </r>
    <r>
      <rPr>
        <sz val="9"/>
        <color rgb="FF000000"/>
        <rFont val="Calibri"/>
        <scheme val="minor"/>
      </rPr>
      <t xml:space="preserve">    shaper   : (</t>
    </r>
    <r>
      <rPr>
        <sz val="9"/>
        <color rgb="FFFF0000"/>
        <rFont val="Calibri"/>
        <scheme val="minor"/>
      </rPr>
      <t>125000</t>
    </r>
    <r>
      <rPr>
        <sz val="9"/>
        <color rgb="FF000000"/>
        <rFont val="Calibri"/>
        <scheme val="minor"/>
      </rPr>
      <t xml:space="preserve">, 0, 0)
ret code = 0.
root@prplOS:/# tmctl getqdropalg --devtype 0 --if eth0 --qid 0
    algorithm  : </t>
    </r>
    <r>
      <rPr>
        <sz val="9"/>
        <color rgb="FFFF0000"/>
        <rFont val="Calibri"/>
        <scheme val="minor"/>
      </rPr>
      <t xml:space="preserve">0
</t>
    </r>
    <r>
      <rPr>
        <sz val="9"/>
        <color rgb="FF000000"/>
        <rFont val="Calibri"/>
        <scheme val="minor"/>
      </rPr>
      <t xml:space="preserve">
。	schedMode = 1 (SP), 2 (WRR)
。	shaper : (shaping rate, shaping burst size, assured rate)
。	algorithm = 0 (DT), 1 (RED)</t>
    </r>
  </si>
  <si>
    <r>
      <rPr>
        <sz val="9"/>
        <color rgb="FF000000"/>
        <rFont val="Calibri"/>
        <scheme val="minor"/>
      </rPr>
      <t xml:space="preserve">Verify that the queue is activated with the above configurations using the following commands:
      tmctl getqcfg --devtype 0 --if eth0 --qid 0
      tmctl getqdropalg --devtype 0 --if eth0 --qid 0
Output should be:
root@prplOS:~# tmctl getqcfg --devtype 0 --if eth0 --qid 0
    qid      : </t>
    </r>
    <r>
      <rPr>
        <sz val="9"/>
        <color rgb="FFFF0000"/>
        <rFont val="Calibri"/>
        <scheme val="minor"/>
      </rPr>
      <t xml:space="preserve">0
</t>
    </r>
    <r>
      <rPr>
        <sz val="9"/>
        <color rgb="FF000000"/>
        <rFont val="Calibri"/>
        <scheme val="minor"/>
      </rPr>
      <t xml:space="preserve">    priority : </t>
    </r>
    <r>
      <rPr>
        <sz val="9"/>
        <color rgb="FFFF0000"/>
        <rFont val="Calibri"/>
        <scheme val="minor"/>
      </rPr>
      <t xml:space="preserve">7
</t>
    </r>
    <r>
      <rPr>
        <sz val="9"/>
        <color rgb="FF000000"/>
        <rFont val="Calibri"/>
        <scheme val="minor"/>
      </rPr>
      <t xml:space="preserve">    qsize    : </t>
    </r>
    <r>
      <rPr>
        <sz val="9"/>
        <color rgb="FFFF0000"/>
        <rFont val="Calibri"/>
        <scheme val="minor"/>
      </rPr>
      <t xml:space="preserve">2500
</t>
    </r>
    <r>
      <rPr>
        <sz val="9"/>
        <color rgb="FF000000"/>
        <rFont val="Calibri"/>
        <scheme val="minor"/>
      </rPr>
      <t xml:space="preserve">    weight   : </t>
    </r>
    <r>
      <rPr>
        <sz val="9"/>
        <color rgb="FFFF0000"/>
        <rFont val="Calibri"/>
        <scheme val="minor"/>
      </rPr>
      <t xml:space="preserve">0
</t>
    </r>
    <r>
      <rPr>
        <sz val="9"/>
        <color rgb="FF000000"/>
        <rFont val="Calibri"/>
        <scheme val="minor"/>
      </rPr>
      <t xml:space="preserve">    minBufs  : </t>
    </r>
    <r>
      <rPr>
        <sz val="9"/>
        <color rgb="FFFF0000"/>
        <rFont val="Calibri"/>
        <scheme val="minor"/>
      </rPr>
      <t xml:space="preserve">1
</t>
    </r>
    <r>
      <rPr>
        <sz val="9"/>
        <color rgb="FF000000"/>
        <rFont val="Calibri"/>
        <scheme val="minor"/>
      </rPr>
      <t xml:space="preserve">    schedMode: </t>
    </r>
    <r>
      <rPr>
        <sz val="9"/>
        <color rgb="FFFF0000"/>
        <rFont val="Calibri"/>
        <scheme val="minor"/>
      </rPr>
      <t xml:space="preserve">1
</t>
    </r>
    <r>
      <rPr>
        <sz val="9"/>
        <color rgb="FF000000"/>
        <rFont val="Calibri"/>
        <scheme val="minor"/>
      </rPr>
      <t xml:space="preserve">    shaper   : (</t>
    </r>
    <r>
      <rPr>
        <sz val="9"/>
        <color rgb="FFFF0000"/>
        <rFont val="Calibri"/>
        <scheme val="minor"/>
      </rPr>
      <t>125000</t>
    </r>
    <r>
      <rPr>
        <sz val="9"/>
        <color rgb="FF000000"/>
        <rFont val="Calibri"/>
        <scheme val="minor"/>
      </rPr>
      <t xml:space="preserve">, 0, </t>
    </r>
    <r>
      <rPr>
        <sz val="9"/>
        <color rgb="FFFF0000"/>
        <rFont val="Calibri"/>
        <scheme val="minor"/>
      </rPr>
      <t>30000</t>
    </r>
    <r>
      <rPr>
        <sz val="9"/>
        <color rgb="FF000000"/>
        <rFont val="Calibri"/>
        <scheme val="minor"/>
      </rPr>
      <t xml:space="preserve">)
ret code = 0.
root@prplOS:~# tmctl getqdropalg --devtype 0 --if eth0 --qid 0
    algorithm  : </t>
    </r>
    <r>
      <rPr>
        <sz val="9"/>
        <color rgb="FFFF0000"/>
        <rFont val="Calibri"/>
        <scheme val="minor"/>
      </rPr>
      <t xml:space="preserve">0
</t>
    </r>
    <r>
      <rPr>
        <sz val="9"/>
        <color rgb="FF000000"/>
        <rFont val="Calibri"/>
        <scheme val="minor"/>
      </rPr>
      <t>。	schedMode = 1 (SP), 2 (WRR)
。	shaper : (shaping rate, shaping burst size, assured rate)
。	algorithm = 0 (DT), 1 (RED)</t>
    </r>
  </si>
  <si>
    <t>Activate a queue with scheduler algorithm WRR and weight 20 on the WAN port (eth0) to verify that the CPE correctly applies them.</t>
  </si>
  <si>
    <r>
      <rPr>
        <sz val="9"/>
        <color rgb="FF000000"/>
        <rFont val="Calibri"/>
        <scheme val="minor"/>
      </rPr>
      <t xml:space="preserve">1.	Run the following commands on the CPE console:
ubus-cli QoS.Queue.1.Weight=20
ubus-cli QoS.Queue.1.Precedence=1
</t>
    </r>
    <r>
      <rPr>
        <sz val="9"/>
        <color rgb="FFFF0000"/>
        <rFont val="Calibri"/>
        <scheme val="minor"/>
      </rPr>
      <t xml:space="preserve">ubus-cli QoS.Queue.1.DropAlgorithm="DT"
</t>
    </r>
    <r>
      <rPr>
        <sz val="9"/>
        <color rgb="FF000000"/>
        <rFont val="Calibri"/>
        <scheme val="minor"/>
      </rPr>
      <t>ubus-cli QoS.Queue.1.SchedulerAlgorithm="WRR"
ubus-cli QoS.Queue.1.ShapingRate=-1
ubus-cli QoS.Queue.1.QueueKey=0
ubus-cli QoS.Queue.1.Enable=1
ubus-cli QoS.Shaper.1.Enable=1
ubus-cli QoS.Scheduler.1.SchedulerAlgorithm="WRR"
ubus-cli QoS.Scheduler.1.Enable=1
2.	Confirm that no error occurs after running the above commands.</t>
    </r>
  </si>
  <si>
    <r>
      <rPr>
        <sz val="9"/>
        <color rgb="FF000000"/>
        <rFont val="Calibri"/>
        <scheme val="minor"/>
      </rPr>
      <t xml:space="preserve">root@prplOS:/# tmctl getqcfg --devtype 0 --if eth0 --qid 0
    qid      : 0
    priority : -1
    qsize    : 2500
    weight   : </t>
    </r>
    <r>
      <rPr>
        <sz val="9"/>
        <color rgb="FFFF0000"/>
        <rFont val="Calibri"/>
        <scheme val="minor"/>
      </rPr>
      <t xml:space="preserve">20
</t>
    </r>
    <r>
      <rPr>
        <sz val="9"/>
        <color rgb="FF000000"/>
        <rFont val="Calibri"/>
        <scheme val="minor"/>
      </rPr>
      <t xml:space="preserve">    minBufs  : 1
    schedMode: </t>
    </r>
    <r>
      <rPr>
        <sz val="9"/>
        <color rgb="FFFF0000"/>
        <rFont val="Calibri"/>
        <scheme val="minor"/>
      </rPr>
      <t xml:space="preserve">2
</t>
    </r>
    <r>
      <rPr>
        <sz val="9"/>
        <color rgb="FF000000"/>
        <rFont val="Calibri"/>
        <scheme val="minor"/>
      </rPr>
      <t xml:space="preserve">    shaper   : (0, 0, 0)
ret code = 0.
。	schedMode = 1 (SP), 2 (WRR)</t>
    </r>
  </si>
  <si>
    <r>
      <rPr>
        <sz val="9"/>
        <color rgb="FF000000"/>
        <rFont val="Calibri"/>
        <scheme val="minor"/>
      </rPr>
      <t xml:space="preserve">Verify that the queue is activated with the above configurations using the following commands:
      tmctl getqcfg --devtype 0 --if eth0 --qid 0
Output should be:
root@prplOS:/# tmctl getqcfg --devtype 0 --if eth0 --qid 0
    qid      : 0
    priority : -1
    qsize    : 2728
    weight   : </t>
    </r>
    <r>
      <rPr>
        <sz val="9"/>
        <color rgb="FFFF0000"/>
        <rFont val="Calibri"/>
        <scheme val="minor"/>
      </rPr>
      <t xml:space="preserve">20
</t>
    </r>
    <r>
      <rPr>
        <sz val="9"/>
        <color rgb="FF000000"/>
        <rFont val="Calibri"/>
        <scheme val="minor"/>
      </rPr>
      <t xml:space="preserve">    minBufs  : 1
    schedMode: </t>
    </r>
    <r>
      <rPr>
        <sz val="9"/>
        <color rgb="FFFF0000"/>
        <rFont val="Calibri"/>
        <scheme val="minor"/>
      </rPr>
      <t xml:space="preserve">2
</t>
    </r>
    <r>
      <rPr>
        <sz val="9"/>
        <color rgb="FF000000"/>
        <rFont val="Calibri"/>
        <scheme val="minor"/>
      </rPr>
      <t xml:space="preserve">    shaper   : (0, 0, 0)
ret code = 0.
root@prplOS:/#</t>
    </r>
  </si>
  <si>
    <r>
      <rPr>
        <sz val="9"/>
        <color rgb="FF000000"/>
        <rFont val="Calibri"/>
        <scheme val="minor"/>
      </rPr>
      <t>Verify that the queue is activated with the above configurations using the following commands:
      tmctl getqcfg --devtype 0 --if eth0 --qid 0
Output should be:
root@prplOS:~# tmctl getqcfg --devtype 0 --if eth0 --qid 0
    qid      :</t>
    </r>
    <r>
      <rPr>
        <sz val="9"/>
        <color rgb="FFFF0000"/>
        <rFont val="Calibri"/>
        <scheme val="minor"/>
      </rPr>
      <t xml:space="preserve"> 0
</t>
    </r>
    <r>
      <rPr>
        <sz val="9"/>
        <color rgb="FF000000"/>
        <rFont val="Calibri"/>
        <scheme val="minor"/>
      </rPr>
      <t xml:space="preserve">    priority : -1
    qsize    : 2500
    weight   : </t>
    </r>
    <r>
      <rPr>
        <sz val="9"/>
        <color rgb="FFFF0000"/>
        <rFont val="Calibri"/>
        <scheme val="minor"/>
      </rPr>
      <t xml:space="preserve">20
</t>
    </r>
    <r>
      <rPr>
        <sz val="9"/>
        <color rgb="FF000000"/>
        <rFont val="Calibri"/>
        <scheme val="minor"/>
      </rPr>
      <t xml:space="preserve">    minBufs  : 1
    schedMode: </t>
    </r>
    <r>
      <rPr>
        <sz val="9"/>
        <color rgb="FFFF0000"/>
        <rFont val="Calibri"/>
        <scheme val="minor"/>
      </rPr>
      <t xml:space="preserve">2
</t>
    </r>
    <r>
      <rPr>
        <sz val="9"/>
        <color rgb="FF000000"/>
        <rFont val="Calibri"/>
        <scheme val="minor"/>
      </rPr>
      <t xml:space="preserve">    shaper   : (0, 0, 0)
ret code = 0.</t>
    </r>
  </si>
  <si>
    <r>
      <rPr>
        <sz val="9"/>
        <color rgb="FF000000"/>
        <rFont val="Calibri"/>
        <scheme val="minor"/>
      </rPr>
      <t xml:space="preserve">Set the drop algorithm of the queue to RED with the following default configurations on the WAN port (eth0) to verify that the CPE correctly applies them.
。	RED Threshold (minimum threshold) is 0
。	RED Percentage is 0
</t>
    </r>
    <r>
      <rPr>
        <sz val="9"/>
        <color rgb="FFFF0000"/>
        <rFont val="Calibri"/>
        <scheme val="minor"/>
      </rPr>
      <t>。	Buffer Length is 3840000 bytes   (Note: BufferLength=3840000 bytes = 2500 packets × 1536 bytes/packet)</t>
    </r>
  </si>
  <si>
    <r>
      <rPr>
        <sz val="9"/>
        <color rgb="FF000000"/>
        <rFont val="Calibri"/>
        <scheme val="minor"/>
      </rPr>
      <t xml:space="preserve">1.	Run the following commands on the CPE console:
ubus-cli QoS.Queue.1.Weight=0
ubus-cli QoS.Queue.1.Precedence=1
ubus-cli QoS.Queue.1.SchedulerAlgorithm="SP"
ubus-cli QoS.Queue.1.DropAlgorithm="RED"
ubus-cli QoS.Queue.1.REDThreshold=0
ubus-cli QoS.Queue.1.REDPercentage=0
ubus-cli QoS.Queue.1.ShapingRate=125000000
</t>
    </r>
    <r>
      <rPr>
        <sz val="9"/>
        <color rgb="FFFF0000"/>
        <rFont val="Calibri"/>
        <scheme val="minor"/>
      </rPr>
      <t xml:space="preserve">ubus-cli QoS.Queue.1.BufferLength=3840000
</t>
    </r>
    <r>
      <rPr>
        <sz val="9"/>
        <color rgb="FF000000"/>
        <rFont val="Calibri"/>
        <scheme val="minor"/>
      </rPr>
      <t xml:space="preserve">ubus-cli QoS.Queue.1.QueueKey=0
ubus-cli QoS.Queue.1.Enable=1
ubus-cli QoS.Shaper.1.ShapingRate=125000000
ubus-cli QoS.Shaper.1.Enable=1
ubus-cli QoS.Scheduler.1.SchedulerAlgorithm="SP"
ubus-cli QoS.Scheduler.1.Enable=1
2.	Confirm that no error occurs after running the above commands.
</t>
    </r>
  </si>
  <si>
    <r>
      <rPr>
        <sz val="9"/>
        <color rgb="FF000000"/>
        <rFont val="Calibri"/>
        <scheme val="minor"/>
      </rPr>
      <t xml:space="preserve">According to the TR181 v2.16.0 standard, if the REDThreshold and REDPercentage are set to zero, the CPE MUST automatically select appropriate values for the following parameters.
。	RED minimum threshold (min_th), maximum threshold (max_th) and weight (w_q)
。	The maximum value of the packet marking probability (max_p)
For the BRCM implementation, the following default settings will be applied:
	redMinThreshold: 20% of the queue size
	redMaxThreshold: 60% of the queue size (equivalent to 3 × 20%)
	redPercentage: 10% (drop probability)
Expected: alorithm=1 (RED)
min_threshold = qsize * 20% (e.g. 2500 * 0.2 = 500)
max_threshold = qsize * 60% (e.g. 2500 * 0.6 = 1500)
REDPercentage HW Limitation: Runner = 100 % (fixed value)
drop_probability = 100 (Runner)
root@prplOS:/# tmctl getqdropalg --devtype 0 --if eth0 --qid 0
    algorithm  : </t>
    </r>
    <r>
      <rPr>
        <sz val="9"/>
        <color rgb="FFFF0000"/>
        <rFont val="Calibri"/>
        <scheme val="minor"/>
      </rPr>
      <t xml:space="preserve">1
</t>
    </r>
    <r>
      <rPr>
        <sz val="9"/>
        <color rgb="FF000000"/>
        <rFont val="Calibri"/>
        <scheme val="minor"/>
      </rPr>
      <t xml:space="preserve">    queue drop minimum threshold: </t>
    </r>
    <r>
      <rPr>
        <sz val="9"/>
        <color rgb="FFFF0000"/>
        <rFont val="Calibri"/>
        <scheme val="minor"/>
      </rPr>
      <t xml:space="preserve">500
</t>
    </r>
    <r>
      <rPr>
        <sz val="9"/>
        <color rgb="FF000000"/>
        <rFont val="Calibri"/>
        <scheme val="minor"/>
      </rPr>
      <t xml:space="preserve">    queue drop maximum threshold: </t>
    </r>
    <r>
      <rPr>
        <sz val="9"/>
        <color rgb="FFFF0000"/>
        <rFont val="Calibri"/>
        <scheme val="minor"/>
      </rPr>
      <t xml:space="preserve">1500
</t>
    </r>
    <r>
      <rPr>
        <sz val="9"/>
        <color rgb="FF000000"/>
        <rFont val="Calibri"/>
        <scheme val="minor"/>
      </rPr>
      <t xml:space="preserve">    queue drop probability: </t>
    </r>
    <r>
      <rPr>
        <sz val="9"/>
        <color rgb="FFFF0000"/>
        <rFont val="Calibri"/>
        <scheme val="minor"/>
      </rPr>
      <t xml:space="preserve">100
</t>
    </r>
    <r>
      <rPr>
        <sz val="9"/>
        <color rgb="FF000000"/>
        <rFont val="Calibri"/>
        <scheme val="minor"/>
      </rPr>
      <t>ret code = 0.
。	 dropalgorithm = 0(DT)|1(RED)|2(WRED)|3(CODEL)|4(PI2)</t>
    </r>
  </si>
  <si>
    <r>
      <rPr>
        <sz val="9"/>
        <color rgb="FF000000"/>
        <rFont val="Calibri"/>
        <scheme val="minor"/>
      </rPr>
      <t>According to the TR181 v2.16.0 standard, if the REDThreshold and REDPercentage are set to zero, the CPE MUST automatically select appropriate values for the following parameters.
。	RED minimum threshold (min_th), maximum threshold (max_th) and weight (w_q)
。	The maximum value of the packet marking probability (max_p)
Verify that all RED parameters have been applied to the system using the following command:
      bs /b/e egress_tm/index=3
Output should be:
Object: egress_tm/index=3. Object type: egress_tm. Owned by: port/name=eth0
==============================
root@prplOS:/#  bs /b/e egress_tm/index=3
Object: egress_tm/index=3. Object type: egress_tm. Owned by: port/name=eth0
==============================
                 dir : ds
               index : 3
               level : queue
                mode : sp
          overall_rl : no
       service_queue : {enable=no}
        rl_rate_mode : single_rate
          rate_limit : rate_limit/index=0{af=125000000,be=0}
          num_queues : 8
        queue_cfg[0] : {queue_id=0,drop_threshold=0,weight=0,drop_alg=red,high_class={min_thresh=0,max_thresh=0,max_drop_prob=0},low_class={</t>
    </r>
    <r>
      <rPr>
        <sz val="9"/>
        <color rgb="FFFF0000"/>
        <rFont val="Calibri"/>
        <scheme val="minor"/>
      </rPr>
      <t>min_thresh=0,max_thresh=0,max_drop_prob=0</t>
    </r>
    <r>
      <rPr>
        <sz val="9"/>
        <color rgb="FF000000"/>
        <rFont val="Calibri"/>
        <scheme val="minor"/>
      </rPr>
      <t>},reserved_packet_buffers=1,rate_limit/index=1{af=125000000,be=0},active=yes}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{passed={packets=30,bytes=2944},discarded={packets=0,bytes=0}}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</si>
  <si>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r>
      <rPr>
        <sz val="9"/>
        <color rgb="FF000000"/>
        <rFont val="Calibri"/>
        <scheme val="minor"/>
      </rPr>
      <t xml:space="preserve">According to the TR181 v2.16.0 standard, if the REDThreshold and REDPercentage are set to zero, the CPE MUST automatically select appropriate values for the following parameters.
。	RED minimum threshold (min_th), maximum threshold (max_th) and weight (w_q)
。	The maximum value of the packet marking probability (max_p)
Verify that all RED parameters have been applied to the system using the following command:
      bs /b/e egress_tm/index=3
      </t>
    </r>
    <r>
      <rPr>
        <sz val="9"/>
        <color rgb="FFFF0000"/>
        <rFont val="Calibri"/>
        <scheme val="minor"/>
      </rPr>
      <t xml:space="preserve">tmctl getqdropalg --devtype 0 --if eth0 --qid 0
</t>
    </r>
    <r>
      <rPr>
        <sz val="9"/>
        <color rgb="FF000000"/>
        <rFont val="Calibri"/>
        <scheme val="minor"/>
      </rPr>
      <t xml:space="preserve">       
Output should be:
</t>
    </r>
    <r>
      <rPr>
        <sz val="9"/>
        <color rgb="FFFF0000"/>
        <rFont val="Calibri"/>
        <scheme val="minor"/>
      </rPr>
      <t xml:space="preserve">For the BRCM implementation, the following default settings will be applied:
	redMinThreshold: 20% of the queue size
	redMaxThreshold: 60% of the queue size (equivalent to 3 × 20%)
	redPercentage: 10% (drop probability)
( min_th: 2500 * 0.2 = 500 ; max_th: 2500 * 0.6 = 1500 ; max_p: 2500 * 0.1 = 250)
root@prplOS:~# tmctl getqdropalg --devtype 0 --if eth0 --qid 0
    algorithm  : 1
    queue drop minimum threshold: 500
    queue drop maximum threshold: 1500
    queue drop probability: 100 &lt;==always 100, bug?
ret code = 0.
</t>
    </r>
    <r>
      <rPr>
        <sz val="9"/>
        <color rgb="FF000000"/>
        <rFont val="Calibri"/>
        <scheme val="minor"/>
      </rPr>
      <t xml:space="preserve">
root@prplOS:~#  bs /b/e egress_tm/index=3
Object: egress_tm/index=3. Object type: egress_tm. Owned by: port/name=eth0
==============================
                 dir : ds
               index : 3
               level : queue
                mode : sp
          overall_rl : no
       service_queue : {enable=no}
        rl_rate_mode : dual_rate
          rate_limit : rate_limit/index=0{af=125000000,be=0}
          num_queues : 8
        queue_cfg[0] : {queue_id=0,drop_threshold=3840000,weight=0,drop_alg=red,high_class={min_thresh=3840000,max_thresh=3840000,max_drop_prob=0},low_class={</t>
    </r>
    <r>
      <rPr>
        <sz val="9"/>
        <color rgb="FFFF0000"/>
        <rFont val="Calibri"/>
        <scheme val="minor"/>
      </rPr>
      <t>min_thresh=768000,max_thresh=2304000,max_drop_prob=0</t>
    </r>
    <r>
      <rPr>
        <sz val="9"/>
        <color rgb="FF000000"/>
        <rFont val="Calibri"/>
        <scheme val="minor"/>
      </rPr>
      <t>},reserved_packet_buffers=1,rate_limit/index=2{af=30000000,be=125000000},active=yes}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{passed={packets=0,bytes=0},discarded={packets=0,bytes=0}}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</si>
  <si>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r>
      <rPr>
        <sz val="9"/>
        <color rgb="FF000000"/>
        <rFont val="Calibri"/>
        <scheme val="minor"/>
      </rPr>
      <t xml:space="preserve">Set the drop algorithm of the queue to RED with the following default configurations on the WAN port (eth0) to verify that the CPE correctly applies them.
。	</t>
    </r>
    <r>
      <rPr>
        <sz val="9"/>
        <color rgb="FFFF0000"/>
        <rFont val="Calibri"/>
        <scheme val="minor"/>
      </rPr>
      <t xml:space="preserve">RED Threshold is 30
</t>
    </r>
    <r>
      <rPr>
        <sz val="9"/>
        <color rgb="FF000000"/>
        <rFont val="Calibri"/>
        <scheme val="minor"/>
      </rPr>
      <t xml:space="preserve">。	RED Percentage is 20
</t>
    </r>
    <r>
      <rPr>
        <sz val="9"/>
        <color rgb="FFFF0000"/>
        <rFont val="Calibri"/>
        <scheme val="minor"/>
      </rPr>
      <t>。	Buffer Length is 3840000 bytes   (Note: BufferLength=3840000 bytes = 2500 packets × 1536 bytes/packet)</t>
    </r>
  </si>
  <si>
    <r>
      <rPr>
        <sz val="9"/>
        <color rgb="FF000000"/>
        <rFont val="Calibri"/>
        <scheme val="minor"/>
      </rPr>
      <t xml:space="preserve">1.	Run the following commands on the CPE console:
ubus-cli QoS.Queue.1.Weight=0
ubus-cli QoS.Queue.1.Precedence=1
ubus-cli QoS.Queue.1.SchedulerAlgorithm="SP"
ubus-cli QoS.Queue.1.DropAlgorithm="RED"
</t>
    </r>
    <r>
      <rPr>
        <sz val="9"/>
        <color rgb="FFFF0000"/>
        <rFont val="Calibri"/>
        <scheme val="minor"/>
      </rPr>
      <t xml:space="preserve">ubus-cli QoS.Queue.1.REDThreshold=30
</t>
    </r>
    <r>
      <rPr>
        <sz val="9"/>
        <color rgb="FF000000"/>
        <rFont val="Calibri"/>
        <scheme val="minor"/>
      </rPr>
      <t xml:space="preserve">ubus-cli QoS.Queue.1.REDPercentage=20
ubus-cli QoS.Queue.1.ShapingRate=125000000
</t>
    </r>
    <r>
      <rPr>
        <sz val="9"/>
        <color rgb="FFFF0000"/>
        <rFont val="Calibri"/>
        <scheme val="minor"/>
      </rPr>
      <t xml:space="preserve">ubus-cli QoS.Queue.1.BufferLength=3840000
</t>
    </r>
    <r>
      <rPr>
        <sz val="9"/>
        <color rgb="FF000000"/>
        <rFont val="Calibri"/>
        <scheme val="minor"/>
      </rPr>
      <t xml:space="preserve">ubus-cli QoS.Queue.1.QueueKey=0
ubus-cli QoS.Queue.1.Enable=1
ubus-cli QoS.Shaper.1.ShapingRate=125000000
ubus-cli QoS.Shaper.1.Enable=1
ubus-cli QoS.Scheduler.1.SchedulerAlgorithm="SP"
ubus-cli QoS.Scheduler.1.Enable=1
2.	Confirm that no error occurs after running the above commands.
</t>
    </r>
  </si>
  <si>
    <r>
      <rPr>
        <sz val="9"/>
        <color rgb="FF000000"/>
        <rFont val="Calibri"/>
        <scheme val="minor"/>
      </rPr>
      <t xml:space="preserve">According to TR-181, the minimum threshold (min_th) should be expressed as a percentage of the queue size.
max_th is set to 3 x min_th. 
Expected: alorithm=1 (RED)
min_threshold = qsize * 20% (e.g. 2500 * 0.3 = 750)
max_threshold = qsize * 60% (e.g. 2500 * 0.9 = 2250)
REDPercentage HW Limitation: Runner = 100 % (fixed value, cannot modify)
drop_probability = 100 (Runner)
root@prplOS:/# tmctl getqdropalg --devtype 0 --if eth0 --qid 0
    algorithm  : 1
    queue drop minimum threshold: </t>
    </r>
    <r>
      <rPr>
        <sz val="9"/>
        <color rgb="FFFF0000"/>
        <rFont val="Calibri"/>
        <scheme val="minor"/>
      </rPr>
      <t xml:space="preserve">750
</t>
    </r>
    <r>
      <rPr>
        <sz val="9"/>
        <color rgb="FF000000"/>
        <rFont val="Calibri"/>
        <scheme val="minor"/>
      </rPr>
      <t xml:space="preserve">    queue drop maximum threshold: </t>
    </r>
    <r>
      <rPr>
        <sz val="9"/>
        <color rgb="FFFF0000"/>
        <rFont val="Calibri"/>
        <scheme val="minor"/>
      </rPr>
      <t xml:space="preserve">2250
</t>
    </r>
    <r>
      <rPr>
        <sz val="9"/>
        <color rgb="FF000000"/>
        <rFont val="Calibri"/>
        <scheme val="minor"/>
      </rPr>
      <t xml:space="preserve">    queue drop probability: </t>
    </r>
    <r>
      <rPr>
        <sz val="9"/>
        <color rgb="FFFF0000"/>
        <rFont val="Calibri"/>
        <scheme val="minor"/>
      </rPr>
      <t xml:space="preserve">100
</t>
    </r>
    <r>
      <rPr>
        <sz val="9"/>
        <color rgb="FF000000"/>
        <rFont val="Calibri"/>
        <scheme val="minor"/>
      </rPr>
      <t>ret code = 0.</t>
    </r>
  </si>
  <si>
    <r>
      <rPr>
        <sz val="9"/>
        <color rgb="FF000000"/>
        <rFont val="Calibri"/>
        <scheme val="minor"/>
      </rPr>
      <t>Verify that all RED parameters have been applied to the system using the following command:
      bs /b/e egress_tm/index=3
Output should be:
Note: On the CPE, min_th is configured as PKT_SIZE (1536) × QoS.Queue.1.REDThreshold (60). 
However, the resulting threshold value is not as expected and does not align with the TR-181 definition. 
According to TR-181, the minimum threshold (min_th) should be expressed as a percentage of the queue size.
max_th is set to 3 x min_th. 
Broadcom does not support QoS.Queue.1.REDPercentage. As a result, the max_drop_prob value is always set to 0.
root@prplOS:/#  bs /b/e egress_tm/index=3
Object: egress_tm/index=3. Object type: egress_tm. Owned by: port/name=eth0
==============================
                 dir : ds
               index : 3
               level : queue
                mode : sp
          overall_rl : no
       service_queue : {enable=no}
        rl_rate_mode : single_rate
          rate_limit : rate_limit/index=0{af=125000000,be=0}
          num_queues : 8
        queue_cfg[0] : {queue_id=0,drop_threshold=276480,weight=0,drop_alg=red,high_class={min_thresh=92160,max_thresh=276480,max_drop_prob=0},low_class={</t>
    </r>
    <r>
      <rPr>
        <sz val="9"/>
        <color rgb="FFFF0000"/>
        <rFont val="Calibri"/>
        <scheme val="minor"/>
      </rPr>
      <t>min_thresh=92160,max_thresh=276480,max_drop_prob=0</t>
    </r>
    <r>
      <rPr>
        <sz val="9"/>
        <color rgb="FF000000"/>
        <rFont val="Calibri"/>
        <scheme val="minor"/>
      </rPr>
      <t>},reserved_packet_buffers=1,rate_limit/index=1{af=125000000,be=0},active=yes}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{passed={packets=60,bytes=6289},discarded={packets=0,bytes=0}}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</si>
  <si>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r>
      <rPr>
        <sz val="9"/>
        <color rgb="FF000000"/>
        <rFont val="Calibri"/>
        <scheme val="minor"/>
      </rPr>
      <t xml:space="preserve">Verify that all RED parameters have been applied to the system using the following command:
      bs /b/e egress_tm/index=3
      </t>
    </r>
    <r>
      <rPr>
        <sz val="9"/>
        <color rgb="FFFF0000"/>
        <rFont val="Calibri"/>
        <scheme val="minor"/>
      </rPr>
      <t xml:space="preserve">tmctl getqdropalg --devtype 0 --if eth0 --qid 0
</t>
    </r>
    <r>
      <rPr>
        <sz val="9"/>
        <color rgb="FF000000"/>
        <rFont val="Calibri"/>
        <scheme val="minor"/>
      </rPr>
      <t xml:space="preserve">
Output should be:
According to TR-181, the minimum threshold (min_th) should be expressed as a percentage of the queue size.
max_th is set to 3 x min_th. 
</t>
    </r>
    <r>
      <rPr>
        <sz val="9"/>
        <color rgb="FFFF0000"/>
        <rFont val="Calibri"/>
        <scheme val="minor"/>
      </rPr>
      <t xml:space="preserve">( min_th: 2500 * 0.6 = 1500; 
max_th: 2500 * 0.6 *3 = 4500 &gt; 2500, set to 2500( When max_th &gt; qsize, set max_th = qsize) ; 
max_p: 2500 * 0.2 = 500)
</t>
    </r>
    <r>
      <rPr>
        <sz val="9"/>
        <color rgb="FF000000"/>
        <rFont val="Calibri"/>
        <scheme val="minor"/>
      </rPr>
      <t xml:space="preserve">
</t>
    </r>
    <r>
      <rPr>
        <sz val="9"/>
        <color rgb="FFFF0000"/>
        <rFont val="Calibri"/>
        <scheme val="minor"/>
      </rPr>
      <t xml:space="preserve">root@prplOS:~# tmctl getqdropalg --devtype 0 --if eth0 --qid 0
    algorithm  : 1
    queue drop minimum threshold: 1500
    queue drop maximum threshold: 2500
    queue drop probability: 100 &lt;==always 100, bug?
</t>
    </r>
    <r>
      <rPr>
        <sz val="9"/>
        <color rgb="FF000000"/>
        <rFont val="Calibri"/>
        <scheme val="minor"/>
      </rPr>
      <t>root@prplOS:~# bs /b/e egress_tm/index=3
Object: egress_tm/index=3. Object type: egress_tm. Owned by: port/name=eth0
==============================
                 dir : ds
               index : 3
               level : queue
                mode : sp
          overall_rl : no
       service_queue : {enable=no}
        rl_rate_mode : dual_rate
          rate_limit : rate_limit/index=0{af=125000000,be=0}
          num_queues : 8
        queue_cfg[0] : {queue_id=0,drop_threshold=3840000,weight=0,drop_alg=red,high_class={min_thresh=3840000,max_thresh=3840000,max_drop_prob=0},low_class={</t>
    </r>
    <r>
      <rPr>
        <sz val="9"/>
        <color rgb="FFFF0000"/>
        <rFont val="Calibri"/>
        <scheme val="minor"/>
      </rPr>
      <t>min_thresh=2304000,max_thresh=3840000,max_drop_prob=0</t>
    </r>
    <r>
      <rPr>
        <sz val="9"/>
        <color rgb="FF000000"/>
        <rFont val="Calibri"/>
        <scheme val="minor"/>
      </rPr>
      <t>},reserved_packet_buffers=1,rate_limit/index=1{af=30000000,be=125000000},active=yes}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{passed={packets=0,bytes=0},discarded={packets=0,bytes=0}}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</si>
  <si>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t>Deactivate a Platform Specific Queue: deactivate-queue</t>
  </si>
  <si>
    <t>Deactivate the queue ID 0 on the WAN port (eth0) to verify that the CPE correctly applies the configuration.</t>
  </si>
  <si>
    <t xml:space="preserve">1.	Run the following commands on the CPE console:
ubus-cli QoS.Queue.1.Enable=0
2.	Confirm that no error occurs after running the above commands.
</t>
  </si>
  <si>
    <t>Expected: Queue disabled (return error)
root@prplOS:/# tmctl getqcfg --devtype 0 --if eth0 --qid 0
tmctl: tmctl_getQueueCfg() failed, ret = 1.
ret code = 108</t>
  </si>
  <si>
    <t>Verify that the queue ID 0 - queue_cfg[0] is deactivated using the following command:
      bs /b/e egress_tm/index=3
Output should be:
There is no queue ID 0 in the system.
root@prplOS:/# bs /b/e egress_tm/index=3
Object: egress_tm/index=3. Object type: egress_tm. Owned by: port/name=eth0
==============================
                 dir : ds
               index : 3
               level : queue
                mode : sp
          overall_rl : no
       service_queue : {enable=no}
        rl_rate_mode : single_rate
          rate_limit : rate_limit/index=0{af=125000000,be=0}
          num_queues : 8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queue_occupancy[1] : {packets=0,bytes=0}
  queue_occupancy[2] : {packets=0,bytes=0}
  queue_occupancy[3] : {packets=0,bytes=0}
  queue_occupancy[4] : {packets=0,bytes=0}
  queue_occupancy[5] : {packets=0,bytes=0}
  queue_occupancy[6] : {packets=0,bytes=0}
  queue_occupancy[7] : {packets=0,bytes=0}
              weight : 0
           aqm_stats : no
     subsidiary_type : unspecified</t>
  </si>
  <si>
    <t>Verify that the queue ID 0 - queue_cfg[0] is deactivated using the following command:
      bs /b/e egress_tm/index=3
Output should be:
There is no queue ID 0 in the system.
root@prplOS:~# bs /b/e egress_tm/index=3
Object: egress_tm/index=3. Object type: egress_tm. Owned by: port/name=eth0
==============================
                 dir : ds
               index : 3
               level : queue
                mode : sp
          overall_rl : no
       service_queue : {enable=no}
        rl_rate_mode : dual_rate
          rate_limit : rate_limit/index=0{af=125000000,be=0}
          num_queues : 8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queue_occupancy[1] : {packets=0,bytes=0}
  queue_occupancy[2] : {packets=0,bytes=0}
  queue_occupancy[3] : {packets=0,bytes=0}
  queue_occupancy[4] : {packets=0,bytes=0}
  queue_occupancy[5] : {packets=0,bytes=0}
  queue_occupancy[6] : {packets=0,bytes=0}
  queue_occupancy[7] : {packets=0,bytes=0}
              weight : 0
           aqm_stats : no
     subsidiary_type : unspecified</t>
  </si>
  <si>
    <t>Get Statistics of a Specific Queue: retrieve-queue-stats</t>
  </si>
  <si>
    <t>Retrieve the current shaping rate and current assured rate of the queue ID 0.</t>
  </si>
  <si>
    <r>
      <rPr>
        <sz val="9"/>
        <color rgb="FF000000"/>
        <rFont val="Calibri"/>
        <scheme val="minor"/>
      </rPr>
      <t xml:space="preserve">1.	Assume that the Ethernet WAN port speed is 100 Mbps, and run the following commands on the CPE console:
ubus-cli QoS.Scheduler.1.SchedulerAlgorithm="SP"
ubus-cli QoS.Scheduler.1.Enable=1
ubus-cli QoS.Shaper.1.ShapingRate=1000000000
ubus-cli QoS.Shaper.1.Enable=1
ubus-cli QoS.Queue.1.SchedulerAlgorithm="SP"
ubus-cli QoS.Queue.1.DropAlgorithm="DT"
ubus-cli QoS.Queue.1.Precedence=1
ubus-cli QoS.Queue.1.ShapingRate=1000000000
</t>
    </r>
    <r>
      <rPr>
        <sz val="9"/>
        <color rgb="FFFF0000"/>
        <rFont val="Calibri"/>
        <scheme val="minor"/>
      </rPr>
      <t xml:space="preserve">ubus-cli QoS.Queue.1.AssuredRate=50000000
ubus-cli QoS.Queue.1.BufferLength=3840000
</t>
    </r>
    <r>
      <rPr>
        <sz val="9"/>
        <color rgb="FF000000"/>
        <rFont val="Calibri"/>
        <scheme val="minor"/>
      </rPr>
      <t xml:space="preserve">ubus-cli QoS.Queue.1.TrafficClasses=1
ubus-cli QoS.Queue.2.SchedulerAlgorithm="SP"
ubus-cli QoS.Queue.2.DropAlgorithm="DT"
ubus-cli QoS.Queue.2.Precedence=2
ubus-cli QoS.Queue.2.ShapingRate=1000000000
</t>
    </r>
    <r>
      <rPr>
        <sz val="9"/>
        <color rgb="FFFF0000"/>
        <rFont val="Calibri"/>
        <scheme val="minor"/>
      </rPr>
      <t xml:space="preserve">ubus-cli QoS.Queue.2.AssuredRate=50000000
ubus-cli QoS.Queue.2.BufferLength=3840000
</t>
    </r>
    <r>
      <rPr>
        <sz val="9"/>
        <color rgb="FF000000"/>
        <rFont val="Calibri"/>
        <scheme val="minor"/>
      </rPr>
      <t xml:space="preserve">ubus-cli QoS.Queue.2.TrafficClasses=2
ubus-cli QoS.Queue.3.SchedulerAlgorithm="SP"
ubus-cli QoS.Queue.3.DropAlgorithm="DT"
ubus-cli QoS.Queue.3.Precedence=3
ubus-cli QoS.Queue.3.ShapingRate=1000000000
</t>
    </r>
    <r>
      <rPr>
        <sz val="9"/>
        <color rgb="FFFF0000"/>
        <rFont val="Calibri"/>
        <scheme val="minor"/>
      </rPr>
      <t xml:space="preserve">ubus-cli QoS.Queue.3.AssuredRate=50000000
ubus-cli QoS.Queue.3.BufferLength=3840000
</t>
    </r>
    <r>
      <rPr>
        <sz val="9"/>
        <color rgb="FF000000"/>
        <rFont val="Calibri"/>
        <scheme val="minor"/>
      </rPr>
      <t xml:space="preserve">ubus-cli QoS.Queue.3.TrafficClasses=3
ubus-cli QoS.Queue.4.SchedulerAlgorithm="SP"
ubus-cli QoS.Queue.4.DropAlgorithm="DT"
ubus-cli QoS.Queue.4.Precedence=4
ubus-cli QoS.Queue.4.ShapingRate=1000000000
</t>
    </r>
    <r>
      <rPr>
        <sz val="9"/>
        <color rgb="FFFF0000"/>
        <rFont val="Calibri"/>
        <scheme val="minor"/>
      </rPr>
      <t xml:space="preserve">ubus-cli QoS.Queue.4.AssuredRate=50000000
ubus-cli QoS.Queue.4.BufferLength=3840000
</t>
    </r>
    <r>
      <rPr>
        <sz val="9"/>
        <color rgb="FF000000"/>
        <rFont val="Calibri"/>
        <scheme val="minor"/>
      </rPr>
      <t xml:space="preserve">ubus-cli QoS.Queue.4.TrafficClasses=4
ubus-cli QoS.Queue.5.SchedulerAlgorithm="SP"
ubus-cli QoS.Queue.5.DropAlgorithm="DT"
ubus-cli QoS.Queue.5.Precedence=5
ubus-cli QoS.Queue.5.ShapingRate=1000000000
</t>
    </r>
    <r>
      <rPr>
        <sz val="9"/>
        <color rgb="FFFF0000"/>
        <rFont val="Calibri"/>
        <scheme val="minor"/>
      </rPr>
      <t xml:space="preserve">ubus-cli QoS.Queue.5.AssuredRate=50000000
ubus-cli QoS.Queue.5.BufferLength=3840000
</t>
    </r>
    <r>
      <rPr>
        <sz val="9"/>
        <color rgb="FF000000"/>
        <rFont val="Calibri"/>
        <scheme val="minor"/>
      </rPr>
      <t xml:space="preserve">ubus-cli QoS.Queue.5.TrafficClasses=5
ubus-cli QoS.Queue.6.SchedulerAlgorithm="SP"
ubus-cli QoS.Queue.6.DropAlgorithm="DT"
ubus-cli QoS.Queue.6.Precedence=6
ubus-cli QoS.Queue.6.ShapingRate=1000000000
</t>
    </r>
    <r>
      <rPr>
        <sz val="9"/>
        <color rgb="FFFF0000"/>
        <rFont val="Calibri"/>
        <scheme val="minor"/>
      </rPr>
      <t xml:space="preserve">ubus-cli QoS.Queue.6.AssuredRate=50000000
ubus-cli QoS.Queue.6.BufferLength=3840000
</t>
    </r>
    <r>
      <rPr>
        <sz val="9"/>
        <color rgb="FF000000"/>
        <rFont val="Calibri"/>
        <scheme val="minor"/>
      </rPr>
      <t xml:space="preserve">ubus-cli QoS.Queue.6.TrafficClasses=6
ubus-cli QoS.Queue.7.SchedulerAlgorithm="SP"
ubus-cli QoS.Queue.7.DropAlgorithm="DT"
ubus-cli QoS.Queue.7.Precedence=7
ubus-cli QoS.Queue.7.ShapingRate=1000000000
</t>
    </r>
    <r>
      <rPr>
        <sz val="9"/>
        <color rgb="FFFF0000"/>
        <rFont val="Calibri"/>
        <scheme val="minor"/>
      </rPr>
      <t xml:space="preserve">ubus-cli QoS.Queue.7.AssuredRate=50000000
ubus-cli QoS.Queue.7.BufferLength=3840000
</t>
    </r>
    <r>
      <rPr>
        <sz val="9"/>
        <color rgb="FF000000"/>
        <rFont val="Calibri"/>
        <scheme val="minor"/>
      </rPr>
      <t xml:space="preserve">ubus-cli QoS.Queue.7.TrafficClasses=7
ubus-cli QoS.Queue.8.SchedulerAlgorithm="SP"
ubus-cli QoS.Queue.8.DropAlgorithm="DT"
ubus-cli QoS.Queue.8.Precedence=8
ubus-cli QoS.Queue.8.ShapingRate=1000000000
</t>
    </r>
    <r>
      <rPr>
        <sz val="9"/>
        <color rgb="FFFF0000"/>
        <rFont val="Calibri"/>
        <scheme val="minor"/>
      </rPr>
      <t xml:space="preserve">ubus-cli QoS.Queue.8.AssuredRate=50000000
ubus-cli QoS.Queue.8.BufferLength=3840000
</t>
    </r>
    <r>
      <rPr>
        <sz val="9"/>
        <color rgb="FF000000"/>
        <rFont val="Calibri"/>
        <scheme val="minor"/>
      </rPr>
      <t xml:space="preserve">ubus-cli QoS.Queue.8.TrafficClasses=8
ubus-cli  QoS.Queue.1.QueueKey=0
ubus-cli  QoS.Queue.2.QueueKey=1
ubus-cli  QoS.Queue.3.QueueKey=2
ubus-cli  QoS.Queue.4.QueueKey=3
ubus-cli  QoS.Queue.5.QueueKey=4
ubus-cli  QoS.Queue.6.QueueKey=5
ubus-cli  QoS.Queue.7.QueueKey=6
ubus-cli  QoS.Queue.8.QueueKey=7
ubus-cli QoS.Queue.1.Enable=1
ubus-cli QoS.Queue.2.Enable=1
ubus-cli QoS.Queue.3.Enable=1
ubus-cli QoS.Queue.4.Enable=1
ubus-cli QoS.Queue.5.Enable=1
ubus-cli QoS.Queue.6.Enable=1
ubus-cli QoS.Queue.7.Enable=1
ubus-cli QoS.Queue.8.Enable=1
ubus-cli 'QoS.Classification.+{DestPort=12340,Protocol=6,X_PRPLWARE-COM_Direction="Postrouting",X_PRPLWARE-COM_OutputInterface="Device.Ethernet.Interface.1.",TrafficClass=1,Enable=true}'
ubus-cli 'QoS.Classification.+{DestPort=12341,Protocol=6,X_PRPLWARE-COM_Direction="Postrouting",X_PRPLWARE-COM_OutputInterface="Device.Ethernet.Interface.1.",TrafficClass=2,Enable=true}'
ubus-cli 'QoS.Classification.+{DestPort=12342,Protocol=6,X_PRPLWARE-COM_Direction="Postrouting",X_PRPLWARE-COM_OutputInterface="Device.Ethernet.Interface.1.",TrafficClass=3,Enable=true}'
ubus-cli 'QoS.Classification.+{DestPort=12343,Protocol=6,X_PRPLWARE-COM_Direction="Postrouting",X_PRPLWARE-COM_OutputInterface="Device.Ethernet.Interface.1.",TrafficClass=4,Enable=true}'
ubus-cli 'QoS.Classification.+{DestPort=12344,Protocol=6,X_PRPLWARE-COM_Direction="Postrouting",X_PRPLWARE-COM_OutputInterface="Device.Ethernet.Interface.1.",TrafficClass=5,Enable=true}'
ubus-cli 'QoS.Classification.+{DestPort=12345,Protocol=6,X_PRPLWARE-COM_Direction="Postrouting",X_PRPLWARE-COM_OutputInterface="Device.Ethernet.Interface.1.",TrafficClass=6,Enable=true}'
ubus-cli 'QoS.Classification.+{DestPort=12346,Protocol=6,X_PRPLWARE-COM_Direction="Postrouting",X_PRPLWARE-COM_OutputInterface="Device.Ethernet.Interface.1.",TrafficClass=7,Enable=true}'
ubus-cli 'QoS.Classification.+{DestPort=12347,Protocol=6,X_PRPLWARE-COM_Direction="Postrouting",X_PRPLWARE-COM_OutputInterface="Device.Ethernet.Interface.1.",TrafficClass=8,Enable=true}'
2.	Confirm that no error occurs after running the above commands. 
root@prplOS:/# iptables-save | grep POSTROUTING_class
:POSTROUTING_class - [0:0]
-A POSTROUTING -j POSTROUTING_class
-A POSTROUTING -j POSTROUTING_class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3.	Start iperf3 servers on the WAN side, listening on port 12340-12347:
iperf3 -s -p &lt;port-number&gt; -i 1
4.	Start iperf3 clients simultaneously on the LAN side to send TCP upstream traffic to the iperf3 server using the following command:
iperf3 -c &lt;iperf3-server-IPv4-address&gt; -p &lt;port-number&gt; -t 30 -i 1
</t>
    </r>
  </si>
  <si>
    <t xml:space="preserve">root@prplOS:/# iptables-save | grep POSTROUTING_class
:POSTROUTING_class - [0:0]
-A POSTROUTING -j POSTROUTING_class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Verify that if the CurrentShapingRate and CurrentAssuredRate are reported as the configured values using the following command.
      ubus-cli QoS.Queue.1.CurrentShapingRate?
      ubus-cli QoS.Queue.1.CurrentAssuredRate?
      ubus-cli QoS.Queue.2.CurrentShapingRate?
      ubus-cli QoS.Queue.2.CurrentAssuredRate?
      ubus-cli QoS.Queue.3.CurrentShapingRate?
      ubus-cli QoS.Queue.3.CurrentAssuredRate?
      ubus-cli QoS.Queue.4.CurrentShapingRate?
      ubus-cli QoS.Queue.4.CurrentAssuredRate?
      ubus-cli QoS.Queue.5.CurrentShapingRate?
      ubus-cli QoS.Queue.5.CurrentAssuredRate?
      ubus-cli QoS.Queue.6.CurrentShapingRate?
      ubus-cli QoS.Queue.6.CurrentAssuredRate?
      ubus-cli QoS.Queue.7.CurrentShapingRate?
      ubus-cli QoS.Queue.7.CurrentAssuredRate?
      ubus-cli QoS.Queue.8.CurrentShapingRate?
      ubus-cli QoS.Queue.8.CurrentAssuredRate?
&gt; QoS.Queue.1.CurrentShapingRate?
QoS.Queue.1.CurrentShapingRate=100000000
&gt; QoS.Queue.1.CurrentAssuredRate?
QoS.Queue.1.CurrentAssuredRate=50000000
&gt; QoS.Queue.2.CurrentShapingRate?
QoS.Queue.2.CurrentShapingRate=100000000
&gt; QoS.Queue.2.CurrentAssuredRate?
QoS.Queue.2.CurrentAssuredRate=50000000
&gt; QoS.Queue.3.CurrentShapingRate?
QoS.Queue.3.CurrentShapingRate=100000000
&gt; QoS.Queue.3.CurrentAssuredRate?
QoS.Queue.3.CurrentAssuredRate=50000000
&gt; QoS.Queue.4.CurrentShapingRate?
QoS.Queue.4.CurrentShapingRate=100000000
&gt; QoS.Queue.4.CurrentAssuredRate?
QoS.Queue.4.CurrentAssuredRate=50000000
&gt; QoS.Queue.5.CurrentShapingRate?
QoS.Queue.5.CurrentShapingRate=100000000
&gt; QoS.Queue.5.CurrentAssuredRate?
QoS.Queue.5.CurrentAssuredRate=50000000
&gt; QoS.Queue.6.CurrentShapingRate?
QoS.Queue.6.CurrentShapingRate=100000000
&gt; QoS.Queue.6.CurrentAssuredRate?
QoS.Queue.6.CurrentAssuredRate=50000000
&gt; QoS.Queue.7.CurrentShapingRate?
QoS.Queue.7.CurrentShapingRate=100000000
&gt; QoS.Queue.7.CurrentAssuredRate?
QoS.Queue.7.CurrentAssuredRate=50000000
&gt; QoS.Queue.8.CurrentShapingRate?
QoS.Queue.8.CurrentShapingRate=100000000
&gt; QoS.Queue.8.CurrentAssuredRate?
QoS.Queue.8.CurrentAssuredRate=50000000"
</t>
  </si>
  <si>
    <t xml:space="preserve">root@prplOS:/# iptables-save | grep POSTROUTING_class
:POSTROUTING_class - [0:0]
-A POSTROUTING -j POSTROUTING_class
-A POSTROUTING -j POSTROUTING_class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root@prplOS:/#
According to the above throughput results, the queue assured rate configurations are working as expected.
However, the Broadcom platform does not support retrieving the current shaping rate and current assured rate.
Verify that if the CurrentShapingRate and CurrentAssuredRate are reported as the configured values using the following command.
      ubus-cli QoS.Queue.1.CurrentShapingRate?
      ubus-cli QoS.Queue.2.CurrentShapingRate?
      ubus-cli QoS.Queue.3.CurrentShapingRate?
      ubus-cli QoS.Queue.4.CurrentShapingRate?
      ubus-cli QoS.Queue.5.CurrentShapingRate?
      ubus-cli QoS.Queue.6.CurrentShapingRate?
      ubus-cli QoS.Queue.7.CurrentShapingRate?
      ubus-cli QoS.Queue.8.CurrentShapingRate?
root@prplOS:/# ubus-cli QoS.Queue.1.CurrentShapingRate?
&gt; QoS.Queue.1.CurrentShapingRate?
QoS.Queue.1.CurrentShapingRate=0
root@prplOS:/# ubus-cli QoS.Queue.2.CurrentShapingRate?
&gt; QoS.Queue.2.CurrentShapingRate?
QoS.Queue.2.CurrentShapingRate=0
root@prplOS:/# ubus-cli QoS.Queue.3.CurrentShapingRate?
&gt; QoS.Queue.3.CurrentShapingRate?
QoS.Queue.3.CurrentShapingRate=0
root@prplOS:/# ubus-cli QoS.Queue.4.CurrentShapingRate?
&gt; QoS.Queue.4.CurrentShapingRate?
QoS.Queue.4.CurrentShapingRate=0
root@prplOS:/# ubus-cli QoS.Queue.5.CurrentShapingRate?
&gt; QoS.Queue.5.CurrentShapingRate?
QoS.Queue.5.CurrentShapingRate=0
root@prplOS:/# ubus-cli QoS.Queue.6.CurrentShapingRate?
&gt; QoS.Queue.6.CurrentShapingRate?
QoS.Queue.6.CurrentShapingRate=0
root@prplOS:/# ubus-cli QoS.Queue.7.CurrentShapingRate?
&gt; QoS.Queue.7.CurrentShapingRate?
QoS.Queue.7.CurrentShapingRate=0
root@prplOS:/# ubus-cli QoS.Queue.8.CurrentShapingRate?
&gt; QoS.Queue.8.CurrentShapingRate?
QoS.Queue.8.CurrentShapingRate=0
</t>
  </si>
  <si>
    <r>
      <rPr>
        <sz val="9"/>
        <color rgb="FF000000"/>
        <rFont val="Calibri"/>
        <scheme val="minor"/>
      </rPr>
      <t xml:space="preserve">root@prplOS:/tmp/123#  iptables-save | grep POSTROUTING_class
:POSTROUTING_class - [0:0]
-A POSTROUTING -j POSTROUTING_class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Verify that if the CurrentShapingRate and CurrentAssuredRate are reported as the configured values using the following command.
      ubus-cli QoS.Queue.1.CurrentShapingRate?
</t>
    </r>
    <r>
      <rPr>
        <sz val="9"/>
        <color rgb="FFFF0000"/>
        <rFont val="Calibri"/>
        <scheme val="minor"/>
      </rPr>
      <t xml:space="preserve">      ubus-cli QoS.Queue.1.CurrentAssuredRate?
</t>
    </r>
    <r>
      <rPr>
        <sz val="9"/>
        <color rgb="FF000000"/>
        <rFont val="Calibri"/>
        <scheme val="minor"/>
      </rPr>
      <t xml:space="preserve">      ubus-cli QoS.Queue.2.CurrentShapingRate?
     </t>
    </r>
    <r>
      <rPr>
        <sz val="9"/>
        <color rgb="FFFF0000"/>
        <rFont val="Calibri"/>
        <scheme val="minor"/>
      </rPr>
      <t xml:space="preserve"> ubus-cli QoS.Queue.2.CurrentAssuredRate?
</t>
    </r>
    <r>
      <rPr>
        <sz val="9"/>
        <color rgb="FF000000"/>
        <rFont val="Calibri"/>
        <scheme val="minor"/>
      </rPr>
      <t xml:space="preserve">      ubus-cli QoS.Queue.3.CurrentShapingRate?
      </t>
    </r>
    <r>
      <rPr>
        <sz val="9"/>
        <color rgb="FFFF0000"/>
        <rFont val="Calibri"/>
        <scheme val="minor"/>
      </rPr>
      <t xml:space="preserve">ubus-cli QoS.Queue.3.CurrentAssuredRate?
</t>
    </r>
    <r>
      <rPr>
        <sz val="9"/>
        <color rgb="FF000000"/>
        <rFont val="Calibri"/>
        <scheme val="minor"/>
      </rPr>
      <t xml:space="preserve">      ubus-cli QoS.Queue.4.CurrentShapingRate?
     </t>
    </r>
    <r>
      <rPr>
        <sz val="9"/>
        <color rgb="FFFF0000"/>
        <rFont val="Calibri"/>
        <scheme val="minor"/>
      </rPr>
      <t xml:space="preserve"> ubus-cli QoS.Queue.4.CurrentAssuredRate?
</t>
    </r>
    <r>
      <rPr>
        <sz val="9"/>
        <color rgb="FF000000"/>
        <rFont val="Calibri"/>
        <scheme val="minor"/>
      </rPr>
      <t xml:space="preserve">      ubus-cli QoS.Queue.5.CurrentShapingRate?
      </t>
    </r>
    <r>
      <rPr>
        <sz val="9"/>
        <color rgb="FFFF0000"/>
        <rFont val="Calibri"/>
        <scheme val="minor"/>
      </rPr>
      <t xml:space="preserve">ubus-cli QoS.Queue.5.CurrentAssuredRate?
</t>
    </r>
    <r>
      <rPr>
        <sz val="9"/>
        <color rgb="FF000000"/>
        <rFont val="Calibri"/>
        <scheme val="minor"/>
      </rPr>
      <t xml:space="preserve">      ubus-cli QoS.Queue.6.CurrentShapingRate?
      </t>
    </r>
    <r>
      <rPr>
        <sz val="9"/>
        <color rgb="FFFF0000"/>
        <rFont val="Calibri"/>
        <scheme val="minor"/>
      </rPr>
      <t xml:space="preserve">ubus-cli QoS.Queue.6.CurrentAssuredRate?
</t>
    </r>
    <r>
      <rPr>
        <sz val="9"/>
        <color rgb="FF000000"/>
        <rFont val="Calibri"/>
        <scheme val="minor"/>
      </rPr>
      <t xml:space="preserve">      ubus-cli QoS.Queue.7.CurrentShapingRate?
      </t>
    </r>
    <r>
      <rPr>
        <sz val="9"/>
        <color rgb="FFFF0000"/>
        <rFont val="Calibri"/>
        <scheme val="minor"/>
      </rPr>
      <t xml:space="preserve">ubus-cli QoS.Queue.7.CurrentAssuredRate?
</t>
    </r>
    <r>
      <rPr>
        <sz val="9"/>
        <color rgb="FF000000"/>
        <rFont val="Calibri"/>
        <scheme val="minor"/>
      </rPr>
      <t xml:space="preserve">      ubus-cli QoS.Queue.8.CurrentShapingRate?
      </t>
    </r>
    <r>
      <rPr>
        <sz val="9"/>
        <color rgb="FFFF0000"/>
        <rFont val="Calibri"/>
        <scheme val="minor"/>
      </rPr>
      <t xml:space="preserve">ubus-cli QoS.Queue.8.CurrentAssuredRate?
</t>
    </r>
    <r>
      <rPr>
        <sz val="9"/>
        <color rgb="FF000000"/>
        <rFont val="Calibri"/>
        <scheme val="minor"/>
      </rPr>
      <t xml:space="preserve">
&gt; QoS.Queue.1.CurrentShapingRate?
QoS.Queue.1.CurrentShapingRate=100000000
</t>
    </r>
    <r>
      <rPr>
        <sz val="9"/>
        <color rgb="FFFF0000"/>
        <rFont val="Calibri"/>
        <scheme val="minor"/>
      </rPr>
      <t xml:space="preserve">&gt; QoS.Queue.1.CurrentAssuredRate?
QoS.Queue.1.CurrentAssuredRate=50000000
</t>
    </r>
    <r>
      <rPr>
        <sz val="9"/>
        <color rgb="FF000000"/>
        <rFont val="Calibri"/>
        <scheme val="minor"/>
      </rPr>
      <t xml:space="preserve">
&gt; QoS.Queue.2.CurrentShapingRate?
QoS.Queue.2.CurrentShapingRate=100000000
</t>
    </r>
    <r>
      <rPr>
        <sz val="9"/>
        <color rgb="FFFF0000"/>
        <rFont val="Calibri"/>
        <scheme val="minor"/>
      </rPr>
      <t xml:space="preserve">&gt; QoS.Queue.2.CurrentAssuredRate?
QoS.Queue.2.CurrentAssuredRate=50000000
</t>
    </r>
    <r>
      <rPr>
        <sz val="9"/>
        <color rgb="FF000000"/>
        <rFont val="Calibri"/>
        <scheme val="minor"/>
      </rPr>
      <t xml:space="preserve">
&gt; QoS.Queue.3.CurrentShapingRate?
QoS.Queue.3.CurrentShapingRate=100000000
</t>
    </r>
    <r>
      <rPr>
        <sz val="9"/>
        <color rgb="FFFF0000"/>
        <rFont val="Calibri"/>
        <scheme val="minor"/>
      </rPr>
      <t xml:space="preserve">&gt; QoS.Queue.3.CurrentAssuredRate?
QoS.Queue.3.CurrentAssuredRate=50000000
</t>
    </r>
    <r>
      <rPr>
        <sz val="9"/>
        <color rgb="FF000000"/>
        <rFont val="Calibri"/>
        <scheme val="minor"/>
      </rPr>
      <t xml:space="preserve">
&gt; QoS.Queue.4.CurrentShapingRate?
QoS.Queue.4.CurrentShapingRate=100000000
</t>
    </r>
    <r>
      <rPr>
        <sz val="9"/>
        <color rgb="FFFF0000"/>
        <rFont val="Calibri"/>
        <scheme val="minor"/>
      </rPr>
      <t xml:space="preserve">&gt; QoS.Queue.4.CurrentAssuredRate?
QoS.Queue.4.CurrentAssuredRate=50000000
</t>
    </r>
    <r>
      <rPr>
        <sz val="9"/>
        <color rgb="FF000000"/>
        <rFont val="Calibri"/>
        <scheme val="minor"/>
      </rPr>
      <t xml:space="preserve">
&gt; QoS.Queue.5.CurrentShapingRate?
QoS.Queue.5.CurrentShapingRate=100000000
</t>
    </r>
    <r>
      <rPr>
        <sz val="9"/>
        <color rgb="FFFF0000"/>
        <rFont val="Calibri"/>
        <scheme val="minor"/>
      </rPr>
      <t xml:space="preserve">&gt; QoS.Queue.5.CurrentAssuredRate?
QoS.Queue.5.CurrentAssuredRate=50000000
</t>
    </r>
    <r>
      <rPr>
        <sz val="9"/>
        <color rgb="FF000000"/>
        <rFont val="Calibri"/>
        <scheme val="minor"/>
      </rPr>
      <t xml:space="preserve">
&gt; QoS.Queue.6.CurrentShapingRate?
QoS.Queue.6.CurrentShapingRate=100000000
</t>
    </r>
    <r>
      <rPr>
        <sz val="9"/>
        <color rgb="FFFF0000"/>
        <rFont val="Calibri"/>
        <scheme val="minor"/>
      </rPr>
      <t xml:space="preserve">&gt; QoS.Queue.6.CurrentAssuredRate?
QoS.Queue.6.CurrentAssuredRate=50000000
</t>
    </r>
    <r>
      <rPr>
        <sz val="9"/>
        <color rgb="FF000000"/>
        <rFont val="Calibri"/>
        <scheme val="minor"/>
      </rPr>
      <t xml:space="preserve">
&gt; QoS.Queue.7.CurrentShapingRate?
QoS.Queue.7.CurrentShapingRate=100000000
</t>
    </r>
    <r>
      <rPr>
        <sz val="9"/>
        <color rgb="FFFF0000"/>
        <rFont val="Calibri"/>
        <scheme val="minor"/>
      </rPr>
      <t xml:space="preserve">&gt; QoS.Queue.7.CurrentAssuredRate?
QoS.Queue.7.CurrentAssuredRate=50000000
</t>
    </r>
    <r>
      <rPr>
        <sz val="9"/>
        <color rgb="FF000000"/>
        <rFont val="Calibri"/>
        <scheme val="minor"/>
      </rPr>
      <t xml:space="preserve">
&gt; QoS.Queue.8.CurrentShapingRate?
QoS.Queue.8.CurrentShapingRate=100000000
</t>
    </r>
    <r>
      <rPr>
        <sz val="9"/>
        <color rgb="FFFF0000"/>
        <rFont val="Calibri"/>
        <scheme val="minor"/>
      </rPr>
      <t>&gt; QoS.Queue.8.CurrentAssuredRate?
QoS.Queue.8.CurrentAssuredRate=50000000</t>
    </r>
  </si>
  <si>
    <t>Get Statistics of a Specific Queue: retrieve-stats</t>
  </si>
  <si>
    <t>Retrieve the output packets/bytes and dropped packets/bytes of the queue ID 0.</t>
  </si>
  <si>
    <r>
      <rPr>
        <sz val="9"/>
        <color rgb="FF000000"/>
        <rFont val="Calibri"/>
        <scheme val="minor"/>
      </rPr>
      <t xml:space="preserve">1.	Run the following commands on the CPE console:
ubus-cli QoS.Queue.1.Weight=0
ubus-cli QoS.Queue.1.Precedence=1
ubus-cli QoS.Queue.1.SchedulerAlgorithm="SP"
ubus-cli QoS.Queue.1.ShapingRate=125000000
</t>
    </r>
    <r>
      <rPr>
        <sz val="9"/>
        <color rgb="FFFF0000"/>
        <rFont val="Calibri"/>
        <scheme val="minor"/>
      </rPr>
      <t xml:space="preserve">ubus-cli QoS.Queue.1.AssuredRate=50000000
ubus-cli QoS.Queue.1.BufferLength=3840000
</t>
    </r>
    <r>
      <rPr>
        <sz val="9"/>
        <color rgb="FF000000"/>
        <rFont val="Calibri"/>
        <scheme val="minor"/>
      </rPr>
      <t xml:space="preserve">ubus-cli QoS.Queue.1.DropAlgorithm="RED"
ubus-cli QoS.Queue.1.REDThreshold=60
ubus-cli QoS.Queue.1.REDPercentage=20
ubus-cli QoS.Queue.1.Enable=1
ubus-cli QoS.Shaper.1.ShapingRate=125000000
ubus-cli QoS.Shaper.1.Enable=1
ubus-cli QoS.Scheduler.1.SchedulerAlgorithm="SP"
ubus-cli QoS.Scheduler.1.Enable=1
ubus-cli QoS.QueueStats.1.Queue="QoS.Queue.wan-eth0-queue1"
ubus-cli QoS.QueueStats.1.Enable=1
2.	Confirm that no error occurs after running the above commands.
3.	Start an iperf3 server on the WAN side, listening on port 12340:
iperf3 -s -p 12340 -i 1
4.	Start an iperf3 client on the LAN side to send UDP upstream traffic to the iperf3 server. Assume that the Ethernet WAN port speed is 100 Mbps, and run the following command:
iperf3 -c &lt;iperf3-server-IPv4-address&gt;  -l 1024 -p 12340 -t 10 -i 1
</t>
    </r>
  </si>
  <si>
    <t>After the iperf3 traffic stops, verify that the statistics reported by the Broadcom queue ID 0 are consistent with the QoS.QueueStats.1 data model using the following commands:
      tmctl getqstats --devtype 0 --if eth0 --qid 0
      ubus-cli QoS.QueueStats.1.?
Output should be:
root@prplOS:/# tmctl getqstats --devtype 0 --if eth0 --qid 0
    txPackets:      891452
    txBytes:        1352081324
    droppedPackets: 0
    droppedBytes:   0
ret code = 0.
root@prplOS:/# ubus-cli QoS.QueueStats.1.?
&gt; QoS.QueueStats.1.?
QoS.QueueStats.1.
QoS.QueueStats.1.Alias="stats-wan-eth0-queue1"
QoS.QueueStats.1.DroppedBytes=0
QoS.QueueStats.1.DroppedPackets=0
QoS.QueueStats.1.Enable=1
QoS.QueueStats.1.Interface=""
QoS.QueueStats.1.OutputBytes=1352082632
QoS.QueueStats.1.OutputPackets=891462
QoS.QueueStats.1.Queue="QoS.Queue.wan-eth0-queue1"
QoS.QueueStats.1.QueueOccupancyPackets=0
QoS.QueueStats.1.QueueOccupancyPercentage=0
QoS.QueueStats.1.Status="Enabled"</t>
  </si>
  <si>
    <t>After the iperf3 traffic stops, verify that the statistics reported by the Broadcom queue ID 0 are consistent with the QoS.QueueStats.1 data model using the following commands:
      tmctl getqstats --devtype 0 --if eth0 --qid 0
      ubus-cli QoS.QueueStats.1.?
Output should be:
root@prplOS:/# tmctl getqstats --devtype 0 --if eth0 --qid 0
    txPackets:      82480
    txBytes:        124933705
    droppedPackets: 834
    droppedBytes:   1266012
ret code = 0.
root@prplOS:/# ubus-cli QoS.QueueStats.1.?
&gt; QoS.QueueStats.1.?
QoS.QueueStats.1.
QoS.QueueStats.1.Alias="stats-wan-eth0-queue1"
QoS.QueueStats.1.DroppedBytes=0
QoS.QueueStats.1.DroppedPackets=1032
QoS.QueueStats.1.Enable=1
QoS.QueueStats.1.Interface=""
QoS.QueueStats.1.OutputBytes=157433342
QoS.QueueStats.1.OutputPackets=103896
QoS.QueueStats.1.Queue="QoS.Queue.wan-eth0-queue1"
QoS.QueueStats.1.QueueOccupancyPackets=0
QoS.QueueStats.1.QueueOccupancyPercentage=0
QoS.QueueStats.1.Status="Enabled"</t>
  </si>
  <si>
    <t>Object Type</t>
  </si>
  <si>
    <t>Test steps</t>
  </si>
  <si>
    <t>Command Output
Verified via "Driver-level / kernel-level utilities"</t>
  </si>
  <si>
    <t>ARC 4.0.1 Test Result
WiFi 5g</t>
  </si>
  <si>
    <t>ARC 4.0.1 Test Result
WiFi 6g</t>
  </si>
  <si>
    <t>ARC 4.0.1 Test Result
WiFi 2.4g</t>
  </si>
  <si>
    <t>Tester</t>
  </si>
  <si>
    <t xml:space="preserve"> BCM v4.0.3 Test Result
WiFi 5g</t>
  </si>
  <si>
    <t>BCM v4.0.3 Test Result
WiFi 6g</t>
  </si>
  <si>
    <t>BCM v4.0.3 Test Result
WiFi 2.4g</t>
  </si>
  <si>
    <t>BCM v4.0.3 Comment</t>
  </si>
  <si>
    <t>BCM v4.03 Issue Type and AI (Internally)</t>
  </si>
  <si>
    <t>ARC 4.0.3 Test Result
WiFi 5g</t>
  </si>
  <si>
    <t>ARC 4.0.3 Test Result
WiFi 6g</t>
  </si>
  <si>
    <t>ARC 4.0.3 Test Result
WiFi 2.4g</t>
  </si>
  <si>
    <t>ARC Comment</t>
  </si>
  <si>
    <t>CSP created</t>
  </si>
  <si>
    <t>skip</t>
  </si>
  <si>
    <t>pwhm 
not support</t>
  </si>
  <si>
    <t>check 
with Brcm</t>
  </si>
  <si>
    <t>To be test</t>
  </si>
  <si>
    <t>?</t>
  </si>
  <si>
    <t>WiFi.AccessPoint.{i}.</t>
  </si>
  <si>
    <t>AccessPoint</t>
  </si>
  <si>
    <t>cleanStation()</t>
  </si>
  <si>
    <t>ubus-cli "WiFi.AccessPoint.{i}.cleanStation(macaddress=string):bool"</t>
  </si>
  <si>
    <t>Not Support</t>
  </si>
  <si>
    <t>1. Connect WiFi Station and check Authentication state = 1
ubus-cli WiFi.AccessPoint.1.? | grep -E  'Associated1.MACAddress|AuthenticationState'
WiFi.AccessPoint.1.AssociatedDevice.{i}.AuthenticationState=1
WiFi.AccessPoint.1.AssociatedDevice.{i}.MACAddress="42:33:64:A3:9F:B0"
2. Disconnect WiFi Station and check Authentication state = 0
ubus-cli WiFi.AccessPoint.1.? | grep -E  'Associated1.MACAddress|AuthenticationState'
WiFi.AccessPoint.1.AssociatedDevice.{i}.AuthenticationState=0
WiFi.AccessPoint.1.AssociatedDevice.{i}.MACAddress="42:33:64:A3:9F:B0"
3. Clean disconnected WiFi Station
ubus-cli "WiFi.AccessPoint.1.cleanStation(macaddress=42:33:64:A3:9F:B0)"
4. Check Associated station 
ubus-cli WiFi.AccessPoint.1.? | grep -E  'Associated1.MACAddress|AuthenticationState'
WiFi.AccessPoint.1.AssociatedDevice.{i}.AuthenticationState=0
WiFi.AccessPoint.1.AssociatedDevice.{i}.MACAddress="42:33:64:A3:9F:B0"</t>
  </si>
  <si>
    <t xml:space="preserve"> </t>
  </si>
  <si>
    <t>delNeighbourAP()</t>
  </si>
  <si>
    <t>ubus-cli "WiFi.AccessPoint.{i}.delNeighbourAP(BSSID=string):void"</t>
  </si>
  <si>
    <t>1. Scan for Neighbour AP SSID "ex. SSID=prplOS
 ubus-cli "WiFi.Radio.1.scan(SSID=prplOS)"
2. Set Neighbour AP
ubus-cli "WiFi.AccessPoint.1.setNeighbourAP(BSSID=38:06:E6:92:AF:D4)"
3. Check for configured Neighbour AP to be deleted
 ubus-cli WiFi.Radio.? | grep Neighbour</t>
  </si>
  <si>
    <t>kickStation()</t>
  </si>
  <si>
    <t>ubus-cli "WiFi.AccessPoint.{i}.kickStation(macaddress=string):bool"</t>
  </si>
  <si>
    <t>Support</t>
  </si>
  <si>
    <t>pWHM</t>
  </si>
  <si>
    <t>1. Connect WiFi Station to GW.
2. Verify station authentication state = 1
ubus-cli WiFi.AccessPoint.1.? | grep -E  'Associated.1.MACAddress|AuthenticationState'
WiFi.AccessPoint.1.AssociatedDevice.{i}.AuthenticationState=1
WiFi.AccessPoint.1.AssociatedDevice.{i}.MACAddress="42:33:64:A3:9F:B0"
3. Disconnect station using kick command
ubus-cli "WiFi.AccessPoint.1.kickStation(macaddress=42:33:64:A3:9F:B0)"
4. Verify station Authentication state = 0
ubus-cli WiFi.AccessPoint.1.? | grep -E  'Associated1.MACAddress|AuthenticationState'
WiFi.AccessPoint.1.AssociatedDevice.{i}.AuthenticationState=0
WiFi.AccessPoint.1.AssociatedDevice.{i}.MACAddress="42:33:64:A3:9F:B0""
5. Repeat step 1 to step 4 by connecting WiFi station to AccessPoint.3 and AccessPoint.5</t>
  </si>
  <si>
    <t xml:space="preserve">
AuthenticationState=1 "The station has successfully completed the association procedure and is listed in the AP association table"
root@prplOS:/# wl -i wl0 assoclist
assoclist 42:33:64:A3:9F:B0
AuthenticationState=0 "The station is not associated with the AP and therefore does not appear in the AP association table."
root@prplOS:/# wl -i wl0 assoclist</t>
  </si>
  <si>
    <t>Abner</t>
  </si>
  <si>
    <t>kickStationReason()</t>
  </si>
  <si>
    <t>ubus-cli WiFi.AccessPoint.{i}.kickStationReason(macaddress=string, reason:int):bool</t>
  </si>
  <si>
    <t>1. Connect WiFi Station to GW
2. Kick connected Station using specified reason codes.
Code	Meaning
  1	       Unspecified
  5	       Disassociated because AP is busy
  8	       Deauthenticated because STA is leaving
  34	       Insufficient resources
root@prplOS:/# ubus-cli WiFi.AccessPoint.5.kickStationReason"(macaddress=7E:04:6
0:D8:FC:6E,reason=1)"
&gt; WiFi.AccessPoint.5.kickStationReason(macaddress=7E:04:60:D8:FC:6E,reason=1)
WiFi.AccessPoint.5.kickStationReason() returned
[
    ""
]
3. Verify system event logs
    - Confirm that the event log reports the station disconnection.
    - Expected log message includes:
        * Station MAC address 42:33:64:A3:9F:B0
        * Disconnection indication such as: “disassociated” or “deauthenticated” 
root@prplOS:/# 
CONSOLE[wl2]: 004528.186 wl2: STA 42:33:64:A3:9F:B0 has disassociated tx_type 33</t>
  </si>
  <si>
    <t>AuthenticationState=1 "The station has successfully completed the association procedure and is listed in the AP association table"
root@prplOS:/# wl -i wl0 assoclist
assoclist 42:33:64:A3:9F:B0
AuthenticationState=0 "The station is not associated with the AP and therefore does not appear in the AP association table."
root@prplOS:/# wl -i wl0 assoclist</t>
  </si>
  <si>
    <t>sendBssTransferRequest()</t>
  </si>
  <si>
    <t>ubus-cli WiFi.AccessPoint.{i}.sendBssTransferRequest(mac:string, target:string, class:int, channel:int, wait:int, retries:int, validity:int, disassoc:int, bssidInfo:uint32):bool</t>
  </si>
  <si>
    <t xml:space="preserve">1. Configure all radios (2.4G/5G/6G) to use the same SSID and Security mode.
2. Enable MBO  (Multi-Band Operation: this Suggest clients move to another band )
root@prplOS:~# ubus-cli WiFi.AccessPoint.*.MBOEnable=1
&gt; WiFi.AccessPoint.*.MBOEnable=1
WiFi.AccessPoint.1.MBOEnable=1
WiFi.AccessPoint.3.MBOEnable=1
WiFi.AccessPoint.5.MBOEnable=1
3. Configure AP1, AP3 and AP5 IEEE80211r.MobilityDomain to use the same value
ubus-cli WiFi.AccessPoint.{i}.IEEE80211r.MobilityDomain=25
4. Connect WiFi Station to GW
5. Check and make sure Station support BTM/11v
WiFi.AccessPoint.3.AssociatedDevice.1.Capabilities="RRM,BTM,QOS_MAP,PMF"
6. Verify that the station supports IEEE 802.11v (BSS Transition Management).
root@prplOS:/# ubus-cli WiFi.AccessPoint.*.AssociatedDevice.? | grep MAC
WiFi.AccessPoint.3.AssociatedDevice.1.MACAddress="6A:8C:E6:7A:18:91"
7. Trigger the station to transition from the 6 GHz SSID to the 5 GHz SSID using BSS Transition command.
root@prplOS:/# ubus-cli "WiFi.AccessPoint.3.sendBssTransferRequest(mac=6A:8C:E6:
7A:18:91,target=64:75:da:4e:51:75,class=1,channel=36,wait=0,retries=1,validity=1
0,disassoc=1,bssidInfo=0)"
&gt; WiFi.AccessPoint.3.sendBssTransferRequest(mac=6A:8C:E6:7A:18:91,target=64:75:da:4e:51:75,class=1,channel=36,wait=0,retries=1,validity=10,disassoc=1,bssidInfo=0)
ERROR: call (null) failed with status 1 - unknown error
WiFi.AccessPoint.3.sendBssTransferRequest() returned
[
    ""
]
root@prplOS:/# ubus-cli "WiFi.AccessPoint.3.sendBssTransferRequest(mac=6A:8C:E6:
7A:18:91,target=TESt-11r,class=115,channel=36,wait=0,retries=1,validity=10,disas
soc=1,bssidInfo=64:75:da:4e:51:75)"
&gt; WiFi.AccessPoint.3.sendBssTransferRequest(mac=6A:8C:E6:7A:18:91,target=TESt-11r,class=115,channel=36,wait=0,retries=1,validity=10,disassoc=1,bssidInfo=64:75:da:4e:51:75)
ERROR: call (null) failed with status 7 - invalid function argument
WiFi.AccessPoint.3.sendBssTransferRequest() returned
[
    ""
]
</t>
  </si>
  <si>
    <t>Failed</t>
  </si>
  <si>
    <t>"root@prplOS:/# ubus call WiFi.AccessPoint.3 sendBssTransferRequest '{""mac"":""34:9
7:F6:B6:C5:83"", ""target"":""00:90:11:33:55:77"", ""class"": 1, ""channel"": 149}'
WNM action frame:
  0000: 0a 07 01 07 0f 00 01 34 10 00 90 11 33 55 77 00
  0010: 00 00 00 01 95 00 03 01 ff
{
        ""retval"": -1
}
{
}
{
        ""amxd-error-code"": 0
}
root@prplOS:/# 
Defects: No response from hostapd"</t>
  </si>
  <si>
    <t>Brcm</t>
  </si>
  <si>
    <t xml:space="preserve"> - Transition command reurn error
Parameter	Meaning
mac	-   Client / station MAC
target	-    Target AP BSSID
channel  -     Channel where the target BSSID operates
class	-     Regulatory class (0 often accepted, but band-specific is better)
validity	-     Time window (in TBTTs) the request is valid
disassoc	 -    0 = advisory, 1 = force disconnect if ignored
bssidInfo -	Capability flags for the target BSS (optional)</t>
  </si>
  <si>
    <t>Tim</t>
  </si>
  <si>
    <t>sendRemoteMeasumentRequest()</t>
  </si>
  <si>
    <t>ubus-cli WiFi.AccessPoint.{i}.sendRemoteMeasumentRequest(mac:string, bssid:string, class:uint32, channel:uint32, timeout:uint32):bool</t>
  </si>
  <si>
    <t xml:space="preserve">1. Configure all radios (2.4G/5G/6G) to use the same SSID and Security mode.
2. Configure  AP1, AP3 and AP5 IEEE80211r.MobilityDomain to use the same value
ubus-cli WiFi.AccessPoint.{i}.IEEE80211r.MobilityDomain=25
3. Connect Wifi station to GW
4. Verify that the Station support BTM/11v /802.11k = Radio Resource Management (RRM)
WiFi.AccessPoint.3.AssociatedDevice.1.Capabilities="RRM,BTM,QOS_MAP,PMF"
5. Trigger the station to sendRemoteMeasumentRequest
root@prplOS:/# ubus-cli "WiFi.AccessPoint.3.sendRemoteMeasumentRequest(mac=6A:8C
:E6:7A:18:91,bssid=TEST-11r,class=uint32,channel=36,timeout=5)"
&gt; WiFi.AccessPoint.3.sendRemoteMeasumentRequest(mac=6A:8C:E6:7A:18:91,bssid=TEST-11r,class=0,channel=36,timeout=5)
WiFi.AccessPoint.3.sendRemoteMeasumentRequest() returned
[
    [
    ]
]
root@prplOS:~# ubus-cli "WiFi.AccessPoint.3.sendRemoteMeasurementRequest(macaddress=6A:8C:E6:7A:18:91,bssid=64:75:da:4e:51:75,class=0,channel=36,time
out=5)"
&gt; WiFi.AccessPoint.3.sendRemoteMeasurementRequest(macaddress=6A:8C:E6:7A:18:91,bssid=64:75:da:4e:51:75,class=0,channel=36,timeout=5)
ERROR: call (null) failed with status 3 - function not found
WiFi.AccessPoint.3.sendRemoteMeasurementRequest() returned
[
    "",
    {
        args = {
            bssid = "64:75:da:4e:51:75",
            channel = 36,
            class = 0,
            macaddress = "6A:8C:E6:7A:18:91",
            timeout = 5
        }
    }
]
root@prplOS:~# ubus list WiFi.AccessPoint.*.? | grep sendRemoteMeasurementRequest
Command failed: Not found
</t>
  </si>
  <si>
    <t>Need to commit, own by Leon, need to use wl_cfg80211_send_action_frame same as RDK; PWHM has defects on axmc key
Testing:
1) make sure sta supports 11k
2) issue command</t>
  </si>
  <si>
    <t xml:space="preserve"> - GW does not send sendRemoteMeasumentRequest by using the command.
</t>
  </si>
  <si>
    <t>setNeighbourAP()</t>
  </si>
  <si>
    <t>ubus-cli WiFi.AccessPoint.{i}.setNeighbourAP(BSSID:string, Information:int32, OperatingClass:int32, Channel:int32, PhyType:int32, NASIdentifier:string, R0KHKey:string):void</t>
  </si>
  <si>
    <t>WiFi.AccessPoint.{i}.AssociatedDevice.{i}.</t>
  </si>
  <si>
    <t>AssociatedDevice</t>
  </si>
  <si>
    <t>AssociationTime</t>
  </si>
  <si>
    <t>ubus-cli WiFi.AccessPoint.{i}.AssociatedDevice.{i}.AssociationTime=2021-06-04T16:05:34Z</t>
  </si>
  <si>
    <t xml:space="preserve">1. Connect WiFi Station to GW
2. Verify Associated station AssociationTime
ubus-cli WiFi.AccessPoint.*.AssociatedDevice.? | grep AssociationTime
WiFi.AccessPoint.1.AssociatedDevice.1.AssociationTime="2025-11-21T09:17:48Z"
WiFi.AccessPoint.3.AssociatedDevice.1.AssociationTime="2025-11-21T09:23:39Z"
WiFi.AccessPoint.5.AssociatedDevice.1.AssociationTime="2025-11-21T09:20:45Z"
</t>
  </si>
  <si>
    <t>root@prplOS:/# wl -i wl0 sta_info 4A:0A:A5:80:23:7B | grep  network
         in network 845 seconds</t>
  </si>
  <si>
    <t>AuthenticationState</t>
  </si>
  <si>
    <t>ubus-cli WiFi.AccessPoint.{i}.AssociatedDevice.{i}.AuthenticationState=1</t>
  </si>
  <si>
    <t>1. Connect WiFi Station to GW
2. Verify Associated station Authentication state
 [1=connected, 0=Disconnected]
ubus-cli WiFi.AccessPoint.*.AssociatedDevice.? | grep AuthenticationState
WiFi.AccessPoint.1.AssociatedDevice.1.AuthenticationState=1
WiFi.AccessPoint.3.AssociatedDevice.1.AuthenticationState=1
WiFi.AccessPoint.5.AssociatedDevice.1.AuthenticationState=1</t>
  </si>
  <si>
    <t>roroot@prplOS:/# wl -i wl0 sta_info 4A:0A:A5:80:23:7B | grep  state
         state: AUTHENTICATED ASSOCIATED AUTHORIZED</t>
  </si>
  <si>
    <t>AvgSignalStrength</t>
  </si>
  <si>
    <t>ubus-cli WiFi.AccessPoint.{i}.AssociatedDevice.{i}.AvgSignalStrength=-37</t>
  </si>
  <si>
    <t xml:space="preserve">1. Enable RssiEventing
root@prplOS:/# ubus-cli WiFi.AccessPoint.*.RssiEventing.Enable=1
&gt; WiFi.AccessPoint.*.RssiEventing.Enable=1
WiFi.AccessPoint.1.RssiEventing.Enable=1
WiFi.AccessPoint.3.RssiEventing.Enable=1
WiFi.AccessPoint.5.RssiEventing.Enable=1
root@prplOS:/# ubus-cli WiFi.AccessPoint.*.RssiEventing.Enable?
&gt; WiFi.AccessPoint.*.RssiEventing.Enable?
WiFi.AccessPoint.1.RssiEventing.Enable=1
WiFi.AccessPoint.3.RssiEventing.Enable=1
WiFi.AccessPoint.5.RssiEventing.Enable=1
2. Connect WiFi Station to GW
3. Verify Associated station AvgSignalStrength
root@prplOS:/# ubus-cli WiFi.AccessPoint.*.AssociatedDevice.? | grep AvgSignalSt
rength
WiFi.AccessPoint.1.AssociatedDevice.1.AvgSignalStrength=0
WiFi.AccessPoint.3.AssociatedDevice.1.AvgSignalStrength=0
WiFi.AccessPoint.5.AssociatedDevice.1.AvgSignalStrength=0
</t>
  </si>
  <si>
    <t xml:space="preserve">root@prplOS:/# wl -i wl0 sta_info 4A:0A:A5:80:23:7B | grep  rssi
         per antenna rssi of last rx data frame: -44 -48 -48 -47
         per antenna average rssi of rx data frames: -44 -48 -47 -47
smoothed rssi: -44
</t>
  </si>
  <si>
    <t>pAP-&gt;pFA-&gt;mfn_wvap_update_rssi_stats(pAP); This function is not implementied by PWHM. Don't know what would be collected.</t>
  </si>
  <si>
    <t>PWHM</t>
  </si>
  <si>
    <t>"AvgSignalStrength " need enable `WiFi.AccessPoint.X.RssiEventing.Enable`
prpl doesn't implement `mfn_wvap_update_assoc_dev` for  avg
---
Update: RssiEventing = Enabled but Station authenticated  AvgSignalStrength still return "0"</t>
  </si>
  <si>
    <t>AvgSignalStrengthByChain</t>
  </si>
  <si>
    <t>ubus-cli WiFi.AccessPoint.{i}.AssociatedDevice.{i}.AvgSignalStrengthByChain=-41</t>
  </si>
  <si>
    <t xml:space="preserve">1. Connect WiFi Station to GW
2. Verify Associated station AvgSignalStrengthByChain
ubus-cli WiFi.AccessPoint.*.AssociatedDevice.*.AvgSignalStrengthByChain?
WiFi.AccessPoint.1.AssociatedDevice.1.AvgSignalStrengthByChain=-41
WiFi.AccessPoint.3.AssociatedDevice.1.AvgSignalStrengthByChain=-57
WiFi.AccessPoint.5.AssociatedDevice.1.AvgSignalStrengthByChain=-48
</t>
  </si>
  <si>
    <t>root@prplOS:/# wl -i wl0 sta_info 4A:0A:A5:80:23:7B | grep  rssi
         per antenna rssi of last rx data frame: -44 -48 -48 -47
         per antenna average rssi of rx data frames: -44 -48 -47 -47
smoothed rssi: -44</t>
  </si>
  <si>
    <t>Capabilities</t>
  </si>
  <si>
    <t>ubus-cli WiFi.AccessPoint.{i}.AssociatedDevice.{i}.Capabilities=RRM,BTM,QOS_MAP</t>
  </si>
  <si>
    <t>1. Connect WiFi Station to GW
2. Verify Associated station Capabilities
root@prplOS:/# ubus-cli WiFi.AccessPoint.1.AssociatedDevice.1.Capabilities="RRM,BTM,QOS_MAP,PMF"
root@prplOS:/# ubus-cli WiFi.AccessPoint.3.AssociatedDevice.1.Capabilities="RRM,BTM,QOS_MAP,PMF"
root@prplOS:/# ubus-cli WiFi.AccessPoint.5.AssociatedDevice.1.Capabilities="RRM,BTM,QOS_MAP,PMF"</t>
  </si>
  <si>
    <t>root@prplOS:/# wl -i wl0 sta_info 4A:0A:A5:80:23:7B | grep  capability
RRM capability = 0x10843  Link_Measurement Neighbor_Report Beacon_Table Statistics_Measurement AP_Channel_Report</t>
  </si>
  <si>
    <t>wld_ad_handleAssocMsg/swl_80211_parseInfoElementsBuffer/wld_assocDev_copyAssocDevInfoFromIEs(old version hostapd)</t>
  </si>
  <si>
    <t>hostapd</t>
  </si>
  <si>
    <r>
      <rPr>
        <sz val="9"/>
        <color rgb="FFFF0000"/>
        <rFont val="Calibri"/>
        <scheme val="minor"/>
      </rPr>
      <t xml:space="preserve">[0325] BRCM confirm QOS_MAP is okay with WIFI7 STA, ARC need to retest.
</t>
    </r>
    <r>
      <rPr>
        <sz val="9"/>
        <color rgb="FF000000"/>
        <rFont val="Calibri"/>
        <scheme val="minor"/>
      </rPr>
      <t xml:space="preserve">[0324] BRCM: In 0004 patch, we disable assoc_ind/reassoc_ind.
</t>
    </r>
    <r>
      <rPr>
        <sz val="9"/>
        <color rgb="FFFF0000"/>
        <rFont val="Calibri"/>
        <scheme val="minor"/>
      </rPr>
      <t xml:space="preserve">Station info  does not include QOS_MAP, but packet captured include it.
</t>
    </r>
  </si>
  <si>
    <t>Y</t>
  </si>
  <si>
    <t>ChargeableUserId</t>
  </si>
  <si>
    <t>ubus-cli WiFi.AccessPoint.{i}.AssociatedDevice.{i}.ChargeableUserId=</t>
  </si>
  <si>
    <t>##Connect WiFi Station and check Station ChargeableUserId
WiFi.AccessPoint.1.AssociatedDevice.1.ChargeableUserId=""
WiFi.AccessPoint.3.AssociatedDevice.1.ChargeableUserId=""
WiFi.AccessPoint.5.AssociatedDevice.1.ChargeableUserId=""</t>
  </si>
  <si>
    <t>wl -i wl0 sta_info ${STA_MAC}</t>
  </si>
  <si>
    <t>Need to check(Leon)</t>
  </si>
  <si>
    <r>
      <rPr>
        <sz val="9"/>
        <color rgb="FFFF0000"/>
        <rFont val="Calibri"/>
        <scheme val="minor"/>
      </rPr>
      <t xml:space="preserve">As Per RD - Skip test cases related to WPA2/WPA3-Enterprise (802.1X)
</t>
    </r>
    <r>
      <rPr>
        <sz val="9"/>
        <color rgb="FF000000"/>
        <rFont val="Calibri"/>
        <scheme val="minor"/>
      </rPr>
      <t xml:space="preserve">
The ChargeableUserId usually comes from the RADIUS server’s reply (like the Acct-Session-Id or some identifier in RADIUS attributes).</t>
    </r>
  </si>
  <si>
    <t>ConnectionDuration</t>
  </si>
  <si>
    <t>ubus-cli WiFi.AccessPoint.{i}.AssociatedDevice.{i}.ConnectionDuration=8229</t>
  </si>
  <si>
    <t>1. Connect WiFi Station to GW
2. Verify Associated  Station ConnectionDuration
root@prplOS:/# ubus-cli WiFi.AccessPoint.1.AssociatedDevice.1.ConnectionDuration=27
root@prplOS:/# ubus-cli WiFi.AccessPoint.3.AssociatedDevice.1.ConnectionDuration=22
root@prplOS:/# ubus-cli WiFi.AccessPoint.5.AssociatedDevice.1.ConnectionDuration=39</t>
  </si>
  <si>
    <t>DownlinkBandwidth</t>
  </si>
  <si>
    <t>ubus-cli WiFi.AccessPoint.{i}.AssociatedDevice.{i}.DownlinkBandwidth=0</t>
  </si>
  <si>
    <t>1. Connect WiFi Station to GW
2. Verify Associated  Station DownlinkBandwidth
root@prplOS:/#  ubus-cli  WiFi.AccessPoint.*.AssociatedDevice.? | grep DownlinkB
andwidth
WiFi.AccessPoint.1.AssociatedDevice.1.DownlinkBandwidth=80
WiFi.AccessPoint.3.AssociatedDevice.1.DownlinkBandwidth=160
WiFi.AccessPoint.3.AssociatedDevice.1.DownlinkBandwidth=40</t>
  </si>
  <si>
    <t>root@prplOS:/# wl -i wl0 sta_info 4A:0A:A5:80:23:7B | grep  bandwidth
link bandwidth = 80 MHZ</t>
  </si>
  <si>
    <t>DownlinkMCS</t>
  </si>
  <si>
    <t>ubus-cli WiFi.AccessPoint.{i}.AssociatedDevice.{i}.DownlinkMCS=0</t>
  </si>
  <si>
    <r>
      <rPr>
        <sz val="9"/>
        <color rgb="FF000000"/>
        <rFont val="Calibri"/>
        <scheme val="minor"/>
      </rPr>
      <t>1. Connect WiFi Station to GW.
2. Run Iperf between Station and GW
3. Verify Associated Station DownlinkMCS.
root@prplOS:~# ubus-cli WiFi.AccessPoint.*.AssociatedDevice.*.DownlinkMCS?
&gt; WiFi.AccessPoint.*.AssociatedDevice.*.DownlinkMCS?
WiFi.AccessPoint.1.AssociatedDevice.1.DownlinkMCS=</t>
    </r>
    <r>
      <rPr>
        <sz val="9"/>
        <color rgb="FF0070C0"/>
        <rFont val="Calibri"/>
        <scheme val="minor"/>
      </rPr>
      <t xml:space="preserve">11
</t>
    </r>
    <r>
      <rPr>
        <sz val="9"/>
        <color rgb="FF000000"/>
        <rFont val="Calibri"/>
        <scheme val="minor"/>
      </rPr>
      <t>WiFi.AccessPoint.3.AssociatedDevice.1.DownlinkMCS=</t>
    </r>
    <r>
      <rPr>
        <sz val="9"/>
        <color rgb="FF0070C0"/>
        <rFont val="Calibri"/>
        <scheme val="minor"/>
      </rPr>
      <t xml:space="preserve">10
</t>
    </r>
    <r>
      <rPr>
        <sz val="9"/>
        <color rgb="FF000000"/>
        <rFont val="Calibri"/>
        <scheme val="minor"/>
      </rPr>
      <t>WiFi.AccessPoint.5.AssociatedDevice.1.DownlinkMCS=</t>
    </r>
    <r>
      <rPr>
        <sz val="9"/>
        <color rgb="FF0070C0"/>
        <rFont val="Calibri"/>
        <scheme val="minor"/>
      </rPr>
      <t>9</t>
    </r>
  </si>
  <si>
    <r>
      <t xml:space="preserve">root@prplOS:~# wl -i wl0 sta_info 34:19:4D:A4:B5:09 | grep  -A 1 '^rx'
rx nrate
he </t>
    </r>
    <r>
      <rPr>
        <sz val="9"/>
        <color rgb="FF0070C0"/>
        <rFont val="Calibri"/>
      </rPr>
      <t>mcs 11</t>
    </r>
    <r>
      <rPr>
        <sz val="9"/>
        <color rgb="FF000000"/>
        <rFont val="Calibri"/>
      </rPr>
      <t xml:space="preserve"> Nss 4 Tx Exp 0 bw20 ldpc 2xLTF GI 1.6us auto
root@prplOS:~# wl -i wl1 sta_info 38:06:E6:92:B0:4A | grep  -A 1 '^rx'
rx nrate
eht </t>
    </r>
    <r>
      <rPr>
        <sz val="9"/>
        <color rgb="FF0070C0"/>
        <rFont val="Calibri"/>
      </rPr>
      <t>mcs 10</t>
    </r>
    <r>
      <rPr>
        <sz val="9"/>
        <color rgb="FF000000"/>
        <rFont val="Calibri"/>
      </rPr>
      <t xml:space="preserve"> Nss 4 Tx Exp 0 bw160 ldpc 2xLTF GI 0.8us auto
root@prplOS:~# wl -i wl2 sta_info 34:19:4D:A4:B4:33 | grep  -A 1 '^rx'
rx nrate
vht </t>
    </r>
    <r>
      <rPr>
        <sz val="9"/>
        <color rgb="FF0070C0"/>
        <rFont val="Calibri"/>
      </rPr>
      <t>mcs 11</t>
    </r>
    <r>
      <rPr>
        <sz val="9"/>
        <color rgb="FF000000"/>
        <rFont val="Calibri"/>
      </rPr>
      <t xml:space="preserve"> Nss 1 Tx Exp 0 bw20 ldpc sgi auto</t>
    </r>
  </si>
  <si>
    <t>2026-03-03_EIT: verified and found fix in version 4.0.3
root@prplOS:~# ubus-cli WiFi.AccessPoint.*.AssociatedDevice.*.DownlinkMCS?
&gt; WiFi.AccessPoint.*.AssociatedDevice.*.DownlinkMCS?
WiFi.AccessPoint.1.AssociatedDevice.1.DownlinkMCS=11
WiFi.AccessPoint.3.AssociatedDevice.1.DownlinkMCS=11
WiFi.AccessPoint.5.AssociatedDevice.1.DownlinkMCS=10
BRCM: 2025-12-15  need to rework in mod( pfta-&gt;mfn_wvap_get_station_stats, pfta-&gt;mfn_wvap_get_single_station_stats), nl80211 doesn't support in old kernel
2026-01-06 CS00012439197_20260106.tgz fixed
2026-01-22_EIT: Verify and found fix using RD image =&gt; image\BGW720-300-CICD-7399b8_CS00012439197_20260109\bcmBGW720-300_squashfs_full_update.pkgtb
---
 API rerurn 0</t>
  </si>
  <si>
    <t>DownlinkShortGuard</t>
  </si>
  <si>
    <t>ubus-cli WiFi.AccessPoint.{i}.AssociatedDevice.{i}.DownlinkShortGuard=0</t>
  </si>
  <si>
    <t>1. Connect WiFi Station to GW.
2. Verify Associated Station DownlinkShortGuard
root@prplOS:/# ubus-cli WiFi.AccessPoint.*.AssociatedDevice.? | grep DownlinkShortGuard
WiFi.AccessPoint.1.AssociatedDevice.1.DownlinkShortGuard=0
WiFi.AccessPoint.3.AssociatedDevice.1.DownlinkShortGuard=0
WiFi.AccessPoint.5.AssociatedDevice.1.DownlinkShortGuard=0</t>
  </si>
  <si>
    <t>root@prplOS:/# wl -i wl0 sta_info 4A:0A:A5:80:23:7B | grep  -A 1 '^rx'
rx nrate
eht mcs 8 Nss 2 Tx Exp 0 bw80 ldpc 2xLTF GI 0.8us auto</t>
  </si>
  <si>
    <t xml:space="preserve"> API rerurn 0</t>
  </si>
  <si>
    <t>EncryptionMode</t>
  </si>
  <si>
    <t>ubus-cli WiFi.AccessPoint.{i}.AssociatedDevice.{i}.EncryptionMode=AES</t>
  </si>
  <si>
    <t>1. Connect WiFi Station to GW.
2. Verify Associated Station EncryptionMode:
WiFi.AccessPoint.1.AssociatedDevice.1.ProbeReqCaps.EncryptionMode="Default"
WiFi.AccessPoint.3.AssociatedDevice.1.ProbeReqCaps.EncryptionMode="Default"
WiFi.AccessPoint.5.AssociatedDevice.1.ProbeReqCaps.EncryptionMode="Default"</t>
  </si>
  <si>
    <t>wl -i wl0 sta_info ${STA_MAC}
auth: WPA3-SAE-PSK
crypto: AES_CCM</t>
  </si>
  <si>
    <t>wld_ap_hostapd_getStatinfo(old version hostapd)</t>
  </si>
  <si>
    <t>Hostapd</t>
  </si>
  <si>
    <r>
      <rPr>
        <sz val="9"/>
        <color rgb="FFFF0000"/>
        <rFont val="Calibri"/>
        <scheme val="minor"/>
      </rPr>
      <t xml:space="preserve">[0325] pwhm known issue
[0324] Tim: pWHM didn't set EncryptionMode in wld_assocDev_copyAssocDevInfoFromIEs
</t>
    </r>
    <r>
      <rPr>
        <sz val="9"/>
        <color rgb="FF000000"/>
        <rFont val="Calibri"/>
        <scheme val="minor"/>
      </rPr>
      <t>[0324] BRCM: In 0004 patch, we disable assoc_ind/reassoc_ind.
ARC: wld_ap_hostapd_getStaInfo doesn't support cipher paser
---
API return "Default" instead of "WPA3-SAE-PSK"</t>
    </r>
  </si>
  <si>
    <t>FrequencyCapabilities</t>
  </si>
  <si>
    <t>ubus-cli WiFi.AccessPoint.{i}.AssociatedDevice.{i}.FrequencyCapabilities=</t>
  </si>
  <si>
    <t xml:space="preserve">1. Connect WiFi Station to GW.
2. Verify Associated Station FrequencyCapabilities:
root@prplOS:~# ubus-cli WiFi.? | grep FrequencyCapabilities=
WiFi.AccessPoint.1.AssociatedDevice.1.FrequencyCapabilities="2.4GHz,5GHz,6GHz"
WiFi.AccessPoint.3.AssociatedDevice.1.FrequencyCapabilities="2.4GHz,5GHz,6GHz"
WiFi.AccessPoint.5.AssociatedDevice.1.FrequencyCapabilities="2.4GHz,5GHz,6GHz"
</t>
  </si>
  <si>
    <t>wl -i wl0 sta_info ${STA_MAC}
Frequency Bands Supported: 2.4G 5G 6G</t>
  </si>
  <si>
    <t>HeCapabilities</t>
  </si>
  <si>
    <t>ubus-cli WiFi.AccessPoint.{i}.AssociatedDevice.{i}.HeCapabilities=</t>
  </si>
  <si>
    <t xml:space="preserve">1. Connect WiFi Station to GW.
2. Verify Associated Station HeCapabilities:
WiFi.AccessPoint.1.AssociatedDevice.1.HeCapabilities="SU&amp;MU-BFE"
WiFi.AccessPoint.3.AssociatedDevice.1.HeCapabilities="SU&amp;MU-BFE"
WiFi.AccessPoint.5.AssociatedDevice.1.HeCapabilities="SU&amp;MU-BFE"
</t>
  </si>
  <si>
    <t>wl -i wl0 sta_info ${STA_MAC}
HE caps 0xcb629: LDPC HE-HTC SU&amp;MU-BFE</t>
  </si>
  <si>
    <t>HtCapabilities</t>
  </si>
  <si>
    <t>ubus-cli WiFi.AccessPoint.{i}.AssociatedDevice.{i}.HtCapabilities=40MHz,SGI20,SGI40</t>
  </si>
  <si>
    <t>##Connect WiFi Station and check Station HtCapabilities
WiFi.AccessPoint.1.AssociatedDevice.1.HtCapabilities="40MHz,SGI20,SGI40"
WiFi.AccessPoint.3.AssociatedDevice.1.HtCapabilities=""
WiFi.AccessPoint.5.AssociatedDevice.1.HtCapabilities="SGI20"</t>
  </si>
  <si>
    <t>wl -i wl0 sta_info ${STA_MAC}
HT caps 0x2d: LDPC  SGI20</t>
  </si>
  <si>
    <t>Brcm chip supports it.</t>
  </si>
  <si>
    <t>6G radio support only 11ax(HE) and 11be(EHT)</t>
  </si>
  <si>
    <t>Inactive</t>
  </si>
  <si>
    <t>ubus-cli WiFi.AccessPoint.{i}.AssociatedDevice.{i}.Inactive=0</t>
  </si>
  <si>
    <t>##Disconnect WiFi Station and check Station Inactive
WiFi.AccessPoint.1.AssociatedDevice.1.Inactive=4
WiFi.AccessPoint.3.AssociatedDevice.1.Inactive=2
WiFi.AccessPoint.5.AssociatedDevice.1.Inactive=2</t>
  </si>
  <si>
    <t>wl -i wl0 sta ${sta_macaddr}
 = idle xx seconds
wl -i wl0 assoclist
idle xx seconds
 = Empty</t>
  </si>
  <si>
    <t>LastDataDownlinkRate</t>
  </si>
  <si>
    <t>ubus-cli WiFi.AccessPoint.{i}.AssociatedDevice.{i}.LastDataDownlinkRate=1733333</t>
  </si>
  <si>
    <t>##Connect WiFi Station and check Station LastDataDownlinkRate
WiFi.AccessPoint.1.AssociatedDevice.1.LastDataDownlinkRate=324900
WiFi.AccessPoint.3.AssociatedDevice.1.LastDataDownlinkRate=258000
WiFi.AccessPoint.5.AssociatedDevice.1.LastDataDownlinkRate=172000</t>
  </si>
  <si>
    <t>wl -i wl0 sta_info ${STA_MAC}
LastDataDownlinkRate (AP → STA) =&gt; rate of last tx pkt: 162500 kbps - 48750 kbps</t>
  </si>
  <si>
    <t>LastDataUplinkRate</t>
  </si>
  <si>
    <t>ubus-cli WiFi.AccessPoint.{i}.AssociatedDevice.{i}.LastDataUplinkRate=1733333</t>
  </si>
  <si>
    <t>##Connect WiFi Station and check Station LastDataUplinkRate
WiFi.AccessPoint.1.AssociatedDevice.1.LastDataUplinkRate=292400
WiFi.AccessPoint.3.AssociatedDevice.1.LastDataUplinkRate=146200
WiFi.AccessPoint.5.AssociatedDevice.1.LastDataUplinkRate=24300</t>
  </si>
  <si>
    <t>wl -i wl0 sta_info ${STA_MAC}
LastDataUplinkRate (STA → AP) = rate of last rx pkt: 51610 kbps</t>
  </si>
  <si>
    <t>LinkBandwidth</t>
  </si>
  <si>
    <t>ubus-cli WiFi.AccessPoint.{i}.AssociatedDevice.{i}.LinkBandwidth=160MHz</t>
  </si>
  <si>
    <t xml:space="preserve">##Connect WiFi Station and check Station LinkBandwidth
WiFi.AccessPoint.1.AssociatedDevice.1.LinkBandwidth="20MHz"
WiFi.AccessPoint.3.AssociatedDevice.1.LinkBandwidth="20MHz"
WiFi.AccessPoint.5.AssociatedDevice.1.LinkBandwidth="20MHz"
</t>
  </si>
  <si>
    <t>wl -i wl0 sta_info ${STA_MAC}
 link bandwidth = 20 MHZ</t>
  </si>
  <si>
    <t>MACAddress</t>
  </si>
  <si>
    <t>ubus-cli WiFi.AccessPoint.{i}.AssociatedDevice.{i}.MACAddress=AA:6B:30:4E:8E:5C</t>
  </si>
  <si>
    <t>##Connect WiFi Station and check Station MAC Address
WiFi.AccessPoint.1.AssociatedDevice.1.MACAddress="12:59:1B:BC:C7:7C"
WiFi.AccessPoint.3.AssociatedDevice.1.MACAddress="82:25:85:F8:33:D1"
WiFi.AccessPoint.5.AssociatedDevice.1.MACAddress="02:0F:42:EB:A5:26"</t>
  </si>
  <si>
    <t xml:space="preserve">wl -i wl0 sta_info ${STA_MAC}
 STA 02:0F:42:EB:A5:26: </t>
  </si>
  <si>
    <t>MaxBandwidthSupported</t>
  </si>
  <si>
    <t>ubus-cli WiFi.AccessPoint.{i}.AssociatedDevice.{i}.MaxBandwidthSupported=160MHz</t>
  </si>
  <si>
    <t>##Connect WiFi Station and check Station MaxBandwidthSupported
WiFi.AccessPoint.1.AssociatedDevice.1.MaxBandwidthSupported="160MHz"
WiFi.AccessPoint.3.AssociatedDevice.1.MaxBandwidthSupported="Unknown"
WiFi.AccessPoint.5.AssociatedDevice.1.MaxBandwidthSupported="20MHz"</t>
  </si>
  <si>
    <t>wl -i wl0 sta_info ${STA_MAC}
VHT SET : 0x1 1x1 2x1 3x1 4x1 5x1 6x1 7x1 8x1 9x1 
         : 0x2 1x2 2x2 3x2 4x2 5x2 6x2 7x2 8x2 9x2
HE SET  :
    20/40/80 MHz:
        NSS1 Tx: 0-11        Rx: 0-11
        NSS2 Tx: 0-11        Rx: ---
EHT SET  :
    20/40/80 MHz:
VHT (Wi-Fi 5) → channel widths up to 80 MHz
HE (Wi-Fi 6) → supports 20/40/80 MHz
EHT (Wi-Fi 7) → supports 20/40/80 MHz
No 160 MHz or 320 MHz channels shown → max supported bandwidth is 80 MHz</t>
  </si>
  <si>
    <t>swl_bandwidth_e wld_util_getMaxBwCap(wld_assocDev_capabilities_t* caps) only support HT/HE, not EHT</t>
  </si>
  <si>
    <t>PWHM
pWHM not suppoted 320MHz</t>
  </si>
  <si>
    <t>6G Radio return "Unknown"</t>
  </si>
  <si>
    <t>Mode</t>
  </si>
  <si>
    <t>ubus-cli WiFi.AccessPoint.{i}.AssociatedDevice.{i}.Mode=ac</t>
  </si>
  <si>
    <t>##Connect WiFi Station and check Station Mode</t>
  </si>
  <si>
    <t>mode doesn't exist in odl</t>
  </si>
  <si>
    <t>API and Stat info does not have "Mode"</t>
  </si>
  <si>
    <t>MUGroupId</t>
  </si>
  <si>
    <t>ubus-cli WiFi.AccessPoint.{i}.AssociatedDevice.{i}.MUGroupId=0</t>
  </si>
  <si>
    <t>\\Connect two WiFi Station to the Radio
\\Check Capabilities to make sure it support 
root@prplOS:/# ubus-cli WiFi.AccessPoint.*.AssociatedDevice.*.? | grep HeCapabil
ities
WiFi.AccessPoint.1.AssociatedDevice.1.HeCapabilities=""SU&amp;MU-BFE""
WiFi.AccessPoint.1.AssociatedDevice.2.HeCapabilities=""SU&amp;MU-BFE""
 Note:
SU-BFE → Single-User Beamforming EE (STA can be beamformed to).
MU-BFE → Multi-User Beamforming EE (STA can be part of MU-MIMO downlink).
So the station SU &amp; MU-BFE is able to receive MU-MIMO transmissions from the AP.
This is a requirement for MU-MIMO grouping.
\\Play youtube in station for 5Minutes
\\Check MUGroupId
root@prplOS:/# ubus-cli WiFi.AccessPoint.*.AssociatedDevice.*.MUGroupId?
&gt; WiFi.AccessPoint.*.AssociatedDevice.*.MUGroupId?
WiFi.AccessPoint.1.AssociatedDevice.1.MUGroupId=0
WiFi.AccessPoint.1.AssociatedDevice.2.MUGroupId=0"</t>
  </si>
  <si>
    <t>defintion in pwhm only</t>
  </si>
  <si>
    <t>PWHM
pWHM not suppoted</t>
  </si>
  <si>
    <t>API MUGroupId always "0"</t>
  </si>
  <si>
    <t>MUMimoTxPktsCount</t>
  </si>
  <si>
    <t>ubus-cli WiFi.AccessPoint.{i}.AssociatedDevice.{i}.MUMimoTxPktsCount=0</t>
  </si>
  <si>
    <t xml:space="preserve">Reference from Test case number 206 "ubus-cli WiFi.Radio.{i}.MultiUserMIMOEnabled=1"
root@prplOS:/# ubus-cli WiFi.AccessPoint.*.AssociatedDevice.*.MUMimoTxPktsCount?
&gt; WiFi.AccessPoint.*.AssociatedDevice.*.MUMimoTxPktsCount?
WiFi.AccessPoint.1.AssociatedDevice.1.MUMimoTxPktsCount=0
WiFi.AccessPoint.3.AssociatedDevice.1.MUMimoTxPktsCount=0
WiFi.AccessPoint.5.AssociatedDevice.1.MUMimoTxPktsCount=0
</t>
  </si>
  <si>
    <t xml:space="preserve">wl -i wl0 sta_info ${STA_MAC}
</t>
  </si>
  <si>
    <t xml:space="preserve"> - API always return "0"
 - wl -i wl0 sta_info ${STA_MAC} = this command don't show MiMo counter/Statistics</t>
  </si>
  <si>
    <t>MUMimoTxPktsPercentage</t>
  </si>
  <si>
    <t>ubus-cli WiFi.AccessPoint.{i}.AssociatedDevice.{i}.MUMimoTxPktsPercentage=0</t>
  </si>
  <si>
    <t>Reference from Test case number 206 "ubus-cli WiFi.Radio.{i}.MultiUserMIMOEnabled=1"
root@prplOS:/# ubus-cli WiFi.AccessPoint.*.AssociatedDevice.*.MUMimoTxPktsPercen
tage?
WiFi.AccessPoint.1.AssociatedDevice.1.MUMimoTxPktsPercentage=0
WiFi.AccessPoint.3.AssociatedDevice.1.MUMimoTxPktsPercentage=0
WiFi.AccessPoint.5.AssociatedDevice.1.MUMimoTxPktsPercentage=0</t>
  </si>
  <si>
    <t>MUUserPositionId</t>
  </si>
  <si>
    <t>ubus-cli WiFi.AccessPoint.{i}.AssociatedDevice.{i}.MUUserPositionId=0</t>
  </si>
  <si>
    <t>\\Connect WiFi Station
\\Run IPERF3 between Station's and GW at the same time
\\Get station caps
root@prplOS:/# wl -i wl0 sta_info 34:19:4d:a4:b5:09 | grep 'caps'
         HT caps 0x9ef: LDPC 40MHz SGI20 SGI40 STBC-Tx STBC-Rx
         VHT caps 0xff: LDPC SGI80 SGI160 STBC-Tx STBC-Rx SU-BFR SU-BFE MU-BFR
         HE caps 0xc6639: LDPC HE-HTC SU-BFR SU&amp;MU-BFE
         EHT caps 0x105: SU-BFR SU&amp;MU-BFE
root@prplOS:/# wl -i wl1 sta_info 38:06:E6:92:B0:4A | grep 'caps'
         HT caps 0x0:
         HE caps 0xc6639: LDPC HE-HTC SU-BFR SU&amp;MU-BFE
         EHT caps 0x105: SU-BFR SU&amp;MU-BFE
\\get MUUserPositionId
root@prplOS:/# ubus-cli WiFi.AccessPoint.*.AssociatedDevice.*.MUUserPositionId?
sitionId?
CFG80211-ERROR) wl_cfg80211_sta_info : GET STA INFO failed, -21
WiFi.AccessPoint.1.AssociatedDevice.1.MUUserPositionId=0
WiFi.AccessPoint.3.AssociatedDevice.1.MUUserPositionId=0
WiFi.AccessPoint.5.AssociatedDevice.1.MUUserPositionId=0</t>
  </si>
  <si>
    <t>Stations and GW support MIMO and both stations run IPERF3 at the same time but the MUUserPositionId always return "0"
Expected Result: 
 the MUUserPositionId should be 1,2,3...because from capabilities:
Standard	-   MU-MIMO Supported? -	Evidence
802.11ac (VHT)	     ✔ Yes	                        MU-BFR
802.11ax (HE)	      ✔ Yes	                        SU&amp;MU-BFE
802.11be (EHT)	     ✔ Yes	                        SU&amp;MU-BFE
0	MU-MIMO is not active for STA
1, 2, 3…	Index of the user within the MU-MIMO transmission group</t>
  </si>
  <si>
    <t>Noise</t>
  </si>
  <si>
    <t>ubus-cli WiFi.AccessPoint.{i}.AssociatedDevice.{i}.Noise=-90</t>
  </si>
  <si>
    <t>1. Connect WiFi Station to GW
2. Get the Noise by ubus command and record the result for reference
root@prplOS:/# ubus-cli WiFi.AccessPoint.*.AssociatedDevice.*.Noise?
&gt; WiFi.AccessPoint.*.AssociatedDevice.*.Noise?
WiFi.AccessPoint.1.AssociatedDevice.1.Noise=-94
WiFi.AccessPoint.3.AssociatedDevice.1.Noise=-97
WiFi.AccessPoint.5.AssociatedDevice.1.Noise=-95
3. Use noise generator to generate the noise.
4. Get the Noise via ubus-command 
5GHz Channel 36 "set frequency in noise generator to 5175"
root@prplOS:/# ubus-cli WiFi.AccessPoint.1.AssociatedDevice.*.Noise?
&gt; WiFi.AccessPoint.1.AssociatedDevice.*.Noise?
WiFi.AccessPoint.1.AssociatedDevice.1.Noise=-84
6GHz Channel 1 "set frequency in noise generator to 5955"
root@prplOS:/# ubus-cli WiFi.AccessPoint.3.AssociatedDevice.*.Noise?
&gt; WiFi.AccessPoint.3.AssociatedDevice.*.Noise?
WiFi.AccessPoint.3.AssociatedDevice.1.Noise=-89
2.4GHz Channel 1 "set frequency in noise generator to 2415"
root@prplOS:/# ubus-cli WiFi.AccessPoint.5.AssociatedDevice.*.Noise?
&gt; WiFi.AccessPoint.5.AssociatedDevice.*.Noise?
WiFi.AccessPoint.5.AssociatedDevice.1.Noise=-81</t>
  </si>
  <si>
    <t>wl -i wl0 sta_info ${STA_MAC}
root@prplOS:/# wl -i wl0 sta_info 34:19:4d:a4:b5:09 | grep noise
         per antenna noise floor: -85 -87 -86 -86
root@prplOS:/# wl -i wl1 sta_info 38:06:E6:92:B0:4A | grep noise
         per antenna noise floor: -87 -87 -87 -88
root@prplOS:/# wl -i wl2 sta_info 34:19:4d:a4:b4:33 | grep noise
         per antenna noise floor: -80 -78 -78 -75</t>
  </si>
  <si>
    <t>Commit</t>
  </si>
  <si>
    <t>Vendor Module</t>
  </si>
  <si>
    <t xml:space="preserve">2026-02-24_EIT: verified and found fix in version 4.0.3
API return "0" </t>
  </si>
  <si>
    <t>OperatingStandard</t>
  </si>
  <si>
    <t>ubus-cli WiFi.AccessPoint.{i}.AssociatedDevice.{i}.OperatingStandard=ac</t>
  </si>
  <si>
    <t>##Connect WiFi Station and check Station OperatingStandard
 ubus-cli WiFi.AccessPoint.? | grep \.OperatingStandard=
WiFi.AccessPoint.1.AssociatedDevice.{i}.OperatingStandard="a"
WiFi.AccessPoint.2.AssociatedDevice.{i}.OperatingStandard="Unknown"
WiFi.AccessPoint.3.AssociatedDevice.{i}.OperatingStandard="be"
WiFi.AccessPoint.4.AssociatedDevice.{i}.OperatingStandard="be"
WiFi.AccessPoint.5.AssociatedDevice.{i}.OperatingStandard="ax"
WiFi.AccessPoint.6.AssociatedDevice.{i}.OperatingStandard="ax"</t>
  </si>
  <si>
    <t>Tracy</t>
  </si>
  <si>
    <t>Arthur</t>
  </si>
  <si>
    <t>PowerSave</t>
  </si>
  <si>
    <t>ubus-cli WiFi.AccessPoint.{i}.AssociatedDevice.{i}.PowerSave=0</t>
  </si>
  <si>
    <t>\\Enable U-APSD in station
\\Connect WiFi Station to GW
\\Check Station info "PowerSave"
root@prplOS:/# ubus-cli WiFi.AccessPoint.*.AssociatedDevice.*.PowerSave?
&gt; WiFi.AccessPoint.*.AssociatedDevice.*.PowerSave?
WiFi.AccessPoint.1.AssociatedDevice.1.PowerSave=0
WiFi.AccessPoint.1.AssociatedDevice.2.PowerSave=0
WiFi.AccessPoint.3.AssociatedDevice.1.PowerSave=0
WiFi.AccessPoint.5.AssociatedDevice.1.PowerSave=0</t>
  </si>
  <si>
    <t>root@prplOS:/# wl -i wl0 sta_info E6:60:17:EB:A9:86 | grep flags
         flags 0x40d1fe3a: WME APSD_BE APSD_BK APSD_VI APSD_VO N_CAP VHT_CAP HE_CAP AMP</t>
  </si>
  <si>
    <t>API return "0"  while in wl command station  info it shows APSD</t>
  </si>
  <si>
    <t>Retransmissions</t>
  </si>
  <si>
    <t>ubus-cli WiFi.AccessPoint.{i}.AssociatedDevice.{i}.Retransmissions=0</t>
  </si>
  <si>
    <t xml:space="preserve">"1. Connect one WiFi station to SSID4, SSID6 and SSID8 of the GW (DUT)
2. Run Iperf from Station to GW and between Station
3. Setup neighbour GW near the GW (DUT)
4. Place Neighbor GW nearby
5. Set same channel + bandwidth
6. Connect STA(s) to Neighbor GW
7. Run Iperf simultaneously 
8. Check AssociatedDevice Stats.Retransmission
root@prplOS:/# ubus-cli WiFi.AccessPoint.*.AssociatedDevice.*.Retransmissions?
&gt; WiFi.AccessPoint.*.AssociatedDevice.*.Retransmissions?
WiFi.AccessPoint.1.AssociatedDevice.1.Retransmissions=0
WiFi.AccessPoint.3.AssociatedDevice.1.Retransmissions=0
WiFi.AccessPoint.5.AssociatedDevice.1.Retransmissions=0
Note: run the test overnight"	</t>
  </si>
  <si>
    <t>root@prplOS:/# wl -i wl0 sta_info 34:19:4d:a4:b5:09 | grep pkts
         tx total pkts: 101
         tx ucast pkts: 101
         tx mcast/bcast pkts: 0
         rx data pkts: 844
         rx ucast pkts: 334
         rx mcast/bcast pkts: 510
         tx data pkts retried: 0
         tx total pkts sent: 101
         tx pkts retries: 65
         tx pkts retry exhausted: 0
         rx total pkts retried: 78
         tx acked pkts: 101
root@prplOS:/# wl -i wl1 sta_info 38:06:E6:92:B0:4A | grep pkts
         tx total pkts: 55010
         tx ucast pkts: 55010
         tx mcast/bcast pkts: 0
         rx data pkts: 69403
         rx ucast pkts: 66319
         rx mcast/bcast pkts: 3084
         tx data pkts retried: 0
         tx total pkts sent: 54992
         tx pkts retries: 7589
         tx pkts retry exhausted: 18
         rx total pkts retried: 973
         tx acked pkts: 54974
root@prplOS:/#  wl -i wl2 sta_info 34:19:4d:a4:b4:33 | grep pkts
         tx total pkts: 67114
         tx ucast pkts: 67114
         tx mcast/bcast pkts: 0
         rx data pkts: 123103
         rx ucast pkts: 120005
         rx mcast/bcast pkts: 3098
         tx data pkts retried: 0
         tx total pkts sent: 66129
         tx pkts retries: 24378
         tx pkts retry exhausted: 549
         rx total pkts retried: 17456
         tx acked pkts: 65580</t>
  </si>
  <si>
    <r>
      <rPr>
        <sz val="9"/>
        <color rgb="FFFF0000"/>
        <rFont val="Calibri"/>
        <scheme val="minor"/>
      </rPr>
      <t xml:space="preserve">[0325] BRCM confirm it should be used tx_pkts retries
</t>
    </r>
    <r>
      <rPr>
        <sz val="9"/>
        <color rgb="FF00B050"/>
        <rFont val="Calibri"/>
        <scheme val="minor"/>
      </rPr>
      <t xml:space="preserve">[0324] Tim: Which Stats is correct,
sta-&gt;tx_pkts_retries or 
sta-&gt;tx_pkts_retried?
Now mod_whm_brcm get value from sta-&gt;tx_pkts_retried
</t>
    </r>
    <r>
      <rPr>
        <sz val="9"/>
        <color rgb="FF000000"/>
        <rFont val="Calibri"/>
        <scheme val="minor"/>
      </rPr>
      <t xml:space="preserve">
API return 0
root@prplOS:~# wl -i wl2 sta_info 34:19:4D:A4:B4:33 | grep -E "tx pkts|retried"
         tx data pkts retried: 0
       </t>
    </r>
    <r>
      <rPr>
        <sz val="9"/>
        <color rgb="FF0070C0"/>
        <rFont val="Calibri"/>
        <scheme val="minor"/>
      </rPr>
      <t xml:space="preserve">  tx pkts retries: 31762296
</t>
    </r>
    <r>
      <rPr>
        <sz val="9"/>
        <color rgb="FF000000"/>
        <rFont val="Calibri"/>
        <scheme val="minor"/>
      </rPr>
      <t xml:space="preserve">         tx pkts retry exhausted: 335823
         rx total pkts retried: 1253
root@prplOS:~# wl -i wl1 sta_info 38:06:E6:92:B0:4A  | grep -E "tx pkts|retried"
         tx data pkts retried: 0
      </t>
    </r>
    <r>
      <rPr>
        <sz val="9"/>
        <color rgb="FF0070C0"/>
        <rFont val="Calibri"/>
        <scheme val="minor"/>
      </rPr>
      <t xml:space="preserve">   tx pkts retries: 237545
</t>
    </r>
    <r>
      <rPr>
        <sz val="9"/>
        <color rgb="FF000000"/>
        <rFont val="Calibri"/>
        <scheme val="minor"/>
      </rPr>
      <t xml:space="preserve">         tx pkts retry exhausted: 0
         rx total pkts retried: 20
root@prplOS:~# ubus-cli WiFi.AccessPoint.*.AssociatedDevice.*.Retransmissions?
&gt; WiFi.AccessPoint.*.AssociatedDevice.*.Retransmissions?
WiFi.AccessPoint.1.AssociatedDevice.1.Retransmissions=0
WiFi.AccessPoint.3.AssociatedDevice.1.Retransmissions=0
WiFi.AccessPoint.5.AssociatedDevice.1.Retransmissions=0
API counter always 0
  tx pkts retries: Number of packets that had to be retransmitted at least once because the ACK was not received "main retransmission counter"</t>
    </r>
  </si>
  <si>
    <t xml:space="preserve">The value of tx pkts retries seems okay, but why WiFi.AccessPoint.1.AssociatedDevice.1.Retransmission is always 0? Why BRCM's test results show pass? </t>
  </si>
  <si>
    <t>Rx_Retransmissions</t>
  </si>
  <si>
    <t>ubus-cli WiFi.AccessPoint.{i}.AssociatedDevice.{i}.Rx_Retransmissions=10</t>
  </si>
  <si>
    <t>1. Connect WiFi station to GW
2. Run IPerf3 between Stations and GW
3. Get stats of Rx_Retransmissions using ubus command
root@prplOS:/# ubus-cli WiFi.AccessPoint.*.AssociatedDevice.*.Rx_Retransmissions
?
&gt; WiFi.AccessPoint.*.AssociatedDevice.*.Rx_Retransmissions?
WiFi.AccessPoint.1.AssociatedDevice.1.Rx_Retransmissions=0
WiFi.AccessPoint.3.AssociatedDevice.1.Rx_Retransmissions=0
WiFi.AccessPoint.5.AssociatedDevice.1.Rx_Retransmissions=0</t>
  </si>
  <si>
    <t xml:space="preserve">
"wl -i wl0 sta_info ${STA_MAC}
root@prplOS:/# wl -i wl0 sta_info 34:19:4d:a4:b5:09 | grep pkts
         tx total pkts: 3
         tx ucast pkts: 3
         tx mcast/bcast pkts: 0
         rx data pkts: 0
         rx ucast pkts: 0
         rx mcast/bcast pkts: 0
         tx data pkts retried: 0
         tx total pkts sent: 3
         tx pkts retries: 6
         tx pkts retry exhausted: 0
         rx total pkts retried: 0
         tx acked pkts: 3
root@prplOS:/# wl -i wl1 sta_info 38:06:E6:92:B0:4A | grep pkts
         tx total pkts: 340089
         tx ucast pkts: 340089
         tx mcast/bcast pkts: 0
         rx data pkts: 2784399
         rx ucast pkts: 2784294
         rx mcast/bcast pkts: 105
         tx data pkts retried: 0
         tx total pkts sent: 340086
         tx pkts retries: 19137
         tx pkts retry exhausted: 3
         rx total pkts retried: 21
         tx acked pkts: 340083
root@prplOS:/# wl -i wl2 sta_info 34:19:4d:a4:b4:33 | grep pkts
         tx total pkts: 90320
         tx ucast pkts: 90320
         tx mcast/bcast pkts: 0
         rx data pkts: 202933
         rx ucast pkts: 202460
         rx mcast/bcast pkts: 473
         tx data pkts retried: 0
         tx total pkts sent: 87907
         tx pkts retries: 19816
         tx pkts retry exhausted: 1355
         rx total pkts retried: 2141
         tx acked pkts: 86552
root@prplOS:/#"</t>
  </si>
  <si>
    <t>Vendor Module supports to get rx_reties. wld_nl80211_stationInfo_t doesn't support</t>
  </si>
  <si>
    <t>PWHM
pWHM not supported</t>
  </si>
  <si>
    <t>API return "0"  while in wl command "rx total pkts retried" not equal to "0"</t>
  </si>
  <si>
    <t>RxBytes</t>
  </si>
  <si>
    <t>ubus-cli WiFi.AccessPoint.{i}.AssociatedDevice.{i}.RxBytes=74058808</t>
  </si>
  <si>
    <t xml:space="preserve">
1. Connect WiFi station to GW
2. Run IPerf3 between Stations and GW
3. Get stats of RxBytes using ubus command
root@prplOS:/# ubus-cli WiFi.AccessPoint.*.AssociatedDevice.*.? | grep RxBytes
WiFi.AccessPoint.1.AssociatedDevice.1.RxBytes=5058
WiFi.AccessPoint.3.AssociatedDevice.1.RxBytes=3877089069
WiFi.AccessPoint.5.AssociatedDevice.1.RxBytes=226182808</t>
  </si>
  <si>
    <t>iw wl0 station dump
root@prplOS:/# iw wl0 station dump
Station 34:19:4d:a4:b5:09 (on wl0)
        inactive time:  11000 ms
        rx bytes:       5398
        rx packets:     40
        tx bytes:       152
        tx packets:     20
        signal:         -35 [-34] dBm
        signal avg:     -35 [-33] dBm
        tx bitrate:     4899.0 MBit/s 160MHz
        rx bitrate:     4803.8 MBit/s 160MHz
root@prplOS:/# iw wl1 station dump
Station 38:06:e6:92:b0:4a (on wl1)
        inactive time:  2000 ms
        rx bytes:       3877089453
        rx packets:     2784434
        tx bytes:       3107018121
        tx packets:     340103
        tx failed:      3
        signal:         -35 [-34] dBm
        signal avg:     -35 [-34] dBm
        tx bitrate:     3843.1 MBit/s 160MHz
        rx bitrate:     4537.0 MBit/s 160MHz
root@prplOS:/# iw wl2 station dump
Station 34:19:4d:a4:b4:33 (on wl2)
        inactive time:  3000 ms
        rx bytes:       226211195
        rx packets:     203551
        tx bytes:       210402098
        tx packets:     90327
        tx failed:      1355
        signal:         -27 [-23] dBm
        signal avg:     -27 [-25] dBm
        tx bitrate:     309.7 MBit/s
        rx bitrate:     387.0 MBit/s</t>
  </si>
  <si>
    <t>root@prplOS:~#  iw wl0 station dump | grep  "rx bytes:"
        rx bytes:       171473
root@prplOS:~#  iw wl1 station dump | grep  "rx bytes:"
        rx bytes:       4203
root@prplOS:~#  iw wl2 station dump | grep  "rx bytes:"
        rx bytes:       45151
root@prplOS:~# ubus-cli WiFi.AccessPoint.*.AssociatedDevice.*.RxBytes?
&gt; WiFi.AccessPoint.*.AssociatedDevice.*.RxBytes?
WiFi.AccessPoint.1.AssociatedDevice.1.RxBytes=175279
WiFi.AccessPoint.3.AssociatedDevice.1.RxBytes=4329
WiFi.AccessPoint.5.AssociatedDevice.1.RxBytes=45151</t>
  </si>
  <si>
    <t>RxMulticastPacketCount</t>
  </si>
  <si>
    <t>ubus-cli WiFi.AccessPoint.{i}.AssociatedDevice.{i}.RxMulticastPacketCount=0</t>
  </si>
  <si>
    <t>1. Connect WiFi station to GW
2. Create Multicast group and send Multicast Data between station's
Station server = iperf -s -u -B 239.1.2.3%br0 -i 1
Station Joiner = iperf -c 239.1.2.3 -u -t 10 -b 20M -i 1 -t 100
3. Check RxMulticastPacketCount
root@prplOS:/# ubus-cli WiFi.AccessPoint.*.AssociatedDevice.*.RxMulticastPacketCount?
&gt; WiFi.AccessPoint.*.AssociatedDevice.*.RxMulticastPacketCount?
WiFi.AccessPoint.1.AssociatedDevice.1.RxMulticastPacketCount=0
WiFi.AccessPoint.3.AssociatedDevice.1.RxMulticastPacketCount=0
WiFi.AccessPoint.5.AssociatedDevice.1.RxMulticastPacketCount=0</t>
  </si>
  <si>
    <t>iw wl0 station dump
root@prplOS:/# wl -i wl0 sta_info 34:19:4d:a4:b5:09 | grep pkts
         tx total pkts: 236
         tx ucast pkts: 236
         tx mcast/bcast pkts: 0
         rx data pkts: 56374
         rx ucast pkts: 8323
         rx mcast/bcast pkts: 48051
         tx data pkts retried: 0
         tx total pkts sent: 230
         tx pkts retries: 24
         tx pkts retry exhausted: 6
         rx total pkts retried: 4368
         tx acked pkts: 224
root@prplOS:/# wl -i wl1 sta_info 38:06:E6:92:B0:4A | grep pkts
         tx total pkts: 316
         tx ucast pkts: 316
         tx mcast/bcast pkts: 0
         rx data pkts: 2102056
         rx ucast pkts: 1784550
         rx mcast/bcast pkts: 317506
         tx data pkts retried: 0
         tx total pkts sent: 316
         tx pkts retries: 36
         tx pkts retry exhausted: 0
         rx total pkts retried: 110019
         tx acked pkts: 316
root@prplOS:/# wl -i wl2 sta_info 34:19:4d:a4:b4:33 | grep pkts
         tx total pkts: 21
         tx ucast pkts: 21
         tx mcast/bcast pkts: 0
         rx data pkts: 10468
         rx ucast pkts: 10127
         rx mcast/bcast pkts: 341
         tx data pkts retried: 0
         tx total pkts sent: 21
         tx pkts retries: 50
         tx pkts retry exhausted: 0
         rx total pkts retried: 2903
         tx acked pkts: 21</t>
  </si>
  <si>
    <t>Vendor Module supports to get.wld_nl80211_stationInfo_t doesn't support</t>
  </si>
  <si>
    <t>API return "0"  while in wl command "rx mcast/bcast pkts" not equal to "0"</t>
  </si>
  <si>
    <t>RxPacketCount</t>
  </si>
  <si>
    <t>ubus-cli WiFi.AccessPoint.{i}.AssociatedDevice.{i}.RxPacketCount=193482</t>
  </si>
  <si>
    <t xml:space="preserve">
\\Connect WiFi station to GW
\\Run IPerf3 between Stations and GW
\\Get stats of RxPacketCount using ubus command
root@prplOS:/# ubus-cli WiFi.AccessPoint.*.AssociatedDevice.*.RxPacketCount?
&gt; WiFi.AccessPoint.*.AssociatedDevice.*.RxPacketCount?
WiFi.AccessPoint.1.AssociatedDevice.1.RxPacketCount=51
WiFi.AccessPoint.3.AssociatedDevice.1.RxPacketCount=2784444
WiFi.AccessPoint.5.AssociatedDevice.1.RxPacketCount=203741</t>
  </si>
  <si>
    <t>iw wl0 station dump
root@prplOS:/# iw wl0 station dump
Station 34:19:4d:a4:b5:09 (on wl0)
        inactive time:  11000 ms
        rx bytes:       5398
        rx packets:     40
        tx bytes:       152
        tx packets:     20
        signal:         -35 [-34] dBm
        signal avg:     -35 [-33] dBm
        tx bitrate:     4899.0 MBit/s 160MHz
        rx bitrate:     4803.8 MBit/s 160MHz
root@prplOS:/# iw wl1 station dump
Station 38:06:e6:92:b0:4a (on wl1)
        inactive time:  2000 ms
        rx bytes:       3877089453
        rx packets:     2784434
        tx bytes:       3107018121
        tx packets:     340103
        tx failed:      3
        signal:         -35 [-34] dBm
        signal avg:     -35 [-34] dBm
        tx bitrate:     3843.1 MBit/s 160MHz
        rx bitrate:     4537.0 MBit/s 160MHz
root@prplOS:/# iw wl2 station dump
Station 34:19:4d:a4:b4:33 (on wl2)
        inactive time:  3000 ms
        rx bytes:       226211195
        rx packets:     203551
        tx bytes:       210402098
        tx packets:     90327
        tx failed:      1355
        signal:         -27 [-23] dBm
        signal avg:     -27 [-25] dBm
        tx bitrate:     309.7 MBit/s
        rx bitrate:     387.0 MBit/s</t>
  </si>
  <si>
    <t>RxUnicastPacketCount</t>
  </si>
  <si>
    <t>ubus-cli WiFi.AccessPoint.{i}.AssociatedDevice.{i}.RxUnicastPacketCount=187900</t>
  </si>
  <si>
    <t xml:space="preserve">
1. Connect WiFi station to GW SSID4, SSID6 and SSID8
2. Run Ping between Station
3. Verify RxUnicastPacketCount
root@prplOS:/# ubus-cli WiFi.AccessPoint.*.AssociatedDevice.*.RxUnicastPacketCount?
&gt; WiFi.AccessPoint.*.AssociatedDevice.*.RxUnicastPacketCount?
WiFi.AccessPoint.1.AssociatedDevice.1.RxUnicastPacketCount=0
WiFi.AccessPoint.3.AssociatedDevice.1.RxUnicastPacketCount=0
WiFi.AccessPoint.5.AssociatedDevice.1.RxUnicastPacketCount=0</t>
  </si>
  <si>
    <t>iw wl0 station dump 
"wl -i wl0 sta_info ${STA_MAC}
root@prplOS:/# wl -i wl0 sta_info 34:19:4d:a4:b5:09 | grep pkts
         tx total pkts: 121
         tx ucast pkts: 121
         tx mcast/bcast pkts: 0
         rx data pkts: 171
         rx ucast pkts: 114
         rx mcast/bcast pkts: 57
         tx data pkts retried: 0
         tx total pkts sent: 121
         tx pkts retries: 26
         tx pkts retry exhausted: 0
         rx total pkts retried: 19
         tx acked pkts: 121
root@prplOS:/# wl -i wl1 sta_info 38:06:E6:92:B0:4A | grep pkts
         tx total pkts: 340127
         tx ucast pkts: 340127
         tx mcast/bcast pkts: 0
         rx data pkts: 2784483
         rx ucast pkts: 2784324
         rx mcast/bcast pkts: 159
         tx data pkts retried: 0
         tx total pkts sent: 340124
         tx pkts retries: 19137
         tx pkts retry exhausted: 3
         rx total pkts retried: 23
         tx acked pkts: 340121
root@prplOS:/# wl -i wl2 sta_info 34:19:4d:a4:b4:33 | grep pkts
         tx total pkts: 90336
         tx ucast pkts: 90336
         tx mcast/bcast pkts: 0
         rx data pkts: 204439
         rx ucast pkts: 203698
         rx mcast/bcast pkts: 741
         tx data pkts retried: 0
         tx total pkts sent: 87921
         tx pkts retries: 19875
         tx pkts retry exhausted: 1355
         rx total pkts retried: 3405
         tx acked pkts: 86566</t>
  </si>
  <si>
    <t>API return "0"  while in wl command " rx ucast pkts" not equal to "0"</t>
  </si>
  <si>
    <t>SecurityModeEnabled</t>
  </si>
  <si>
    <t>ubus-cli WiFi.AccessPoint.{i}.AssociatedDevice.{i}.SecurityModeEnabled=WPA2-Personal</t>
  </si>
  <si>
    <t xml:space="preserve">1. Set GW security mode to WPA#-Personal
2. Connect WiFi Station 
3.  Verify  Station SecurityModeEnabled
WiFi.AccessPoint.1.AssociatedDevice.1.SecurityModeEnabled="WPA3-Personal"
WiFi.AccessPoint.3.AssociatedDevice.1.SecurityModeEnabled="WPA3-Personal"
WiFi.AccessPoint.5.AssociatedDevice.1.SecurityModeEnabled="WPA3-Personal"
</t>
  </si>
  <si>
    <t>root@prplOS:/# wl -i wl0 sta_info DE:B4:40:A6:40:D5
[VER 8] STA DE:B4:40:A6:40:D5:
         chanspec 36 (0xd024)
         aid:9
         rateset [ 6 9 12 18 24 36 48 54 ]
         idle 4 seconds
         in network 52153 seconds
         state: AUTHENTICATED ASSOCIATED AUTHORIZED
         connection: SECURED
         auth: WPA3-SAE-PSK
         crypto: AES_CCM
root@prplOS:/# wl -i wl1 sta_info 38:06:E6:92:B0:4A
[VER 8] STA 38:06:E6:92:B0:4A:
         chanspec 6g1/160 (0x680f)
         aid:9
         rateset [ 6 9 12 18 24 36 48 54 ]
         idle 1 seconds
         in network 54059 seconds
         state: AUTHENTICATED ASSOCIATED AUTHORIZED
         connection: SECURED
         auth: WPA3-SAE-PSK
         crypto: AES_CCM
root@prplOS:/# wl -i wl2 sta_info 34:19:4D:A4:B4:33
[VER 8] STA 34:19:4D:A4:B4:33:
         chanspec 1 (0x1001)
         aid:9
         rateset [ 1 2 5.5 6 9 11 12 18 24 36 48 54 ]
         idle 1 seconds
         in network 53774 seconds
         state: AUTHENTICATED ASSOCIATED AUTHORIZED
         connection: SECURED
         auth: WPA3-SAE-PSK
         crypto: AES_CCM</t>
  </si>
  <si>
    <t>SignalNoiseRatio</t>
  </si>
  <si>
    <t>ubus-cli WiFi.AccessPoint.{i}.AssociatedDevice.{i}.SignalNoiseRatio=53</t>
  </si>
  <si>
    <t>1. Connect WiFi Station to GW
2. Get the SignalNoiseRatio by ubus command and record the result for reference
root@prplOS:/# ubus-cli WiFi.AccessPoint.*.AssociatedDevice.*.SignalNoiseRatio?
&gt; WiFi.AccessPoint.*.AssociatedDevice.*.SignalNoiseRatio?
wl1: dhd_prot_ioctl: status ret value is -23 iov=mlo
wl2: dhd_prot_ioctl: status ret value is -23 iov=mlo
WiFi.AccessPoint.1.AssociatedDevice.1.SignalNoiseRatio=55
WiFi.AccessPoint.3.AssociatedDevice.1.SignalNoiseRatio=63
WiFi.AccessPoint.5.AssociatedDevice.1.SignalNoiseRatio=66
3. Use noise generator to generate the noise.
4. Get the SNR via ubus-command 
5GHz Channel 36 "set frequency in noise generator to 5175"
root@prplOS:/# ubus-cli WiFi.AccessPoint.1.AssociatedDevice.*.SignalNoiseRatio?
&gt; WiFi.AccessPoint.1.AssociatedDevice.*.SignalNoiseRatio?
WiFi.AccessPoint.1.AssociatedDevice.1.SignalNoiseRatio=45
6GHz Channel 1 "set frequency in noise generator to 5955"
root@prplOS:/# ubus-cli WiFi.AccessPoint.3.AssociatedDevice.*.SignalNoiseRatio?
&gt; WiFi.AccessPoint.3.AssociatedDevice.*.SignalNoiseRatio?
WiFi.AccessPoint.3.AssociatedDevice.1.SignalNoiseRatio=55
2.4GHz Channel 1 "set frequency in noise generator to 2415"
root@prplOS:/# ubus-cli WiFi.AccessPoint.5.AssociatedDevice.*.SignalNoiseRatio?
&gt; WiFi.AccessPoint.5.AssociatedDevice.*.SignalNoiseRatio?
WiFi.AccessPoint.5.AssociatedDevice.1.SignalNoiseRatio=57</t>
  </si>
  <si>
    <r>
      <t xml:space="preserve">
2026-02-24_EIT: verified and found fix in version 4.0.3
</t>
    </r>
    <r>
      <rPr>
        <strike/>
        <sz val="9"/>
        <color rgb="FF000000"/>
        <rFont val="Calibri"/>
        <scheme val="minor"/>
      </rPr>
      <t>API return "0"</t>
    </r>
  </si>
  <si>
    <t>SignalStrength</t>
  </si>
  <si>
    <t>ubus-cli WiFi.AccessPoint.{i}.AssociatedDevice.{i}.SignalStrength=-37</t>
  </si>
  <si>
    <t>##Connect WiFi Station and check Station SignalStrength
WiFi.AccessPoint.1.AssociatedDevice.1.SignalStrength=-48
WiFi.AccessPoint.3.AssociatedDevice.1.SignalStrength=-57
WiFi.AccessPoint.5.AssociatedDevice.1.SignalStrength=-48</t>
  </si>
  <si>
    <t xml:space="preserve">
wl -i wl0 sta_info ${STA_MAC}
per antenna rssi of last rx data frame: -38 0 0 0
per antenna average rssi of rx data frames: -39 0 0 0
smoothed rssi: -39</t>
  </si>
  <si>
    <t>SignalStrengthByChain</t>
  </si>
  <si>
    <t>ubus-cli WiFi.AccessPoint.{i}.AssociatedDevice.{i}.SignalStrengthByChain=-44.0,-37.0,-44.0,-48.0</t>
  </si>
  <si>
    <t xml:space="preserve">1. Connect 4x4 WiFi Station to GW 
2.  Get SignalStrengthByChain via ubus-command
root@prplOS:/# ubus-cli WiFi.AccessPoint.*.AssociatedDevice.*.SignalStrengthByChain?
&gt; WiFi.AccessPoint.*.AssociatedDevice.*.SignalStrengthByChain?
WiFi.AccessPoint.1.AssociatedDevice.1.SignalStrengthByChain="-42.0,-39.0,-37.0,-41.0"
WiFi.AccessPoint.3.AssociatedDevice.1.SignalStrengthByChain="-36.0,-35.0,-34.0,-33.0"
WiFi.AccessPoint.5.AssociatedDevice.1.SignalStrengthByChain="-41.0,-27.0,-27.0,-27.0"
</t>
  </si>
  <si>
    <t>wl -i wl0 sta_info ${STA_MAC}
root@prplOS:/# wl -i wl0 sta_info 34:19:4D:A4:B5:09 | grep antenna
         per antenna rssi of last rx data frame: -42 -39 -36 -41
         per antenna average rssi of rx data frames: -43 -39 -36 -41
         per antenna noise floor: -94 -94 -93 -94
root@prplOS:/# wl -i wl1 sta_info 38:06:E6:92:B0:4A | grep antenna
         per antenna rssi of last rx data frame: -37 -36 -34 -34
         per antenna average rssi of rx data frames: -36 -35 -34 -34
         per antenna noise floor: -96 -97 -96 -96
root@prplOS:/# wl -i wl2 sta_info 34:19:4D:A4:B4:33 | grep antenna
         per antenna rssi of last rx data frame: -41 -27 -27 -27
         per antenna average rssi of rx data frames: -41 -27 -27 -27
         per antenna noise floor: -95 -87 -90 -89</t>
  </si>
  <si>
    <r>
      <t xml:space="preserve">2026-02-24_EIT: verified and found fix in version 4.0.3
</t>
    </r>
    <r>
      <rPr>
        <strike/>
        <sz val="9"/>
        <color rgb="FF000000"/>
        <rFont val="Calibri"/>
        <scheme val="minor"/>
      </rPr>
      <t>station support 4x4 but the API only show one RSSI in SignalStrengthByChain</t>
    </r>
  </si>
  <si>
    <t>SupportedHe160MCS</t>
  </si>
  <si>
    <t>ubus-cli WiFi.AccessPoint.{i}.AssociatedDevice.{i}.SupportedHe160MCS=</t>
  </si>
  <si>
    <t xml:space="preserve">
</t>
  </si>
  <si>
    <t>wld_assocDev_copyAssocDevInfoFromIEs, IE is from hostapd</t>
  </si>
  <si>
    <t>2026-03-11_EIT
As per RD those data model didn't support by pWHM, pWHM only define 
"RxSupportedHe160MCS"
"TxSupportedHe160MCS"
"RxSupportedHeMCS"
"TxSupportedHeMCS"
--------------------------------------------------------------------
Does SupportedHe160MCS equal to rx/txSupportedHe160MCS as shown below
root@prplOS:/# ubus-cli WiFi.AccessPoint.*.AssociatedDevice.*.? | grep Supported
He160MCS.
WiFi.AccessPoint.1.AssociatedDevice.1.RxSupportedHe160MCS="11,11,11,11"
WiFi.AccessPoint.1.AssociatedDevice.1.TxSupportedHe160MCS="11,11,11,11"
WiFi.AccessPoint.3.AssociatedDevice.1.RxSupportedHe160MCS="11,11,11,11"
WiFi.AccessPoint.3.AssociatedDevice.1.TxSupportedHe160MCS="11,11,11,11"
WiFi.AccessPoint.5.AssociatedDevice.1.RxSupportedHe160MCS=""
WiFi.AccessPoint.5.AssociatedDevice.1.TxSupportedHe160MCS=""
2.4G not supported 160MHz WiFi.Radio.3.SupportedOperatingChannelBandwidth="Auto,20MHz,40MHz"</t>
  </si>
  <si>
    <t>SupportedHeMCS</t>
  </si>
  <si>
    <t>ubus-cli WiFi.AccessPoint.{i}.AssociatedDevice.{i}.SupportedHeMCS=</t>
  </si>
  <si>
    <t>SupportedMCS</t>
  </si>
  <si>
    <t>ubus-cli WiFi.AccessPoint.{i}.AssociatedDevice.{i}.SupportedMCS=0,1,2,3,4,5,6,7,8,9,10,11,12,13,14,15</t>
  </si>
  <si>
    <t xml:space="preserve">1. Connect WiFi Station to GW
2. Run Iperf3 between GW and Station
3. get Station SupportedMCS
WiFi.AccessPoint.1.AssociatedDevice.1.SupportedMCS=""
WiFi.AccessPoint.3.AssociatedDevice.1.SupportedMCS=""
WiFi.AccessPoint.5.AssociatedDevice.1.SupportedMCS=""
</t>
  </si>
  <si>
    <t>wl -i wl0 sta_info ${STA_MAC}
root@prplOS:/# wl -i wl0 sta_info e6:60:17:eb:a9:86 | grep eht
eht mcs 11 Nss 2 Tx Exp 2 bw160 txbf ldpc 2xLTF GI 1.6us auto
eht mcs 13 Nss 2 Tx Exp 0 bw160 ldpc 4xLTF GI 3.2us auto
root@prplOS:/# wl -i wl1 sta_info 38:06:e6:92:b0:4a | grep eht
eht mcs 9 Nss 4 Tx Exp 0 bw160 ldpc 2xLTF GI 1.6us auto
eht mcs 9 Nss 4 Tx Exp 0 bw160 ldpc 2xLTF GI 0.8us auto
root@prplOS:/# wl -i wl2 sta_info 34:19:4d:a4:b4:33 | grep eht
eht mcs 9 Nss 4 Tx Exp 0 bw20 ldpc 2xLTF GI 0.8us auto
eht mcs 9 Nss 4 Tx Exp 0 bw20 ldpc 2xLTF GI 0.8us auto</t>
  </si>
  <si>
    <t>fail</t>
  </si>
  <si>
    <r>
      <rPr>
        <sz val="9"/>
        <color rgb="FFFF0000"/>
        <rFont val="Calibri"/>
        <scheme val="minor"/>
      </rPr>
      <t xml:space="preserve">[0325] pwhm known issue
[0324] Tim: pWHM didn't set pWirelessDevIE-&gt;supportedMCS in swl_80211_parseInfoElementsBuffer
</t>
    </r>
    <r>
      <rPr>
        <sz val="9"/>
        <color rgb="FF000000"/>
        <rFont val="Calibri"/>
        <scheme val="minor"/>
      </rPr>
      <t>[0324] BRCM: In 0004 patch, we disable assoc_ind/reassoc_ind.
ARC-RD: swl_80211_parseInfoElementsBuffer doesnt support MCS set,so SupportedMCS couldnt show this
---
Supported MCS return empty - ARC test results</t>
    </r>
  </si>
  <si>
    <t>SupportedVhtMCS</t>
  </si>
  <si>
    <t>ubus-cli WiFi.AccessPoint.{i}.AssociatedDevice.{i}.SupportedVhtMCS=9,9</t>
  </si>
  <si>
    <t>it is the same as RxSupportedVhtMCS and TxSupportedVhtMCS as shown below?
root@prplOS:/# ubus-cli WiFi.AccessPoint.*.AssociatedDevice.*.? | grep Supported
VhtMCS
WiFi.AccessPoint.1.AssociatedDevice.1.RxSupportedVhtMCS="9,9,9,9"
WiFi.AccessPoint.1.AssociatedDevice.1.TxSupportedVhtMCS="9,9,9,9"
WiFi.AccessPoint.3.AssociatedDevice.1.RxSupportedVhtMCS=""
WiFi.AccessPoint.3.AssociatedDevice.1.TxSupportedVhtMCS=""
WiFi.AccessPoint.5.AssociatedDevice.1.RxSupportedVhtMCS=""
WiFi.AccessPoint.5.AssociatedDevice.1.TxSupportedVhtMCS=""</t>
  </si>
  <si>
    <t xml:space="preserve">root@prplOS:/# wl -i wl0 sta_info 34:19:4d:a4:b5:09
[VER 8] STA 34:19:4D:A4:B5:09:
         VHT caps 0xfb: LDPC SGI80 STBC-Tx STBC-Rx SU-BFR SU-BFE MU-BFR
MCS SET : [ 0 1 2 3 4 5 6 7 8 9 10 11 12 13 14 15 16 17 18 19 20 21 22 23 24 25 26 27 28 29 30 31 ]
VHT SET : 0x1 1x1 2x1 3x1 4x1 5x1 6x1 7x1 8x1 9x1 10x1 11x1
        : 0x2 1x2 2x2 3x2 4x2 5x2 6x2 7x2 8x2 9x2 10x2 11x2
        : 0x3 1x3 2x3 3x3 4x3 5x3 6x3 7x3 8x3 9x3 10x3 11x3
        : 0x4 1x4 2x4 3x4 4x4 5x4 6x4 7x4 8x4 9x4 10x4 11x4
</t>
  </si>
  <si>
    <t>6GHz and 2.4GHz does not support 11ac "VHT"</t>
  </si>
  <si>
    <t>Tx_Retransmissions</t>
  </si>
  <si>
    <t>ubus-cli WiFi.AccessPoint.{i}.AssociatedDevice.{i}.Tx_Retransmissions=5893</t>
  </si>
  <si>
    <t xml:space="preserve">
1. Connect WiFi station to GW SSID4, SSID6 and SSID8
2. Run Ping between Station
3. Verify Tx_Retransmissions
root@prplOS:/# ubus-cli WiFi.AccessPoint.*.AssociatedDevice.*.Tx_Retransmissions?
&gt; WiFi.AccessPoint.*.AssociatedDevice.*.Tx_Retransmissions?
WiFi.AccessPoint.1.AssociatedDevice.1.Tx_Retransmissions=0
WiFi.AccessPoint.1.AssociatedDevice.2.Tx_Retransmissions=0
WiFi.AccessPoint.3.AssociatedDevice.1.Tx_Retransmissions=0
WiFi.AccessPoint.5.AssociatedDevice.1.Tx_Retransmissions=0
</t>
  </si>
  <si>
    <t xml:space="preserve">
root@prplOS:/# wl -i wl0 sta_info e6:60:17:eb:a9:86 | grep pkts
          tx pkts retries: 393
         tx pkts retry exhausted: 43
root@prplOS:/# wl -i wl1 sta_info 38:06:e6:92:b0:4a | grep pkts
         tx pkts retries: 93
         tx pkts retry exhausted: 1
root@prplOS:/# wl -i wl2 sta_info 34:19:4d:a4:b4:33 | grep pkts
         tx pkts retries: 196
         tx pkts retry exhausted: 0
</t>
  </si>
  <si>
    <r>
      <rPr>
        <sz val="9"/>
        <color rgb="FF00B050"/>
        <rFont val="Calibri"/>
        <scheme val="minor"/>
      </rPr>
      <t xml:space="preserve">[0324] Tim: Which Stats is correct,
sta-&gt;tx_pkts_retries or 
sta-&gt;tx_pkts_retried?
Now mod_whm_brcm get value from sta-&gt;tx_pkts_retried
</t>
    </r>
    <r>
      <rPr>
        <sz val="9"/>
        <color rgb="FF000000"/>
        <rFont val="Calibri"/>
        <scheme val="minor"/>
      </rPr>
      <t xml:space="preserve">
root@prplOS:~# wl -i wl2 sta_info 34:19:4D:A4:B4:33 | grep -E "tx pkts|retried"
         tx data pkts retried: 0
         tx pkts retries: 31762296
         tx pkts retry exhausted: 335823
         rx total pkts retried: 1253
root@prplOS:~# wl -i wl1 sta_info 38:06:E6:92:B0:4A  | grep -E "tx pkts|retried"
         tx data pkts retried: 0
         tx pkts retries: 237545
         tx pkts retry exhausted: 0
         rx total pkts retried: 20
root@prplOS:~# ubus-cli WiFi.AccessPoint.*.AssociatedDevice.*.Tx_Retransmissions?
&gt; WiFi.AccessPoint.*.AssociatedDevice.*.Tx_Retransmissions?
WiFi.AccessPoint.1.AssociatedDevice.1.Tx_Retransmissions=0
WiFi.AccessPoint.3.AssociatedDevice.1.Tx_Retransmissions=0
WiFi.AccessPoint.5.AssociatedDevice.1.Tx_Retransmissions=0
  tx pkts retries: Number of packets that had to be retransmitted at least once because the ACK was not received "main retransmission counter"
API return "0" while in wl Station info the counter increase</t>
    </r>
  </si>
  <si>
    <t>Tx_RetransmissionsFailed</t>
  </si>
  <si>
    <t>ubus-cli WiFi.AccessPoint.{i}.AssociatedDevice.{i}.Tx_RetransmissionsFailed=0</t>
  </si>
  <si>
    <t>1. Connect WiFi station to GW SSID4, SSID6 and SSID8
2. Run IPERF between Stations
3. Verify Tx_RetransmissionsFailed
WiFi.AccessPoint.1.AssociatedDevice.1.Tx_RetransmissionsFailed=0
WiFi.AccessPoint.3.AssociatedDevice.1.Tx_RetransmissionsFailed=0
WiFi.AccessPoint.5.AssociatedDevice.1.Tx_RetransmissionsFailed=0</t>
  </si>
  <si>
    <t xml:space="preserve">root@prplOS:/# wl -i wl0 sta_info DE:B4:40:A6:40:D5 | grep tx
         OMI 0x1201: 20Mhz rx=2ss tx=2ss ER_SU_DISABLE
         tx total pkts: 86710
         tx total bytes: 168156952
         tx ucast pkts: 86710
         tx ucast bytes: 168156952
         tx mcast/bcast pkts: 0
         tx mcast/bcast bytes: 0
         tx failures: 392
         rate of last tx pkt: 325000 kbps - 216660 kbps
         median tx rate: 0 kbps
         tx data pkts retried: 0
         tx total pkts sent: 86291
         tx pkts retries: 5517
         tx pkts retry exhausted: 392
         tx acked pkts: 85899
root@prplOS:/# wl -i wl1 sta_info 38:06:E6:92:B0:4A | grep tx
         OMI 0x32e3: 160Mhz rx=4ss tx=4ss ER_SU_DISABLE UL_MU_DISABLE
         tx total pkts: 53930
         tx total bytes: 5510660
         tx ucast pkts: 53930
         tx ucast bytes: 5510660
         tx mcast/bcast pkts: 0
         tx mcast/bcast bytes: 0
         tx failures: 18
         rate of last tx pkt: 4083330 kbps - 2450000 kbps
         median tx rate: 0 kbps
         tx data pkts retried: 0
         tx total pkts sent: 53912
         tx pkts retries: 7449
         tx pkts retry exhausted: 18
         tx acked pkts: 53894
root@prplOS:/# wl -i wl2 sta_info 34:19:4D:A4:B4:33 | grep tx
         OMI 0x3223: 20Mhz rx=4ss tx=4ss ER_SU_DISABLE UL_MU_DISABLE
         tx total pkts: 65798
         tx total bytes: 10671982
         tx ucast pkts: 65798
         tx ucast bytes: 10671982
         tx mcast/bcast pkts: 0
         tx mcast/bcast bytes: 0
         tx failures: 549
         rate of last tx pkt: 464550 kbps - 292500 kbps
         median tx rate: 0 kbps
         tx data pkts retried: 0
         tx total pkts sent: 64817
         tx pkts retries: 24069
         tx pkts retry exhausted: 549
         tx acked pkts: 64268
tx pkts retries:      → Tx_Retransmissions
tx pkts retry exhausted:   → Tx_RetransmissionsFailed
tx failures:          → Same as above
</t>
  </si>
  <si>
    <t>ARC: wld_ap_nl80211_copyStationInfoToAssocDev  doesnt parse correct txFaile
---
API return "0" while in Station info the counter increase</t>
  </si>
  <si>
    <t>TxBytes</t>
  </si>
  <si>
    <t>ubus-cli WiFi.AccessPoint.{i}.AssociatedDevice.{i}.TxBytes=1210933346</t>
  </si>
  <si>
    <t>1. Connect WiFi station to GW SSID4, SSID6 and SSID8
2. Run IPERF between Stations
3. Verify TxBytes	
WiFi.AccessPoint.1.AssociatedDevice.1.TxBytes=640514
WiFi.AccessPoint.3.AssociatedDevice.1.TxBytes=11728
WiFi.AccessPoint.5.AssociatedDevice.1.TxBytes=12386</t>
  </si>
  <si>
    <t xml:space="preserve">wl -i wl0 sta_info ${STA_MAC}
tx total bytes: 12792
tx ucast bytes: 12792
tx mcast/bcast bytes: 0
</t>
  </si>
  <si>
    <t>TxErrors</t>
  </si>
  <si>
    <t>ubus-cli WiFi.AccessPoint.{i}.AssociatedDevice.{i}.TxErrors=0</t>
  </si>
  <si>
    <t>1. Connect WiFi station to GW SSID4, SSID6 and SSID8
2. Run IPERF between Stations
3. Verify TxErrors
WiFi.AccessPoint.1.AssociatedDevice.1.TxErrors=2
WiFi.AccessPoint.3.AssociatedDevice.1.TxErrors=0
WiFi.AccessPoint.5.AssociatedDevice.1.TxErrors=5</t>
  </si>
  <si>
    <t xml:space="preserve">
root@prplOS:~# wl -i wl0 sta_info 34:19:4d:a4:b5:09 | grep "tx failures"; wl -i wl1 sta_info 38:06:e6:92:b0:4a | grep "tx failures"; wl -i wl2 sta_info 34:19:4D:A4:B4:3
3 | grep "tx failures"
         tx failures: 0
         tx failures: 0
         tx failures: 3
root@prplOS:~# ubus-cli WiFi.AccessPoint.*.AssociatedDevice.*.TxErrors?
&gt; WiFi.AccessPoint.*.AssociatedDevice.*.TxErrors?
WiFi.AccessPoint.1.AssociatedDevice.1.TxErrors=0
WiFi.AccessPoint.3.AssociatedDevice.1.TxErrors=0
WiFi.AccessPoint.5.AssociatedDevice.1.TxErrors=3
-----------------------------------------------------------------------------------------------
These counters increment only when Wi-Fi frames experience transmission error.
In our test environment, no Wi-Fi station capable of generating manipulated 802.11e error frame, and Scapy could not be used to generate such frames due to WiFi station limitations.
</t>
  </si>
  <si>
    <t>TxMulticastPacketCount</t>
  </si>
  <si>
    <t>ubus-cli WiFi.AccessPoint.{i}.AssociatedDevice.{i}.TxMulticastPacketCount=0</t>
  </si>
  <si>
    <t xml:space="preserve">1. Connect WiFi Station to GW
2. Use IPerf to send Multicast packet between Station
Server = iperf -s -u -B 239.1.2.3%br0 -i 1
Joiner = iperf -c 239.1.2.3 -u -t 10 -b 20M -i 1 -t 100
3. Check TxMulticastPacketCount
root@prplOS:/# ubus-cli WiFi.AccessPoint.*.AssociatedDevice.*.? | grep TxMultica
stPacketCount
WiFi.AccessPoint.1.AssociatedDevice.1.TxMulticastPacketCount=0
WiFi.AccessPoint.3.AssociatedDevice.1.TxMulticastPacketCount=0
WiFi.AccessPoint.5.AssociatedDevice.1.TxMulticastPacketCount=0
</t>
  </si>
  <si>
    <t>wl -i wl0 sta_info ${STA_MAC}
root@prplOS:/# wl -i wl0 sta_info e6:60:17:eb:a9:86 | grep mcast
         tx mcast/bcast pkts: 0
         tx mcast/bcast bytes: 0
         rx mcast/bcast pkts: 8057
         rx mcast/bcast bytes: 1929196
root@prplOS:/# wl -i wl2 sta_info 34:19:4d:a4:b4:33 | grep mcast
         tx mcast/bcast pkts: 0
         tx mcast/bcast bytes: 0
         rx mcast/bcast pkts: 2568
         rx mcast/bcast bytes: 634016
root@prplOS:/# wl -i wl1 sta_info 38:06:e6:92:b0:4a  | grep mcast
         tx mcast/bcast pkts: 0
         tx mcast/bcast bytes: 0
         rx mcast/bcast pkts: 10218
         rx mcast/bcast bytes: 15456762</t>
  </si>
  <si>
    <t xml:space="preserve">both wl and API return "0" </t>
  </si>
  <si>
    <t>TxPacketCount</t>
  </si>
  <si>
    <t>ubus-cli WiFi.AccessPoint.{i}.AssociatedDevice.{i}.TxPacketCount=871233</t>
  </si>
  <si>
    <t>##Connect WiFi Station and send traffic then check  TxPacketCount
WiFi.AccessPoint.1.AssociatedDevice.1.TxPacketCount=909
WiFi.AccessPoint.3.AssociatedDevice.1.TxPacketCount=69
WiFi.AccessPoint.5.AssociatedDevice.1.TxPacketCount=83</t>
  </si>
  <si>
    <t>wl -i wl0 sta_info ${STA_MAC}
TxPacketCount	tx total pkts	90
TxUnicastPacketCount	tx ucast pkts	90
TxMulticastPacketCount	tx mcast/bcast pkts	0
TxBroadcastPacketCount	Included inside tx mcast/bcast pkts	0</t>
  </si>
  <si>
    <t>TxUnicastPacketCount</t>
  </si>
  <si>
    <t>ubus-cli WiFi.AccessPoint.{i}.AssociatedDevice.{i}.TxUnicastPacketCount=676391</t>
  </si>
  <si>
    <t>##Connect WiFi Station and send traffic then check  TxUnicastPacketCount WiFi.AccessPoint.1.AssociatedDevice.1.TxUnicastPacketCount=0
WiFi.AccessPoint.3.AssociatedDevice.1.TxUnicastPacketCount=0
WiFi.AccessPoint.5.AssociatedDevice.1.TxUnicastPacketCount=0</t>
  </si>
  <si>
    <t>wl -i wl0 sta_info ${STA_MAC}
TxUnicastPacketCount	tx ucast pkts	90</t>
  </si>
  <si>
    <t>Stats always return 0
1. Connect WiFi Station to GW 2.4G, 5G and 6G interface
2. run Ping from GW to station.
3. Execute below command to populate statistis
##Execute below command before getting AssociatedDevice statistic
ubus call WiFi.AccessPoint.1 getStationStats {}
ubus call WiFi.AccessPoint.3 getStationStats {}
ubus call WiFi.AccessPoint.5 getStationStats {}
4. Get TxUnicastPacketCount
root@prplOS:~# ubus-cli WiFi.AccessPoint.*.AssociatedDevice.*.TxUnicastPacketCount?
&gt; WiFi.AccessPoint.*.AssociatedDevice.*.TxUnicastPacketCount?
WiFi.AccessPoint.1.AssociatedDevice.1.TxUnicastPacketCount=0
WiFi.AccessPoint.3.AssociatedDevice.1.TxUnicastPacketCount=0
WiFi.AccessPoint.5.AssociatedDevice.1.TxUnicastPacketCount=0</t>
  </si>
  <si>
    <t>UNIIBandsCapabilities</t>
  </si>
  <si>
    <t>ubus-cli WiFi.AccessPoint.{i}.AssociatedDevice.{i}.UNIIBandsCapabilities=U-NII-1,U-NII-2A,U-NII-2C,U-NII-3</t>
  </si>
  <si>
    <t>##Connect WiFi Station and check Station UNIIBandsCapabilities
root@prplOS:/# ubus-cli WiFi.AccessPoint.*.AssociatedDevice.*.? | grep UNIIBands
Capabilities
WiFi.AccessPoint.1.AssociatedDevice.1.UNIIBandsCapabilities="U-NII-1,U-NII-2A,U-NII-2C,U-NII-3,U-NII-4"
WiFi.AccessPoint.3.AssociatedDevice.1.UNIIBandsCapabilities="U-NII-5,U-NII-6,U-NII-7,U-NII-8"
WiFi.AccessPoint.5.AssociatedDevice.1.UNIIBandsCapabilities="U-NII-1,U-NII-2A,U-NII-2C,U-NII-3,U-NII-4,U-NII-5,U-NII-6,U-NII-7,U-NII-8"</t>
  </si>
  <si>
    <t>Capability string	---  Meaning (client-supported U-NII bands)
5G: U-NII-1,U-NII-2A,U-NII-2C,U-NII-3,U-NII-4	--  Client supports all 5 GHz UNII bands (UNII-1, 2A, 2C, 3, 4)
6G: U-NII-5,U-NII-6,U-NII-7,U-NII-8	--  Client supports all 6 GHz UNII bands (U-NII-5/6/7/8 → Wi-Fi 6E/7)
2.4G: U-NII-1,...,U-NII-8 (all of them)   --	Client supports 5 GHz + 6 GHz (multi-band capable)</t>
  </si>
  <si>
    <t>UplinkBandwidth</t>
  </si>
  <si>
    <t>ubus-cli WiFi.AccessPoint.{i}.AssociatedDevice.{i}.UplinkBandwidth=0</t>
  </si>
  <si>
    <t>##Connect WiFi Station and check Station UplinkBandwidth
WiFi.AccessPoint.1.AssociatedDevice.1.UplinkBandwidth=20
WiFi.AccessPoint.3.AssociatedDevice.1.UplinkBandwidth=20
WiFi.AccessPoint.5.AssociatedDevice.1.UplinkBandwidth=20</t>
  </si>
  <si>
    <t>wl -i wl0 sta_info ${STA_MAC}
link bandwidth = 20 MHZ
tx nrate
eht mcs 7 Nss 2 Tx Exp 2 bw20 ldpc 2xLTF GI 1.6us auto
rx nrate
eht mcs 4 Nss 1 Tx Exp 0 bw20 ldpc 2xLTF GI 0.8us auto
tx nrate = last packet transmitted to the STA (downlink)
rx nrate = last packet received from the STA (uplink)
From the rx nrate line:
rx nrate
eht mcs 4 Nss 1 Tx Exp 0 bw20 ldpc 2xLTF GI 0.8us auto
bw20 → UplinkBandwidth = 20 MHz
NSS = 1 → 1 spatial stream for uplink</t>
  </si>
  <si>
    <t>UplinkMCS</t>
  </si>
  <si>
    <t>ubus-cli WiFi.AccessPoint.{i}.AssociatedDevice.{i}.UplinkMCS=0</t>
  </si>
  <si>
    <t>##Connect WiFi Station and check Station UplinkMCS
WiFi.AccessPoint.1.AssociatedDevice.1.UplinkMCS=0
WiFi.AccessPoint.3.AssociatedDevice.1.UplinkMCS=0
WiFi.AccessPoint.5.AssociatedDevice.1.UplinkMCS=0</t>
  </si>
  <si>
    <t>wl -i wl0 sta_info ${STA_MAC}
rx nrate
eht mcs 4 Nss 1 Tx Exp 0 bw20 ldpc 2xLTF GI 0.8us auto
rx nrate = last packet received from the STA (uplink)
eht mcs 4 → UplinkMCS = 4
Nss 1 → 1 spatial stream used for uplink
bw20 → uplink channel width 20 MHz</t>
  </si>
  <si>
    <t>UplinkShortGuard</t>
  </si>
  <si>
    <t>ubus-cli WiFi.AccessPoint.{i}.AssociatedDevice.{i}.UplinkShortGuard=0</t>
  </si>
  <si>
    <t>##Connect WiFi Station and check Station UplinkShortGuard	
WiFi.AccessPoint.1.AssociatedDevice.1.UplinkShortGuard=0
WiFi.AccessPoint.3.AssociatedDevice.1.UplinkShortGuard=0
WiFi.AccessPoint.5.AssociatedDevice.1.UplinkShortGuard=0</t>
  </si>
  <si>
    <t>wl -i wl0 sta_info ${STA_MAC}
rx nrate
eht mcs 4 Nss 1 Tx Exp 0 bw20 ldpc 2xLTF GI 0.8us auto
rx nrate = last packet received from the STA (uplink)
GI 0.8us → short guard interval
So UplinkShortGuard = true / yes</t>
  </si>
  <si>
    <t>pStationInfo-&gt;rxRate</t>
  </si>
  <si>
    <t>2026-03-03_EIT: verified and found fix in version 4.0.3
root@prplOS:~# ubus-cli WiFi.AccessPoint.*.AssociatedDevice.*.UplinkShortGuard?
&gt; WiFi.AccessPoint.*.AssociatedDevice.*.UplinkShortGuard?
WiFi.AccessPoint.1.AssociatedDevice.1.UplinkShortGuard=1
WiFi.AccessPoint.3.AssociatedDevice.1.UplinkShortGuard=1
WiFi.AccessPoint.5.AssociatedDevice.1.UplinkShortGuard=1
BCM-403: pStationInfo-&gt;rxRate
API result always "0"</t>
  </si>
  <si>
    <t>VendorOUI</t>
  </si>
  <si>
    <t>ubus-cli WiFi.AccessPoint.{i}.AssociatedDevice.{i}.VendorOUI=00:50:F2</t>
  </si>
  <si>
    <t xml:space="preserve">##Connect WiFi Station and check Station and check VendorOUI
WiFi.AccessPoint.1.AssociatedDevice.1.VendorOUI="00:90:4C,00:10:18,00:50:F2"
WiFi.AccessPoint.3.AssociatedDevice.1.VendorOUI="00:10:18,00:50:F2"
WiFi.AccessPoint.5.AssociatedDevice.1.VendorOUI="00:90:4C,00:10:18,00:50:F2"
</t>
  </si>
  <si>
    <t xml:space="preserve">wl -i wl0 sta_info ${STA_MAC}
VENDOR OUI VALUE[0] 00:90:4C 
VENDOR OUI VALUE[1] 00:10:18 
VENDOR OUI VALUE[2] 00:50:F2 
</t>
  </si>
  <si>
    <t>2026-03-17_EIT: verified and found Pass version 4.0.3v1.4
1. Execute below command
ubus call WiFi.AccessPoint.1 getStationStats {}
ubus call WiFi.AccessPoint.3 getStationStats {}
ubus call WiFi.AccessPoint.5 getStationStats {}
2. Check associated Station
root@prplOS:~# ubus-cli WiFi.AccessPoint.*.AssociatedDevice.*.? | grep -E "Active|MAC"
WiFi.AccessPoint.1.AssociatedDevice.1.Active=1
WiFi.AccessPoint.1.AssociatedDevice.1.ActiveNumberOfAffiliatedSta=0
WiFi.AccessPoint.1.AssociatedDevice.1.MACAddress="34:19:4D:A4:B5:09"
WiFi.AccessPoint.3.AssociatedDevice.1.Active=1
WiFi.AccessPoint.3.AssociatedDevice.1.ActiveNumberOfAffiliatedSta=1
WiFi.AccessPoint.3.AssociatedDevice.1.MACAddress="38:06:E6:92:B0:4A"
WiFi.AccessPoint.3.AssociatedDevice.1.AffiliatedSta.1.Active=1
WiFi.AccessPoint.3.AssociatedDevice.1.AffiliatedSta.1.MACAddress="38:06:E6:92:B0:4A"
WiFi.AccessPoint.5.AssociatedDevice.1.Active=1
WiFi.AccessPoint.5.AssociatedDevice.1.ActiveNumberOfAffiliatedSta=0
WiFi.AccessPoint.5.AssociatedDevice.1.MACAddress="34:19:4D:A4:B4:33"
3. Verify associated Station OUI
root@prplOS:~# ubus-cli WiFi.AccessPoint.*.AssociatedDevice.*.VendorOUI?
&gt; WiFi.AccessPoint.*.AssociatedDevice.*.VendorOUI?
WiFi.AccessPoint.1.AssociatedDevice.1.VendorOUI="00:90:4C,00:10:18,00:50:F2"
WiFi.AccessPoint.3.AssociatedDevice.1.VendorOUI="00:10:18,00:50:F2,00:90:4C"
WiFi.AccessPoint.5.AssociatedDevice.1.VendorOUI="00:90:4C,00:10:18,00:50:F2"</t>
  </si>
  <si>
    <t>VhtCapabilities</t>
  </si>
  <si>
    <t>ubus-cli WiFi.AccessPoint.{i}.AssociatedDevice.{i}.VhtCapabilities=SGI80,SGI160,SU-BFE,MU-BFE</t>
  </si>
  <si>
    <t xml:space="preserve">root@prplOS:/# ubus-cli WiFi.AccessPoint.*.AssociatedDevice.*.? | grep VhtCapabilities
WiFi.AccessPoint.1.AssociatedDevice.1.VhtCapabilities="SGI80,SGI160,SU-BFR,SU-BFE,MU-BFR,MU-BFE"
</t>
  </si>
  <si>
    <r>
      <rPr>
        <sz val="9"/>
        <color rgb="FF000000"/>
        <rFont val="Calibri"/>
        <scheme val="minor"/>
      </rPr>
      <t xml:space="preserve">  
</t>
    </r>
    <r>
      <rPr>
        <sz val="9"/>
        <color rgb="FFFF0000"/>
        <rFont val="Calibri"/>
        <scheme val="minor"/>
      </rPr>
      <t xml:space="preserve">Note: VHT is for 5G only
</t>
    </r>
    <r>
      <rPr>
        <sz val="9"/>
        <color rgb="FF000000"/>
        <rFont val="Calibri"/>
        <scheme val="minor"/>
      </rPr>
      <t xml:space="preserve">
2026-03-17_EIT: verified and found fix in version 4.0.3v1.4
1. Execute below command
ubus call WiFi.AccessPoint.1 getStationStats {}
2. Check Associated Station
root@prplOS:~# ubus-cli WiFi.AccessPoint.1.AssociatedDevice.*.? | grep -E "Active|MA
C"
WiFi.AccessPoint.1.AssociatedDevice.1.Active=1
WiFi.AccessPoint.1.AssociatedDevice.1.ActiveNumberOfAffiliatedSta=0
WiFi.AccessPoint.1.AssociatedDevice.1.MACAddress="34:19:4D:A4:B5:09"
3. Verify Associated Station VhtCapabilities
root@prplOS:~# ubus-cli WiFi.AccessPoint.1.AssociatedDevice.*.? | grep VhtCapabiliti
es
WiFi.AccessPoint.1.AssociatedDevice.1.VhtCapabilities="SGI80,SU-BFR,SU-BFE,MU-BFR,MU-BFE"
WiFi.AccessPoint.1.AssociatedDevice.1.ProbeReqCaps.VhtCapabilities=""
--------------------------------------------
SGI = short guard interval (more speed)
80/160 = channel width
SU-BF = single-user beamforming (one client)
MU-BF = multi-user beamforming / MU-MIMO (multiple clients)
This capability set indicates a very capable 802.11ac Wave 2 client, supporting 160 MHz, SGI, and both SU/MU beamforming.</t>
    </r>
  </si>
  <si>
    <t>APBridgeDisable</t>
  </si>
  <si>
    <t>ubus-cli WiFi.AccessPoint.{i}.APBridgeDisable=0</t>
  </si>
  <si>
    <t>\\Connect WiFi Station to GW
\\Set APBridgeDisable to 1
root@prplOS:/# ubus-cli WiFi.AccessPoint.1.APBridgeDisable=1
&gt; WiFi.AccessPoint.1.APBridgeDisable=1
WiFi.AccessPoint.1.
WiFi.AccessPoint.1.APBridgeDisable=1
root@prplOS:/# ubus-cli WiFi.AccessPoint.3.APBridgeDisable=1
&gt; WiFi.AccessPoint.3.APBridgeDisable=1
WiFi.AccessPoint.3.
WiFi.AccessPoint.3.APBridgeDisable=1
root@prplOS:/# ubus-cli WiFi.AccessPoint.5.APBridgeDisable=1
&gt; WiFi.AccessPoint.5.APBridgeDisable=1
WiFi.AccessPoint.5.
WiFi.AccessPoint.5.APBridgeDisable=1
root@prplOS:/# ubus-cli WiFi.AccessPoint.*.APBridgeDisable?
&gt; WiFi.AccessPoint.*.APBridgeDisable?
WiFi.AccessPoint.1.APBridgeDisable=1
WiFi.AccessPoint.2.APBridgeDisable=0
WiFi.AccessPoint.3.APBridgeDisable=1
WiFi.AccessPoint.4.APBridgeDisable=0
WiFi.AccessPoint.5.APBridgeDisable=1
WiFi.AccessPoint.6.APBridgeDisable=0
\\run Ping between station</t>
  </si>
  <si>
    <t>cat /tmp/wl0_hapd.conf |grep ap_isolate
root@prplOS:/# cat /tmp/wl0_hapd.conf |grep ap_isolate
ap_isolate=0
ap_isolate=0
root@prplOS:/# cat /tmp/wl1_hapd.conf |grep ap_isolate
ap_isolate=0
ap_isolate=0
root@prplOS:/# cat /tmp/wl2_hapd.conf |grep ap_isolate
ap_isolate=0
ap_isolate=0</t>
  </si>
  <si>
    <t>not supported by pwhm</t>
  </si>
  <si>
    <t>BRCM: CSP  CS00012439197
2026-01-06  is not a standard TR-181 parameter, but rather a prpl-specific extension (custom parameter) and prpl doesn't implement it yet.
--
- Station connected to GW can still ping each other
 - Setting's in API does not take effect in wl command
Controls whether clients on the same SSID can communicate with each other
0 = AP bridging enabled → no isolation → devices can communicate
1 = AP bridging disabled → isolation enabled → devices cannot communicate</t>
  </si>
  <si>
    <t>BridgeInterface</t>
  </si>
  <si>
    <t>ubus-cli WiFi.AccessPoint.{i}.BridgeInterface=bridge</t>
  </si>
  <si>
    <t xml:space="preserve">root@prplOS:/# ubus-cli WiFi.AccessPoint.? | grep BridgeInterface
WiFi.AccessPoint.1.BridgeInterface="br-lan"
WiFi.AccessPoint.3.BridgeInterface="br-lan"
WiFi.AccessPoint.5.BridgeInterface="br-lan"
</t>
  </si>
  <si>
    <t>cat /tmp/wl0_hapd.conf |grep bridge
root@prplOS:/# brctl show
bridge name     bridge id               STP enabled     interfaces
br-lcm          8000.6c15db74c0b3       no
br-lan          8000.6c15db74c0b1       no              wl0.1
                                                        eth3
                                                        wl1
                                                        eth1
                                                        wl2.1
                                                        wl2
                                                        eth2
                                                        wl0
                                                        wl1.1
br-guest                8000.6c15db74c0b2       no</t>
  </si>
  <si>
    <t> </t>
  </si>
  <si>
    <t>DiscoveryMethodEnabled</t>
  </si>
  <si>
    <t>ubus-cli WiFi.AccessPoint.{i}.DiscoveryMethodEnabled=FILS</t>
  </si>
  <si>
    <t>root@prplOS:/# ubus-cli WiFi.AccessPoint.1.DiscoveryMethodEnabled="FILS"
&gt; WiFi.AccessPoint.1.DiscoveryMethodEnabled=FILS
ERROR: set WiFi.AccessPoint.1.DiscoveryMethodEnabled failed (10 - invalid value)</t>
  </si>
  <si>
    <t>not supported by pwhm.can set with ubus-cli WiFi.AccessPoint.1.DiscoveryMethodEnabled="FILSDiscovery"</t>
  </si>
  <si>
    <t>Cannot set DiscoveryMethodEnabled to FILS</t>
  </si>
  <si>
    <t>ubus-cli WiFi.AccessPoint.{i}.DiscoveryMethodEnabled=UPR</t>
  </si>
  <si>
    <t>root@prplOS:/# ubus-cli WiFi.AccessPoint.1.DiscoveryMethodEnabled="UPR"
&gt; WiFi.AccessPoint.1.DiscoveryMethodEnabled=UPR
ERROR: set WiFi.AccessPoint.1.DiscoveryMethodEnabled failed (10 - invalid value)</t>
  </si>
  <si>
    <t>not supported by pwhm.can set with ubus-cli WiFi.AccessPoint.1.DiscoveryMethodEnabled="UPR"</t>
  </si>
  <si>
    <t>Cannot set DiscoveryMethodEnabled to UPR</t>
  </si>
  <si>
    <t>ubus-cli WiFi.AccessPoint.{i}.DiscoveryMethodEnabled=RNR</t>
  </si>
  <si>
    <t>root@prplOS:/# ubus-cli WiFi.AccessPoint.1.DiscoveryMethodEnabled="RNR"
&gt; WiFi.AccessPoint.1.DiscoveryMethodEnabled=RNR
WiFi.AccessPoint.1.
WiFi.AccessPoint.1.DiscoveryMethodEnabled="RNR"</t>
  </si>
  <si>
    <t>Need to check</t>
  </si>
  <si>
    <t xml:space="preserve">Beacon packet does not include  Tag: Reduced Neighbor Report (RNR)
Element ID = 201
Example: 
Reduced Neighbor Report
    TBTT Information Header
    TBTT Information Set
        Operating Class: 133
        Channel Number: 5
        BSSID: aa:bb:cc:dd:ee:ff
</t>
  </si>
  <si>
    <t>WiFi.AccessPoint.{i}.DriverConfig.</t>
  </si>
  <si>
    <t>BssMaxIdlePeriod</t>
  </si>
  <si>
    <t>ubus-cli WiFi.AccessPoint.{i}.DriverConfig.BssMaxIdlePeriod=-1</t>
  </si>
  <si>
    <t>ubus-cli WiFi.AccessPoint.{i}.Enable=1</t>
  </si>
  <si>
    <t>WiFi.AccessPoint.1.Enable=1
WiFi.AccessPoint.3.Enable=1
WiFi.AccessPoint.5.Enable=1</t>
  </si>
  <si>
    <t>root@prplOS:/# wl -e bss
--- wl0 5G
up
--- wl0.1 5G
up
--- wl1 6G
up
--- wl1.1 6G
up
--- wl2 2G
up
--- wl2.1 2G
up</t>
  </si>
  <si>
    <t>WiFi.AccessPoint.{i}.IEEE80211r.</t>
  </si>
  <si>
    <t>FTOverDSEnable</t>
  </si>
  <si>
    <t>ubus-cli WiFi.AccessPoint.{i}.IEEE80211r.FTOverDSEnable=0</t>
  </si>
  <si>
    <t xml:space="preserve">1. Set IEEE80211r.Enabled=1
ubus-cli WiFi.AccessPoint.*.IEEE80211r.Enabled=1
2. set FTOverDSEnable=1
root@prplOS:/# ubus-cli WiFi.AccessPoint.? | grep .IEEE80211r.FTOverDSEnable=1
WiFi.AccessPoint.1.IEEE80211r.FTOverDSEnable=1
WiFi.AccessPoint.2.IEEE80211r.FTOverDSEnable=1
WiFi.AccessPoint.3.IEEE80211r.FTOverDSEnable=1
3. Capture Beacon packet and check FTOverDS under Tag: Mobility Domain (IE)
</t>
  </si>
  <si>
    <t>cat /tmp/wl0_hapd.conf |grep ft_over_ds
Beacon Packet should include:
Mobility Domain
    Mobility Domain ID: xxxx
    FT Capability and Policy: 0x0?  (bitmask)
    0000 .... = FT-over-DS: 0 (not supported)
       .... 000. = FT-over-Air: 1 (supported)
Key line:
FT-over-DS: 1 → FT-over-DS enabled
FT-over-DS: 0 → FT-over-DS disabled</t>
  </si>
  <si>
    <t xml:space="preserve">Function need to check
To check function, make sure to enable the following
IEEE80211r.Enabled=1
IEEE80211r.FTOverDSEnable=1
IEEE80211r.MobilityDomain=xxxx
</t>
  </si>
  <si>
    <t>MobilityDomain</t>
  </si>
  <si>
    <t>ubus-cli WiFi.AccessPoint.{i}.IEEE80211r.MobilityDomain=27476</t>
  </si>
  <si>
    <t>\\Set MobilityDomain
root@prplOS:/# ubus-cli WiFi.AccessPoint.1.IEEE80211r.MobilityDomain=1
&gt; WiFi.AccessPoint.1.IEEE80211r.MobilityDomain=1
WiFi.AccessPoint.1.IEEE80211r.
WiFi.AccessPoint.1.IEEE80211r.MobilityDomain=1</t>
  </si>
  <si>
    <t xml:space="preserve">802.11r requires a non-zero Mobility Domain ID (MDID).
If MDID = 0 → 802.11r will NOT activate, even if Enabled=1.
must set .MobilityDomain to a 16-bit number (1–65535).
Example:
ubus-cli WiFi.AccessPoint.1.IEEE80211r.MobilityDomain=4660 </t>
  </si>
  <si>
    <t>NASIdentifier</t>
  </si>
  <si>
    <t>ubus-cli WiFi.AccessPoint.{i}.IEEE80211r.NASIdentifier=275F839EA31BC240</t>
  </si>
  <si>
    <t>root@prplOS:/# ubus-cli WiFi.AccessPoint.? | grep IEEE80211r.NASIdentifier
WiFi.AccessPoint.1.IEEE80211r.NASIdentifier="A9B83C3CE3BF5C11"
WiFi.AccessPoint.3.IEEE80211r.NASIdentifier="894580748EE13279"
WiFi.AccessPoint.5.IEEE80211r.NASIdentifier="D1F036865B8249FF"</t>
  </si>
  <si>
    <t>cat /tmp/wl0_hapd.conf |grep nas_identifier</t>
  </si>
  <si>
    <t>R0KHKey</t>
  </si>
  <si>
    <t>ubus-cli WiFi.AccessPoint.{i}.IEEE80211r.R0KHKey=6024AAA1BEA29FF2F3701DDC61C15192</t>
  </si>
  <si>
    <t>cat /tmp/wl0_hapd.conf |grep r0kh</t>
  </si>
  <si>
    <t>WiFi.AccessPoint.{i}.IEEE80211u.</t>
  </si>
  <si>
    <t>InterworkingEnable</t>
  </si>
  <si>
    <t>ubus-cli WiFi.AccessPoint.{i}.IEEE80211u.InterworkingEnable=0</t>
  </si>
  <si>
    <t xml:space="preserve">//Set IEEE80211u.InterworkingEnable=1
ubus-cli WiFi.AccessPoint.{i}.IEEE80211u.InterworkingEnable=1
root@prplOS:/# ubus-cli WiFi.AccessPoint.? | grep IEEE80211u.InterworkingEnable
WiFi.AccessPoint.1.IEEE80211u.InterworkingEnable=1
WiFi.AccessPoint.3.IEEE80211u.InterworkingEnable=1
WiFi.AccessPoint.5.IEEE80211u.InterworkingEnable=1
</t>
  </si>
  <si>
    <t>Check Beacon packets:
IEEE 802.11 Management Frame
   Tagged parameters
      Interworking (Tag: 107)
**Access Network Type = Public, Private, Private with Guest, etc. 
**Internet Availability = "0 = not available, 1 = available" 
**ASRA (Access Network Query Protocol Service)=  Automatic association rejection support 
**Venue Info = Optional: airport, hotel, cafe, etc.
**HESSID =  Optional: Homogenous ESS ID (for roaming)</t>
  </si>
  <si>
    <t>ARC: pWHM interworking doesnt sync internet argument to hostapd config
BRCM: CSP  CS00012439197
2026-01-07 	
Prpl didn't have parameter "internet" in WiFi.AccessPoint.{i}.IEEE80211u. object, and hostapd use default value "0".
BTW: We will not configure 802.11u directly; instead, we will focus on Hotspot 2.0, as 802.11u is the underlying technical standard and Hotspot 2.0 is the application implementation and commercial certification built upon it.
---
Internet access available but in the packet it shows "Internet: 0"</t>
  </si>
  <si>
    <t>QoSMapSet</t>
  </si>
  <si>
    <t>ubus-cli WiFi.AccessPoint.{i}.IEEE80211u.QoSMapSet=</t>
  </si>
  <si>
    <r>
      <t>1. Set QoSMapSet   
root@prplOS:~# ubus-cli WiFi.AccessPoint.*.IEEE80211u.QoSMapSet=</t>
    </r>
    <r>
      <rPr>
        <b/>
        <sz val="9"/>
        <color rgb="FF0070C0"/>
        <rFont val="Calibri"/>
        <scheme val="minor"/>
      </rPr>
      <t>'</t>
    </r>
    <r>
      <rPr>
        <sz val="9"/>
        <color rgb="FF000000"/>
        <rFont val="Calibri"/>
        <scheme val="minor"/>
      </rPr>
      <t>"0,7,8,15,255,255,255,255,255,255,1
6,23,24,31,255,255"</t>
    </r>
    <r>
      <rPr>
        <b/>
        <sz val="9"/>
        <color rgb="FF0070C0"/>
        <rFont val="Calibri"/>
        <scheme val="minor"/>
      </rPr>
      <t xml:space="preserve">'
</t>
    </r>
    <r>
      <rPr>
        <sz val="9"/>
        <color rgb="FF000000"/>
        <rFont val="Calibri"/>
        <scheme val="minor"/>
      </rPr>
      <t xml:space="preserve">&gt; WiFi.AccessPoint.*.IEEE80211u.QoSMapSet="0,7,8,15,255,255,255,255,255,255,16,23,24,31,255,255"
WiFi.AccessPoint.1.IEEE80211u.
WiFi.AccessPoint.1.IEEE80211u.QoSMapSet="0,7,8,15,255,255,255,255,255,255,16,23,24,31,255,255"
WiFi.AccessPoint.2.IEEE80211u.
WiFi.AccessPoint.2.IEEE80211u.QoSMapSet="0,7,8,15,255,255,255,255,255,255,16,23,24,31,255,255"
WiFi.AccessPoint.3.IEEE80211u.
WiFi.AccessPoint.3.IEEE80211u.QoSMapSet="0,7,8,15,255,255,255,255,255,255,16,23,24,31,255,255"
WiFi.AccessPoint.4.IEEE80211u.
WiFi.AccessPoint.4.IEEE80211u.QoSMapSet="0,7,8,15,255,255,255,255,255,255,16,23,24,31,255,255"
WiFi.AccessPoint.5.IEEE80211u.
WiFi.AccessPoint.5.IEEE80211u.QoSMapSet="0,7,8,15,255,255,255,255,255,255,16,23,24,31,255,255"
WiFi.AccessPoint.6.IEEE80211u.
WiFi.AccessPoint.6.IEEE80211u.QoSMapSet="0,7,8,15,255,255,255,255,255,255,16,23,24,31,255,255"
root@prplOS:~# ubus-cli WiFi.AccessPoint.*.IEEE80211u.QoSMapSet?
&gt; WiFi.AccessPoint.*.IEEE80211u.QoSMapSet?
WiFi.AccessPoint.1.IEEE80211u.QoSMapSet="0,7,8,15,255,255,255,255,255,255,16,23,24,31,255,255"
WiFi.AccessPoint.2.IEEE80211u.QoSMapSet="0,7,8,15,255,255,255,255,255,255,16,23,24,31,255,255"
WiFi.AccessPoint.3.IEEE80211u.QoSMapSet="0,7,8,15,255,255,255,255,255,255,16,23,24,31,255,255"
WiFi.AccessPoint.4.IEEE80211u.QoSMapSet="0,7,8,15,255,255,255,255,255,255,16,23,24,31,255,255"
WiFi.AccessPoint.5.IEEE80211u.QoSMapSet="0,7,8,15,255,255,255,255,255,255,16,23,24,31,255,255"
WiFi.AccessPoint.6.IEEE80211u.QoSMapSet="0,7,8,15,255,255,255,255,255,255,16,23,24,31,255,255"
</t>
    </r>
  </si>
  <si>
    <t>not supported by wlcfg80211</t>
  </si>
  <si>
    <t>driver</t>
  </si>
  <si>
    <t>BRCM: CSP  CS00012439197
2026-01-07 	
You can try ubus-cli WiFi.AccessPoint.{i}.IEEE80211u.QoSMapSet='"0,7,8,15,255,255,255,255,255,255,16,23,24,31,255,255"',now the value will save to hapd.conf.
But broadcom didn't support set qos_map_set through nl80211, so you will find hostapd can't start for this radio.
0114-EIT: Verify using the command from RD by adding single quote before and after double quote. found the  Command Accepted but the WiFi interface goes Down.
---
The settings cannot be save.
 Does this setting tells the AP how to map IP-layer QoS / DSCP values to the Wi-Fi 802.11e/WMM queues?
DSCP / IP priority	Wi-Fi AC
0–7	 = Best Effort (BE)
8–15 =	Background (BK)
16–23 =	Video (VI)
24–31 =	Voice (VO)</t>
  </si>
  <si>
    <t>MACFilterAddressList</t>
  </si>
  <si>
    <t>ubus-cli WiFi.AccessPoint.{i}.MACFilterAddressList=</t>
  </si>
  <si>
    <t>\\Add Station MAC to the table
root@prplOS:/# ubus-cli "WiFi.AccessPoint.{i}.MACFiltering.addEntry(mac=62:2F:B8:66:BB:82)"
\\Check Station MAC added to the table 
root@prplOS:/# ubus-cli WiFi.AccessPoint.? | grep MACFiltering.Entry
WiFi.AccessPoint.1.MACFiltering.Entry.1.
WiFi.AccessPoint.1.MACFiltering.Entry.1.Alias="cpe-Entry-1"
WiFi.AccessPoint.1.MACFiltering.Entry.1.MACAddress="62:2F:B8:66:BB:82"
\\Set MAC Filtering Mode from Off to "WhiteList or Blacklist"
ubus-cli WiFi.AccessPoint.{i}.MACFiltering.Mode="BlackList"
Whitelist (allow list) and Blacklist (deny list)</t>
  </si>
  <si>
    <t xml:space="preserve">cat /tmp/wl0_hapd.conf
accept_mac_file=/tmp/hostap_wl0.acl
or
deny_mac_file=/tmp/hostap_wl0.acl
cat /tmp/hostap_wl0.acl
62:2F:B8:66:BB:82
root@prplOS:/# cat /tmp/wl0_hapd.conf | grep mac
macaddr_acl=0
deny_mac_file=/tmp/hostap_wl0.acl
root@prplOS:/# cat /tmp/hostap_wl0.acl
62:2F:B8:66:BB:82
</t>
  </si>
  <si>
    <t>WiFi.AccessPoint.{i}.MACFiltering.Entry</t>
  </si>
  <si>
    <t>Entry</t>
  </si>
  <si>
    <t>ubus-cli WiFi.AccessPoint.{i}.MACFiltering.Entry</t>
  </si>
  <si>
    <t>root@prplOS:/# ubus-cli WiFi.AccessPoint.? | grep MACFiltering.Entry
WiFi.AccessPoint.1.MACFiltering.Entry.1.
WiFi.AccessPoint.1.MACFiltering.Entry.1.Alias="cpe-Entry-1"
WiFi.AccessPoint.1.MACFiltering.Entry.1.MACAddress="62:2F:B8:66:BB:82"
WiFi.AccessPoint.1.MACFiltering.Entry.2.
WiFi.AccessPoint.1.MACFiltering.Entry.2.Alias="cpe-Entry-2"
WiFi.AccessPoint.1.MACFiltering.Entry.2.MACAddress="FA:DD:AC:24:5A:B4"
WiFi.AccessPoint.1.MACFiltering.Entry.3.
WiFi.AccessPoint.1.MACFiltering.Entry.3.Alias="cpe-Entry-3"
WiFi.AccessPoint.1.MACFiltering.Entry.3.MACAddress="FA:A0:DF:91:47:7C"
WiFi.AccessPoint.3.MACFiltering.Entry.1.
WiFi.AccessPoint.3.MACFiltering.Entry.1.Alias="cpe-Entry-1"
WiFi.AccessPoint.3.MACFiltering.Entry.1.MACAddress="FA:A0:DF:91:47:7C"
WiFi.AccessPoint.5.MACFiltering.Entry.1.
WiFi.AccessPoint.5.MACFiltering.Entry.1.Alias="cpe-Entry-1"
WiFi.AccessPoint.5.MACFiltering.Entry.1.MACAddress="62:2F:B8:66:BB:82"</t>
  </si>
  <si>
    <t>cat /tmp/wl0_hapd.conf
accept_mac_file=/tmp/hostap_wl0.acl
or
deny_mac_file=/tmp/hostap_wl0.acl
cat /tmp/hostap_wl0.acl
62:2F:B8:66:BB:82</t>
  </si>
  <si>
    <t>WiFi.AccessPoint.{i}.MACFiltering.Mode</t>
  </si>
  <si>
    <t>ubus-cli WiFi.AccessPoint.{i}.MACFiltering.Mode=Off</t>
  </si>
  <si>
    <t xml:space="preserve">root@prplOS:/# ubus-cli WiFi.AccessPoint.? | grep .MACFiltering.Mode=
WiFi.AccessPoint.1.MACFiltering.Mode="WhiteList"
WiFi.AccessPoint.2.MACFiltering.Mode="Off"
WiFi.AccessPoint.3.MACFiltering.Mode="BlackList"
WiFi.AccessPoint.4.MACFiltering.Mode="Off"
WiFi.AccessPoint.5.MACFiltering.Mode="BlackList"
WiFi.AccessPoint.6.MACFiltering.Mode="Off"
root@prplOS:/# ubus-cli WiFi.AccessPoint.1.MACFiltering.Mode="Off"
&gt; WiFi.AccessPoint.1.MACFiltering.Mode=Off
ERROR: set WiFi.AccessPoint.1.MACFiltering.Mode failed (10 - invalid value)
root@prplOS:/# ubus-cli WiFi.AccessPoint.3.MACFiltering.Mode="Off"
&gt; WiFi.AccessPoint.3.MACFiltering.Mode=Off
ERROR: set WiFi.AccessPoint.3.MACFiltering.Mode failed (10 - invalid value)
</t>
  </si>
  <si>
    <t>cat /tmp/wl0_hapd.conf
accept_mac_file=/tmp/hostap_wl0.acl
or
deny_mac_file=/tmp/hostap_wl0.acl
root@prplOS:/# cat /tmp/wl0_hapd.conf | grep acl
macaddr_acl=1
accept_mac_file=/tmp/hostap_wl0.acl
root@prplOS:/# cat /tmp/wl2_hapd.conf | grep acl
macaddr_acl=0
deny_mac_file=/tmp/hostap_wl2.acl
root@prplOS:/# cat /tmp/wl1_hapd.conf | grep acl
macaddr_acl=0
deny_mac_file=/tmp/hostap_wl1.acl</t>
  </si>
  <si>
    <t>can set with ubus-cli WiFi.AccessPoint.2.MACFiltering.Mode=\"Off\"</t>
  </si>
  <si>
    <t xml:space="preserve">
2026-03-03_EIT: verified and found fix in version 4.0.3
root@prplOS:~# ubus-cli WiFi.AccessPoint.*.MACFiltering.Mode?
&gt; WiFi.AccessPoint.*.MACFiltering.Mode?
WiFi.AccessPoint.1.MACFiltering.Mode="BlackList"
WiFi.AccessPoint.2.MACFiltering.Mode="BlackList"
WiFi.AccessPoint.3.MACFiltering.Mode="BlackList"
WiFi.AccessPoint.4.MACFiltering.Mode="BlackList"
WiFi.AccessPoint.5.MACFiltering.Mode="BlackList"
WiFi.AccessPoint.6.MACFiltering.Mode="BlackList"
root@prplOS:~# ubus-cli WiFi.AccessPoint.*.MACFiltering.Mode=\"Off\"
&gt; WiFi.AccessPoint.*.MACFiltering.Mode="Off"
WiFi.AccessPoint.1.MACFiltering.
WiFi.AccessPoint.1.MACFiltering.Mode="Off"
WiFi.AccessPoint.2.MACFiltering.
WiFi.AccessPoint.2.MACFiltering.Mode="Off"
WiFi.AccessPoint.3.MACFiltering.
WiFi.AccessPoint.3.MACFiltering.Mode="Off"
WiFi.AccessPoint.4.MACFiltering.
WiFi.AccessPoint.4.MACFiltering.Mode="Off"
WiFi.AccessPoint.5.MACFiltering.
WiFi.AccessPoint.5.MACFiltering.Mode="Off"
WiFi.AccessPoint.6.MACFiltering.
WiFi.AccessPoint.6.MACFiltering.Mode="Off"
root@prplOS:~# ubus-cli WiFi.AccessPoint.*.MACFiltering.Mode?
&gt; WiFi.AccessPoint.*.MACFiltering.Mode?
WiFi.AccessPoint.1.MACFiltering.Mode="Off"
WiFi.AccessPoint.2.MACFiltering.Mode="Off"
WiFi.AccessPoint.3.MACFiltering.Mode="Off"
WiFi.AccessPoint.4.MACFiltering.Mode="Off"
WiFi.AccessPoint.5.MACFiltering.Mode="Off"
WiFi.AccessPoint.6.MACFiltering.Mode="Off"
BCM-403: can set with ubus-cli WiFi.AccessPoint.2.MACFiltering.Mode=\"Off\"
[0123] Tim: ubus-cli "WiFi.AccessPoint.1.MACFiltering.Mode='Off'" instead of ubus-cli WiFi.AccessPoint.1.MACFiltering.Mode=Off
---
ARC: hostapd doesnt suport SET macaddr_acl
---
Cannot switch Off</t>
  </si>
  <si>
    <t>MaxAssociatedDevices</t>
  </si>
  <si>
    <t>ubus-cli WiFi.AccessPoint.{i}.MaxAssociatedDevices=32</t>
  </si>
  <si>
    <t>1. Get the Maximum Association allowed in SSID
root@prplOS:/# ubus-cli WiFi.AccessPoint.*.? | grep MaxAssociatedDevices
WiFi.AccessPoint.1.MaxAssociatedDevices=32
WiFi.AccessPoint.3.MaxAssociatedDevices=32
WiFi.AccessPoint.5.MaxAssociatedDevices=32
2. Connect 32 WiFi Station to GW 5GHz SSID
3. Check Stations Associated to  5GHz SSID 
    using command:  wl -i wl0 assoclist
4. Repeat step1 to Step3, associate Station to 2.4GHz and 6GHz SSID</t>
  </si>
  <si>
    <t>cat /tmp/wl0_hapd.conf |grep max_num_sta
cat /tmp/wl1_hapd.conf |grep max_num_sta
cat /tmp/wl2_hapd.conf |grep max_num_sta
root@prplOS:/# cat /tmp/wl0_hapd.conf |grep max_num_sta
root@prplOS:/# cat /tmp/wl1_hapd.conf |grep max_num_sta
root@prplOS:/# cat /tmp/wl2_hapd.conf |grep max_num_sta
root@prplOS:/# wl -i wl1 assoclist
assoclist 00:60:F3:31:98:01
assoclist 00:60:F3:31:97:FE
assoclist 00:60:F3:31:98:03
assoclist 00:60:F3:31:97:FB
assoclist 00:60:F3:31:98:00
assoclist 00:60:F3:31:97:F8
assoclist 00:60:F3:31:97:FD
assoclist 00:60:F3:31:97:F5
assoclist 00:60:F3:31:98:02
assoclist 00:60:F3:31:97:FA
assoclist 00:60:F3:31:97:F2
assoclist 00:60:F3:31:97:FF
assoclist 00:60:F3:31:97:F7
assoclist 00:60:F3:31:97:EF
assoclist 00:60:F3:31:97:FC
assoclist 00:60:F3:31:97:F4
assoclist 00:60:F3:31:97:EC
assoclist 00:60:F3:31:97:F9
assoclist 00:60:F3:31:97:F1
assoclist 00:60:F3:31:97:E9
assoclist 00:60:F3:31:97:F6
assoclist 00:60:F3:31:97:EE
assoclist 00:60:F3:31:97:E6
assoclist 00:60:F3:31:97:F3
assoclist 00:60:F3:31:97:EB
assoclist 00:60:F3:31:97:F0
assoclist 00:60:F3:31:97:E8
assoclist 00:60:F3:31:97:ED
assoclist 00:60:F3:31:97:E5
assoclist 00:60:F3:31:97:EA
assoclist 00:60:F3:31:97:E7
assoclist 00:60:F3:31:97:E4</t>
  </si>
  <si>
    <t xml:space="preserve">
2026-02-26_EIT: verified and found fix in version 4.0.3
BCM-403: set max_num_sta to hapd.conf in brcm vendor module to fix this issue
BRCM: CSP  CS00012439197
2026-01-06 prpl use wpaCtrlInterface to set max_num_sta from prplosv4.0.1, but brcm hostapd didn't support it.
--
  it does not show the 'max_num_sta" in "wlx_hapd.conf"</t>
  </si>
  <si>
    <t>MBOEnable</t>
  </si>
  <si>
    <t>ubus-cli WiFi.AccessPoint.{i}.MBOEnable=0</t>
  </si>
  <si>
    <t xml:space="preserve">\\Enable MBO
root@prplOS:~# ubus-cli WiFi.AccessPoint.*.MBOEnable=1
&gt; WiFi.AccessPoint.*.MBOEnable=1
WiFi.AccessPoint.1.MBOEnable=1
WiFi.AccessPoint.2.MBOEnable=1
WiFi.AccessPoint.3.MBOEnable=1
WiFi.AccessPoint.4.MBOEnable=1
WiFi.AccessPoint.5.MBOEnable=1
WiFi.AccessPoint.6.MBOEnable=1
\\Check Setting
root@prplOS:~# ubus-cli WiFi.AccessPoint.*.MBOEnable?
&gt; WiFi.AccessPoint.*.MBOEnable?
WiFi.AccessPoint.1.MBOEnable=1
WiFi.AccessPoint.2.MBOEnable=1
WiFi.AccessPoint.3.MBOEnable=1
WiFi.AccessPoint.4.MBOEnable=1
WiFi.AccessPoint.5.MBOEnable=1
WiFi.AccessPoint.6.MBOEnable=1
</t>
  </si>
  <si>
    <r>
      <t xml:space="preserve">MBO = 0"Disable"
root@prplOS:/# wl -i wl0 mbo ap_enable
MBO AP ENABLE : 0
root@prplOS:/# wl -i wl1 mbo ap_enable
MBO AP ENABLE : 0
root@prplOS:/# wl -i wl2 mbo ap_enable
MBO AP ENABLE : 0
MBO = 1"Enable"
root@prplOS:/# wl -i wl0 mbo ap_enable
MBO AP ENABLE : 1
root@prplOS:/# wl -i wl1 mbo ap_enable
MBO AP ENABLE : 1
root@prplOS:/# wl -i wl2 mbo ap_enable
MBO AP ENABLE : 1
</t>
    </r>
    <r>
      <rPr>
        <strike/>
        <sz val="9"/>
        <color rgb="FF000000"/>
        <rFont val="Calibri"/>
        <scheme val="minor"/>
      </rPr>
      <t>cat /tmp/wl0_hapd.conf | grep mbo
root@prplOS:~# cat /tmp/wl0_hapd.conf | grep mbo
root@prplOS:~# cat /tmp/wl1_hapd.conf | grep mbo
root@prplOS:~# cat /tmp/wl2_hapd.conf | grep mbo</t>
    </r>
  </si>
  <si>
    <t>2026-02-26_EIT: verified and found fix in version 4.0.3
BRCM: CSP  CS00012439197
2026-01-08 	
Brcm hostapd didn't support mbo parameter, so we set MBOEnable in our vendor module.
You can check it with below command:
wl -i wlx.y mbo ap_enable"
0114-EIT: Verify and found Pass using the command from RD
--
 No MBO-related parameter is present in wlx_hapd.conf</t>
  </si>
  <si>
    <t>MultiAPType</t>
  </si>
  <si>
    <t>ubus-cli WiFi.AccessPoint.{i}.MultiAPType=BackhaulBSS</t>
  </si>
  <si>
    <t>\\Check Default settinh
root@prplOS:~# ubus-cli WiFi.AccessPoint.*.MultiAPType?
&gt; WiFi.AccessPoint.*.MultiAPType?
WiFi.AccessPoint.1.MultiAPType="FronthaulBSS,BackhaulBSS"
WiFi.AccessPoint.2.MultiAPType="FronthaulBSS,BackhaulBSS"
WiFi.AccessPoint.3.MultiAPType="FronthaulBSS,BackhaulBSS"
WiFi.AccessPoint.4.MultiAPType="FronthaulBSS,BackhaulBSS"
WiFi.AccessPoint.5.MultiAPType="FronthaulBSS,BackhaulBSS"
WiFi.AccessPoint.6.MultiAPType="FronthaulBSS,BackhaulBSS"
\\Set MultiAPType to FronthaulBSS only
root@prplOS:~# ubus-cli WiFi.AccessPoint.*.MultiAPType= FronthaulBSS
&gt; WiFi.AccessPoint.*.MultiAPType= FronthaulBSS
WiFi.AccessPoint.1.MultiAPType="FronthaulBSS"
WiFi.AccessPoint.2.MultiAPType="FronthaulBSS"
WiFi.AccessPoint.3.MultiAPType="FronthaulBSS"
WiFi.AccessPoint.4.MultiAPType="FronthaulBSS"
WiFi.AccessPoint.5.MultiAPType="FronthaulBSS"
WiFi.AccessPoint.6.MultiAPType="FronthaulBSS"
\\Check the settings 
root@prplOS:~# ubus-cli WiFi.AccessPoint.*.MultiAPType?
&gt; WiFi.AccessPoint.*.MultiAPType?
WiFi.AccessPoint.1.MultiAPType="FronthaulBSS"
WiFi.AccessPoint.2.MultiAPType="FronthaulBSS"
WiFi.AccessPoint.3.MultiAPType="FronthaulBSS"
WiFi.AccessPoint.4.MultiAPType="FronthaulBSS"
WiFi.AccessPoint.5.MultiAPType="FronthaulBSS"
WiFi.AccessPoint.6.MultiAPType="FronthaulBSS"</t>
  </si>
  <si>
    <t>wl -i wl0 map
cat /tmp/wl0_hapd.conf | grep multi_ap
root@prplOS:~# cat /tmp/wl0_hapd.conf | grep multi_ap
multi_ap=2
multi_ap=2
root@prplOS:~# cat /tmp/wl2_hapd.conf | grep multi_ap
multi_ap=2
multi_ap=2
root@prplOS:~# cat /tmp/wl1_hapd.conf | grep multi_ap
multi_ap=2
multi_ap=2
root@prplOS:~# wl -i wl0 map
0x1:  Fronthaul-BSS
root@prplOS:~#</t>
  </si>
  <si>
    <t xml:space="preserve"> -Test only FronthaulBSS.
 -Will test the BH when MESH are ready</t>
  </si>
  <si>
    <t>Neighbour</t>
  </si>
  <si>
    <t xml:space="preserve">ubus-cli WiFi.AccessPoint.{i}.Neighbour
</t>
  </si>
  <si>
    <t>\\Add Neighbour AP
root@prplOS:/# ubus-cli "WiFi.AccessPoint.1.setNeighbourAP(BSSID=11:22:33:44:55:
66,Channel=36)"
&gt; WiFi.AccessPoint.1.setNeighbourAP(BSSID=11:22:33:44:55:66,Channel=36)
WiFi.AccessPoint.1.setNeighbourAP() returned
[
    ""
]
root@prplOS:/# ubus-cli "WiFi.AccessPoint.3.setNeighbourAP(BSSID=11:22:33:44:55:
77,Channel=1)"
&gt; WiFi.AccessPoint.3.setNeighbourAP(BSSID=11:22:33:44:55:77,Channel=1)
WiFi.AccessPoint.3.setNeighbourAP() returned
[
    ""
]
root@prplOS:/# ubus-cli "WiFi.AccessPoint.5.setNeighbourAP(BSSID=11:22:33:44:55:
88,Channel=11)"
&gt; WiFi.AccessPoint.5.setNeighbourAP(BSSID=11:22:33:44:55:88,Channel=11)
WiFi.AccessPoint.5.setNeighbourAP() returned
[
    ""
]
\\Get or Check Neigbour AP
root@prplOS:/# ubus-cli WiFi.AccessPoint.*.? | grep -E 'BSSID|Channel'
WiFi.AccessPoint.1.Neighbour.1.BSSID="11:22:33:44:55:66"
WiFi.AccessPoint.1.Neighbour.1.Channel=36
WiFi.AccessPoint.3.Neighbour.2.BSSID="11:22:33:44:55:77"
WiFi.AccessPoint.3.Neighbour.1.Channel=1
WiFi.AccessPoint.5.Neighbour.2.BSSID="11:22:33:44:55:88"
WiFi.AccessPoint.5.Neighbour.2.Channel=11</t>
  </si>
  <si>
    <t>WiFi.AccessPoint.{i}.Security.</t>
  </si>
  <si>
    <t>Security</t>
  </si>
  <si>
    <t>ubus-cli WiFi.AccessPoint.{i}.Security.EncryptionMode=Default</t>
  </si>
  <si>
    <t xml:space="preserve">\\Set security mode to WPA3
root@prplOS:/# ubus-cli WiFi.AccessPoint.1.Security.ModeEnabled="WPA3-Personal"
&gt; WiFi.AccessPoint.1.Security.ModeEnabled=WPA3-Personal
WiFi.AccessPoint.1.Security.
WiFi.AccessPoint.1.Security.ModeEnabled="WPA3-Personal"
\\Get AccessPoint.1.Security.EncryptionMode
root@prplOS:/# ubus-cli WiFi.AccessPoint.? | grep .Security.EncryptionMode
WiFi.AccessPoint.1.Security.EncryptionMode="Default"
WiFi.AccessPoint.3.Security.EncryptionMode="Default"
WiFi.AccessPoint.5.Security.EncryptionMode="Default"
</t>
  </si>
  <si>
    <t>cat /tmp/wl0_hapd.conf
root@prplOS:/# grep -Ei "ccmp|tkip|wep|sae" /tmp/wl0_hapd.conf
wpa_key_mgmt=SAE FT-SAE
wpa_pairwise=CCMP
rsn_pairwise=CCMP
sae_password=12345678
sae_require_mfp=1
sae_anti_clogging_threshold=5
sae_sync=5
sae_groups=19 20 21
sae_pwe=2
wpa_pairwise=CCMP
rsn_pairwise=CCMP</t>
  </si>
  <si>
    <t>hardcode in pwhm</t>
  </si>
  <si>
    <t xml:space="preserve">ARC: if HLAPI doesnt set encrypt, this default striing is "default 
---
API return "Default"
Expected result for:
WEP   =   WEP-64, WEP-128    
WPA    =    TKIP                
WPA2  =   AES-CCMP, TKIP     
WPA3  =    AES-CCMP / GCMP </t>
  </si>
  <si>
    <t>KeyPassPhrase</t>
  </si>
  <si>
    <t>ubus-cli WiFi.AccessPoint.{i}.Security.KeyPassPhrase=0689388783</t>
  </si>
  <si>
    <t xml:space="preserve">root@prplOS:/# ubus-cli WiFi.AccessPoint.? | grep .Security.KeyPassPhrase
WiFi.AccessPoint.1.Security.KeyPassPhrase="87654321"
WiFi.AccessPoint.3.Security.KeyPassPhrase="87654321"
WiFi.AccessPoint.5.Security.KeyPassPhrase="87654321"
</t>
  </si>
  <si>
    <t>cat /tmp/wl0_hapd.conf |grep wpa_pairwise
cat /tmp/wl0_hapd.conf |grep wpa_passphrase
root@prplOS:/# cat /tmp/wl0_hapd.conf |grep wpa_passphrase
wpa_passphrase=87654321
root@prplOS:/# cat /tmp/wl1_hapd.conf |grep wpa_passphrase
wpa_passphrase=87654321
root@prplOS:/# cat /tmp/wl2_hapd.conf |grep wpa_passphrase
wpa_passphrase=87654321
root@prplOS:/#
root@prplOS:/# cat /tmp/wl0_hapd.conf |grep wpa_pairwise
wpa_pairwise=CCMP
root@prplOS:/# cat /tmp/wl1_hapd.conf |grep wpa_pairwise
wpa_pairwise=CCMP
root@prplOS:/# cat /tmp/wl2_hapd.conf |grep wpa_pairwise
wpa_pairwise=CCMP</t>
  </si>
  <si>
    <t>MFPConfig</t>
  </si>
  <si>
    <t>ubus-cli WiFi.AccessPoint.{i}.Security.MFPConfig=Disabled</t>
  </si>
  <si>
    <t xml:space="preserve">root@prplOS:/# ubus-cli WiFi.AccessPoint.? | grep Security.MFPConfig
WiFi.AccessPoint.1.Security.MFPConfig="Disabled"
WiFi.AccessPoint.3.Security.MFPConfig="Disabled"
WiFi.AccessPoint.5.Security.MFPConfig="Disabled"
</t>
  </si>
  <si>
    <t xml:space="preserve">cat /tmp/wl0_hapd.conf |grep ieee80211w
root@prplOS:/# cat /tmp/wl0_hapd.conf |grep ieee80211w
ieee80211w=2
root@prplOS:/# cat /tmp/wl1_hapd.conf |grep ieee80211w
ieee80211w=2
root@prplOS:/# cat /tmp/wl2_hapd.conf |grep ieee80211w
ieee80211w=2
</t>
  </si>
  <si>
    <t xml:space="preserve">BRCM: 2025-12-12  wpa3 related setting, mfp will be required as default
---
API always return "Disabled"                                                                            
0 =  Disabled – Management frames are not protected. Legacy clients can connect. 
1 =  Optional – AP advertises MFP, but clients that do not support it can still connect. 
2  = Required – AP requires MFP; clients that do not support it cannot connect.  
Note:
* WPA3-Personal (SAE) requires `ieee80211w=2`.
* WPA2 clients that do not support MFP will fail to connect.
</t>
  </si>
  <si>
    <t>ModeEnabled</t>
  </si>
  <si>
    <t>ubus-cli WiFi.AccessPoint.{i}.Security.ModeEnabled=WPA3-Personal</t>
  </si>
  <si>
    <t xml:space="preserve">1. Set security mode to WPA3-Personal
root@prplOS:/# ubus-cli WiFi.AccessPoint.*.Security.ModeEnabled=WPA3-Personal
&gt; WiFi.AccessPoint.*.Security.ModeEnabled=WPA3-Personal
WiFi.AccessPoint.1.Security.ModeEnabled="WPA3-Personal"
WiFi.AccessPoint.3.Security.ModeEnabled="WPA3-Personal"
WiFi.AccessPoint.5.Security.
2. Verify security mode
root@prplOS:/# ubus-cli WiFi.AccessPoint.? | grep .Security.ModeEnabled
WiFi.AccessPoint.1.Security.ModeEnabled="WPA3-Personal"
WiFi.AccessPoint.3.Security.ModeEnabled="WPA3-Personal"
WiFi.AccessPoint.5.Security.ModeEnabled="WPA3-Personal"
</t>
  </si>
  <si>
    <r>
      <rPr>
        <sz val="9"/>
        <color rgb="FF000000"/>
        <rFont val="Calibri"/>
        <scheme val="minor"/>
      </rPr>
      <t xml:space="preserve">cat /tmp/wl0_hapd.conf | grep wpa
and other related parameters
root@prplOS:/# cat /tmp/wl0_hapd.conf | grep wpa
wpa=2
</t>
    </r>
    <r>
      <rPr>
        <sz val="9"/>
        <color rgb="FF0070C0"/>
        <rFont val="Calibri"/>
        <scheme val="minor"/>
      </rPr>
      <t>wpa_key_mgmt=SAE FT-SA</t>
    </r>
    <r>
      <rPr>
        <sz val="9"/>
        <color rgb="FF000000"/>
        <rFont val="Calibri"/>
        <scheme val="minor"/>
      </rPr>
      <t>E
wpa_pairwise=CCMP
wpa_group_rekey=0
wpa_ptk_rekey=0
wpa_passphrase=87654321
wpa_disable_eapol_key_retries=0
wpa_group_update_count=8
wpa_pairwise_update_count=8
wpa=2
wpa_key_mgmt=WPA-PSK
wpa_pairwise=CCMP
wpa_passphrase=password
wpa_group_rekey=0
wpa_ptk_rekey=0
wpa_disable_eapol_key_retries=0
wpa_group_update_count=8
wpa_pairwise_update_count=8
multi_ap_backhaul_wpa_passphrase=password</t>
    </r>
  </si>
  <si>
    <t>ModesSupported</t>
  </si>
  <si>
    <t>ubus-cli WiFi.AccessPoint.{i}.Security.ModesSupported=None,WEP-64,WEP-128,WEP-128iv,WPA-Personal,WPA2-Personal,WPA-WPA2-Personal,WPA3-Personal,WPA2-WPA3-Personal,E-None,WPA-Enterprise,WPA2-Enterprise,WPA-WPA2-Enterprise</t>
  </si>
  <si>
    <t xml:space="preserve">"Test Procedure:
1. Set/Get Security Key PassPhrase
Set Command: ubus-cli WiFi.AccessPoint.{i}.Security.KeyPassPhrase=""12345678""
Get command: ubus-cli WiFi.AccessPoint.{i}.Security.KeyPassPhrase?
2.  Set/Get Security Mode 
Set Command: ubus-cli WiFi.AccessPoint.{i}.Security.ModeEnabled=""""
Get command: ubus-cli WiFi.AccessPoint.{i}.Security.ModeEnabled?
3. Connect WiFi Station
4. Connect WiFi Station and Check Security Mode
Command: ubus-cli WiFi.AccessPoint.{i}.? | grep \SecurityModeEnabled=
5. Repeat step 2 and 4 ""set to other supported Security Mode""
Note:  Please use below command to set security Key/SAE
For WEP:
ubus-cli WiFi.AccessPoint.{i}.Security.WEPKey=""12345678""
For WPA or WP2: 
ubus-cli WiFi.AccessPoint.{i}.Security.KeyPassPhrase=""12345678""
For WPA3:
ubus-cli WiFi.AccessPoint.{i}.Security.SAEPassphrase=""12345678"""									</t>
  </si>
  <si>
    <t xml:space="preserve">
[0120] Tim: Client sent Authentication request, but AP didn't reply any response. If reboot device, AP can reply authentication response
---
BRCM: CSP  CS00012439197
2026-01-06 1. prpl set 'None' mode by default
2. BBRCM reply workable as below:
 wl -i wl0 sta_info all
[VER 8] STA 00:90:4C:52:B4:74:
chanspec 6g1 (0x5001)
aid:17
rateset [ 6 9 12 18 24 36 48 54 ]
idle 1 seconds
in network 43 seconds
state: AUTHENTICATED ASSOCIATED AUTHORIZED
connection: SECURED
auth: WPA3-SAE-PSK
crypto: AES_CCM
flags 0x4141c03b: BRCM WME HE_CAP AMPDU AMSDU DWDS_CAP EHT_CAP
flags2 0x1: PSEUDO_MLO_CAP
HT caps 0x0:
HE caps 0xc6639: LDPC HE-HTC SU-BFR SU&amp;MU-BFE
OMI 0x1221: 20Mhz rx=2ss tx=2ss ER_SU_DISABLE UL_MU_DISABLE
3. BRCM need to confirm the stat of our security mode set to WEP-128
--
1.can not set None mode in 6G
2.STA can't connect to AP in WPA3-Personal mode for 6G(be)
3.STA can't connect to AP in WEP-64 mode for 2.4G</t>
  </si>
  <si>
    <t>PreSharedKey</t>
  </si>
  <si>
    <t>ubus-cli WiFi.AccessPoint.{i}.Security.PreSharedKey=</t>
  </si>
  <si>
    <t>Test Procedure:
1.set the security mode to WPA-Personal
2.Set/Get PreSharedkey
Set Command: ubus-cli WiFi.AccessPoint.{i}.Security.PreSharedKey="" (64 character)
Get Command: ubus-cli WiFi.AccessPoint.{i}.Security.PreSharedKey?
3.Set WiFi.AccessPoint.{i}.Security.KeyPassPhrase=""
4.check hostapd config
cat /tmp/wlx_hapd.conf |grep wpa_psk
5.STA connect to AP with PreSharedKey</t>
  </si>
  <si>
    <t>cat /tmp/wl0_hapd.conf |grep wpa_psk</t>
  </si>
  <si>
    <t>failed</t>
  </si>
  <si>
    <t xml:space="preserve">[0320] Tim: Change to Not support. As Tracy's comment, pWHM has limited so not support
[0121]Tracy: only when KeyPassPhrase is an empty string will hostapd config use PreSharedKey for wpa_psk. However, in WPA2 or WPA/WPA2 Personal mode, an empty KeyPassPhrase is considered as invalid, so PreSharedKey can't be applied.
--
*Pass in WPA-Personal mode
*failed in WPA2-Personal &amp; WPA-WPA2-Personal
*6G is not support WPA-WPA2 psk
</t>
  </si>
  <si>
    <t>RekeyingInterval</t>
  </si>
  <si>
    <t>ubus-cli WiFi.AccessPoint.{i}.Security.RekeyingInterval=0</t>
  </si>
  <si>
    <t>Test Procedure:
1.Set/Get RekeyingInterval
Set Command: ubus-cli WiFi.AccessPoint.{i}.Security.RekeyingInterval=
Get Command: ubus-cli WiFi.AccessPoint.{i}.Security.RekeyingInterval? 
2.check hostapd config&amp;webGUI
cat /tmp/wlx_hapd.conf |grep wpa_group_rekey
3.STA connect to AP
4.use wireshark to capture rekey packet</t>
  </si>
  <si>
    <t>cat /tmp/wl0_hapd.conf |grep wpa_group_rekey</t>
  </si>
  <si>
    <t>[0121] Tim: Change to Pass. The group rekey packet is protected, need to decrypt packet.
We can see "WPA: sending 1/2 msg of Group Key Handshake" and "WPA: received EAPOL-Key frame (2/2 Group)"  the log of hostapd and
sniffer capture Key (group message 1 of 2 and 2 of 2)
--
*cannot capture EAPOL packets on Wireshark after the connection is established
*6G is not support WPA-WPA2 psk</t>
  </si>
  <si>
    <t>SHA256Enable</t>
  </si>
  <si>
    <t>ubus-cli WiFi.AccessPoint.{i}.Security.SHA256Enable=0</t>
  </si>
  <si>
    <t xml:space="preserve">"Test Procedure:
1.Set/Get SHA256Enable
Set Command: ubus-cli WiFi.AccessPoint.{i}.Security.SHA256Enable=
Get Command: ubus-cli WiFi.AccessPoint.{i}.Security.SHA256Enable?
2.check hostapd config&amp;webGUI
cat /tmp/wlx_hapd.conf"					</t>
  </si>
  <si>
    <t>cat /tmp/wl0_hapd.conf |grep sae_password</t>
  </si>
  <si>
    <t>[0120] Tim: Only set pAP-&gt;SHA256Enable, but pWHM did not used.</t>
  </si>
  <si>
    <t>WEPKey</t>
  </si>
  <si>
    <t>ubus-cli WiFi.AccessPoint.{i}.Security.WEPKey=</t>
  </si>
  <si>
    <t>Test Procedure:
1.set the security mode to WEP-128
2.Set/Get WEPKey
Set Command: ubus-cli WiFi.AccessPoint.{i}.Security.WEPKey=""
Get Command: ubus-cli WiFi.AccessPoint.{i}.Security.WEPKey?
3.check hostapd config &amp;webGUI
Command: cat /tmp/wlx_hapd.conf |grep wep_key
4.STA connect to AP with new WEPKey</t>
  </si>
  <si>
    <t>cat /tmp/wl0_hapd.conf |grep wep_key</t>
  </si>
  <si>
    <t>*6G is not support WEP</t>
  </si>
  <si>
    <t>SSIDAdvertisementEnabled</t>
  </si>
  <si>
    <t>ubus-cli WiFi.AccessPoint.{i}.SSIDAdvertisementEnabled=1</t>
  </si>
  <si>
    <t>1. Get SSIDAdvertisementEnabled value
root@prplOS:/# ubus-cli WiFi.AccessPoint.? | grep SSIDAdvertisementEnabled
WiFi.AccessPoint.1.SSIDAdvertisementEnabled=1
WiFi.AccessPoint.3.SSIDAdvertisementEnabled=1
WiFi.AccessPoint.5.SSIDAdvertisementEnabled=1
2. Capture Beacon Packet and Check SSID
1=Enable "SSID not Hidden"
0=Disabled "SSID Hidden"</t>
  </si>
  <si>
    <t xml:space="preserve">root@prplOS:/# cat /tmp/wl0_hapd.conf | grep -E 'broadcast|ssid'
bssid=6C:15:DB:74:C0:B5
ssid=5G_Primary-BE
ignore_broadcast_ssid=2
ignore_broadcast_ssid=0 =&gt; "SSID not Hidden"
ignore_broadcast_ssid=2 =&gt; "SSID Hidden"
</t>
  </si>
  <si>
    <t>ubus-cli WiFi.AccessPoint.{i}.Status=Enabled</t>
  </si>
  <si>
    <t>1. Set Access Point Enable=1, Disable=0
ubus-cli WiFi.AccessPoint.{i}.Enable=1
2. Get Access Point Status
root@prplOS:/# ubus-cli WiFi.AccessPoint.? | grep .Status
WiFi.AccessPoint.1.Status="Enabled"
WiFi.AccessPoint.3.Status="Enabled"
WiFi.AccessPoint.5.Status="Enabled"</t>
  </si>
  <si>
    <t>root@prplOS:/# wl -i wl0 bss
up
root@prplOS:/# wl -i wl1 bss
up
root@prplOS:/# wl -i wl2 bss
up</t>
  </si>
  <si>
    <t>UAPSDCapability</t>
  </si>
  <si>
    <t>ubus-cli WiFi.AccessPoint.{i}.UAPSDCapability=1</t>
  </si>
  <si>
    <t>1. Get GW UAPSDCapability
root@prplOS:/# ubus-cli WiFi.AccessPoint.? | grep .UAPSDCapability
WiFi.AccessPoint.1.UAPSDCapability=1
WiFi.AccessPoint.3.UAPSDCapability=1
WiFi.AccessPoint.5.UAPSDCapability=1
2. Check Beacon packet if it include U-APSD WMM/WME
  - Beacon packet include U-APSD</t>
  </si>
  <si>
    <r>
      <t xml:space="preserve">Note: U-APSD is part of WME
root@prplOS:/# wl -i wl0 cap
ap sta wet led </t>
    </r>
    <r>
      <rPr>
        <sz val="9"/>
        <color rgb="FF0070C0"/>
        <rFont val="Calibri"/>
      </rPr>
      <t xml:space="preserve">wme </t>
    </r>
    <r>
      <rPr>
        <sz val="9"/>
        <color rgb="FF000000"/>
        <rFont val="Calibri"/>
      </rPr>
      <t xml:space="preserve">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root@prplOS:/# wl -i wl1 cap
ap sta wet led </t>
    </r>
    <r>
      <rPr>
        <sz val="9"/>
        <color rgb="FF0070C0"/>
        <rFont val="Calibri"/>
      </rPr>
      <t xml:space="preserve">wme </t>
    </r>
    <r>
      <rPr>
        <sz val="9"/>
        <color rgb="FF000000"/>
        <rFont val="Calibri"/>
      </rPr>
      <t xml:space="preserve">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wl -i wl2 cap
ap sta wet led </t>
    </r>
    <r>
      <rPr>
        <sz val="9"/>
        <color rgb="FF0070C0"/>
        <rFont val="Calibri"/>
      </rPr>
      <t xml:space="preserve">wme </t>
    </r>
    <r>
      <rPr>
        <sz val="9"/>
        <color rgb="FF000000"/>
        <rFont val="Calibri"/>
      </rPr>
      <t>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t>
    </r>
  </si>
  <si>
    <t>UAPSDEnable</t>
  </si>
  <si>
    <t>ubus-cli WiFi.AccessPoint.{i}.UAPSDEnable=0</t>
  </si>
  <si>
    <t>\\Enable/Disable UPSD
ubus-cli WiFi.AccessPoint.{i}.UAPSDEnable=
1=Enbale
0=Disable</t>
  </si>
  <si>
    <t>cat /tmp/wl0_hapd.conf |grep apsd</t>
  </si>
  <si>
    <t>WiFi.AccessPoint.{i}.VendorIEs.</t>
  </si>
  <si>
    <t>VendorIE,createVendorIE()</t>
  </si>
  <si>
    <t>ubus-cli WiFi.AccessPoint.{i}.VendorIEs.VendorIE,createVendorIE(oui:string, data:string, frame_type:string):</t>
  </si>
  <si>
    <t>WDSEnable</t>
  </si>
  <si>
    <t>ubus-cli WiFi.AccessPoint.{i}.WDSEnable=0</t>
  </si>
  <si>
    <t xml:space="preserve">1. Enable WDS 
root@prplOS:/# ubus-cli WiFi.AccessPoint.*.WDSEnable=1
&gt; WiFi.AccessPoint.*.WDSEnable=1
WiFi.AccessPoint.1.WDSEnable=1
WiFi.AccessPoint.3.WDSEnable=1
WiFi.AccessPoint.5.WDSEnable=1
root@prplOS:/# ubus-cli WiFi.AccessPoint.? | grep .WDSEnable
WiFi.AccessPoint.1.WDSEnable=1
WiFi.AccessPoint.3.WDSEnable=1
WiFi.AccessPoint.5.WDSEnable=1
2. Connect WiFi Station to GW
3. Station try to send traffic or access internet
  --&gt; As Per RD "the behavior seems the same as BRCM DWDS, sta could connect, but cannot tranmit data."
  --&gt; verified and found the behavior is the same as BRCM DWDS mentioned by RD
</t>
  </si>
  <si>
    <t>wl -i wl0 dwds
root@prplOS:/# wl -i wl0 dwds
1
root@prplOS:/# wl -i wl1 dwds
1
root@prplOS:/# wl -i wl2 dwds
1</t>
  </si>
  <si>
    <t>ARC: BRCM DWDS behavior is not match pure WDS
---
It support WDS? I try to set Access Point to WDS mode and the regular WiFi station can still connect
A radio set to pure WDS mode is intended to link only with another WDS peer (another AP), not with regular Wi-Fi clients.
A normal Wi-Fi client (STA) does not understand the 4-address frames used in WDS.</t>
  </si>
  <si>
    <t>WMMCapability</t>
  </si>
  <si>
    <t>ubus-cli WiFi.AccessPoint.{i}.WMMCapability=1</t>
  </si>
  <si>
    <t xml:space="preserve">1. Get GW WMMCapability
root@prplOS:/# ubus-cli WiFi.AccessPoint.*.WMMCapability?
&gt; WiFi.AccessPoint.*.WMMCapability?
WiFi.AccessPoint.1.WMMCapability=1
WiFi.AccessPoint.3.WMMCapability=1
WiFi.AccessPoint.5.WMMCapability=1
2. Capture Beacon Packet from GW
 -&gt; Beacon Packet include wmm ie
</t>
  </si>
  <si>
    <r>
      <t xml:space="preserve">root@prplOS:/# wl -i wl0 cap
ap sta wet led </t>
    </r>
    <r>
      <rPr>
        <sz val="9"/>
        <color rgb="FF0070C0"/>
        <rFont val="Calibri"/>
      </rPr>
      <t xml:space="preserve">wme </t>
    </r>
    <r>
      <rPr>
        <sz val="9"/>
        <color rgb="FF000000"/>
        <rFont val="Calibri"/>
      </rPr>
      <t xml:space="preserve">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root@prplOS:/# wl -i wl1 cap
ap sta wet led </t>
    </r>
    <r>
      <rPr>
        <sz val="9"/>
        <color rgb="FF0070C0"/>
        <rFont val="Calibri"/>
      </rPr>
      <t xml:space="preserve">wme </t>
    </r>
    <r>
      <rPr>
        <sz val="9"/>
        <color rgb="FF000000"/>
        <rFont val="Calibri"/>
      </rPr>
      <t xml:space="preserve">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wl -i wl2 cap
ap sta wet led </t>
    </r>
    <r>
      <rPr>
        <sz val="9"/>
        <color rgb="FF0070C0"/>
        <rFont val="Calibri"/>
      </rPr>
      <t xml:space="preserve">wme </t>
    </r>
    <r>
      <rPr>
        <sz val="9"/>
        <color rgb="FF000000"/>
        <rFont val="Calibri"/>
      </rPr>
      <t>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t>
    </r>
  </si>
  <si>
    <t>WMMEnable</t>
  </si>
  <si>
    <t>ubus-cli WiFi.AccessPoint.{i}.WMMEnable=1</t>
  </si>
  <si>
    <t>cat /tmp/wl0_hapd.conf | grep wmm_enabled</t>
  </si>
  <si>
    <t>WiFi.AccessPoint.{i}.WPS.</t>
  </si>
  <si>
    <t>WPS</t>
  </si>
  <si>
    <t>ConfigMethodsEnabled</t>
  </si>
  <si>
    <t>ubus-cli WiFi.AccessPoint.{i}.WPS.ConfigMethodsEnabled=PushButton,Label,Ethernet</t>
  </si>
  <si>
    <t xml:space="preserve">1. Get WPS ConfigMethodsEnabled
root@prplOS:/# ubus-cli WiFi.AccessPoint.? |grep .WPS.ConfigMethodsEnabled
WiFi.AccessPoint.1.WPS.ConfigMethodsEnabled="PhysicalPushButton,VirtualPushButton"
WiFi.AccessPoint.3.WPS.ConfigMethodsEnabled="PhysicalPushButton,VirtualPushButton"
WiFi.AccessPoint.5.WPS.ConfigMethodsEnabled="PhysicalPushButton,VirtualPushButton"
</t>
  </si>
  <si>
    <t>cat /tmp/wl0_hapd.conf |grep config_methods
root@prplOS:/# cat /tmp/wl0_hapd.conf |grep config_methods
config_methods=physical_push_button virtual_push_button
root@prplOS:/# cat /tmp/wl1_hapd.conf |grep config_methods
root@prplOS:/# cat /tmp/wl2_hapd.conf |grep config_methods
config_methods=physical_push_button virtual_push_button</t>
  </si>
  <si>
    <t>[0320] Tim: 6G change to Not Supported because BRCM's latest test report is Not Supported
[0130]Tracy: WPA3 not support WPS, config_methods won’t be set
--
I think API for 6GHz should not support WPS because it does not support wpa and wpa2</t>
  </si>
  <si>
    <t>ConfigMethodsSupported</t>
  </si>
  <si>
    <t>ubus-cli WiFi.AccessPoint.{i}.WPS.ConfigMethodsSupported=Ethernet,Label,Display,PushButton,Keypad,PIN</t>
  </si>
  <si>
    <t>cat /tmp/wl0_hapd.conf |grep config_methods</t>
  </si>
  <si>
    <t>Configured</t>
  </si>
  <si>
    <t>ubus-cli WiFi.AccessPoint.{i}.WPS.Configured=1</t>
  </si>
  <si>
    <t xml:space="preserve">
1. Get WPS Configured state
root@prplOS:/# ubus-cli WiFi.AccessPoint.*.WPS.Configured ?
&gt; WiFi.AccessPoint.*.WPS.Configured ?
WiFi.AccessPoint.1.WPS.Configured=1
WiFi.AccessPoint.3.WPS.Configured=1
WiFi.AccessPoint.5.WPS.Configured=1
wps_state	Meaning (hostapd / WPS spec)
0	WPS disabled
1	Unconfigured (no credentials set via WPS yet)
2	Configured (credentials already set)</t>
  </si>
  <si>
    <t xml:space="preserve">
root@prplOS:/# cat /tmp/wl0_hapd.conf |grep wps_state
wps_state=2
root@prplOS:/# cat /tmp/wl1_hapd.conf |grep wps_state
wps_state=0
root@prplOS:/# cat /tmp/wl2_hapd.conf |grep wps_state
wps_state=2</t>
  </si>
  <si>
    <t xml:space="preserve">Note: WPS was tested in 5G 11ac and 2G 11n because no wif7 card support WPS
 -  6GHz do not support WPS.
</t>
  </si>
  <si>
    <t>ubus-cli WiFi.AccessPoint.{i}.WPS.Enable=1</t>
  </si>
  <si>
    <t xml:space="preserve">1. Set GW WPS to Enable
root@prplOS:/# ubus-cli WiFi.AccessPoint.1.WPS.Enable=1
&gt; WiFi.AccessPoint.1.WPS.Enable=1
WiFi.AccessPoint.1.WPS.
WiFi.AccessPoint.1.WPS.Enable=1
root@prplOS:/# ubus-cli WiFi.AccessPoint.3.WPS.Enable=1
&gt; WiFi.AccessPoint.3.WPS.Enable=1
WiFi.AccessPoint.3.WPS.
WiFi.AccessPoint.3.WPS.Enable=1
root@prplOS:/# ubus-cli WiFi.AccessPoint.5.WPS.Enable=1
&gt; WiFi.AccessPoint.5.WPS.Enable=1
WiFi.AccessPoint.5.WPS.
WiFi.AccessPoint.5.WPS.Enable=1
2. Verify GW WPS Setting
root@prplOS:/# ubus-cli WiFi.AccessPoint.? | grep .WPS.Enable=
WiFi.AccessPoint.1.WPS.Enable=1
WiFi.AccessPoint.3.WPS.Enable=1
WiFi.AccessPoint.5.WPS.Enable=1
</t>
  </si>
  <si>
    <t>cat /tmp/wl0_hapd.conf |grep wps_state
root@prplOS:/# cat /tmp/wl0_hapd.conf |grep wps_state
wps_state=0
wps_state=2
root@prplOS:/# cat /tmp/wl2_hapd.conf |grep wps_state
wps_state=0
wps_state=2
root@prplOS:/# cat /tmp/wl1_hapd.conf |grep wps_state
wps_state=0
wps_state=0
root@prplOS:/#</t>
  </si>
  <si>
    <t>[0123]Tracy: 
WPA3-Personal:
wps_state is always set to 0.
WEP:
If WiFi.AccessPoint.{i}.WPS.Configured = 0, wps_state is set to 1
Other modes (WPA / OWE / None):
If WiFi.AccessPoint.{i}.WPS.Enable = 1 and
WiFi.AccessPoint.{i}.WPS.Configured = 0,
wps_state is set to 1, Otherwise, wps_state is set to 2 
--
5G Primary and 2.4G Primary state shows "0" in "cat /tmp/wlx_hapd.conf after enable WPS using ubus-command.</t>
  </si>
  <si>
    <t>PairingInProgress</t>
  </si>
  <si>
    <t>ubus-cli WiFi.AccessPoint.{i}.WPS.PairingInProgress=0</t>
  </si>
  <si>
    <t xml:space="preserve">1. Initiate WPS pairing between GW and Station 
root@prplOS:/# ubus-cli -a "WiFi.AccessPoint.1.WPS.InitiateWPSPBC()"
&gt; WiFi.AccessPoint.1.WPS.InitiateWPSPBC()
WiFi.AccessPoint.1.WPS.InitiateWPSPBC() returned
[
    {
        Status = "Success"
    }
]
2. Check WPS Pairing progress 
root@prplOS:/# ubus-cli WiFi.AccessPoint.? | grep .WPS.PairingInProgress
WiFi.AccessPoint.1.WPS.PairingInProgress=1
</t>
  </si>
  <si>
    <t xml:space="preserve">root@prplOS:/# hostapd_cli -i wl0 wps_get_status
PBC Status: Active 
Last WPS result: None
</t>
  </si>
  <si>
    <t>Not supported</t>
  </si>
  <si>
    <t>Note: WPS pairing are tested using 11n station</t>
  </si>
  <si>
    <t>RelayCredentialsEnable</t>
  </si>
  <si>
    <t>ubus-cli WiFi.AccessPoint.{i}.WPS.RelayCredentialsEnable=0</t>
  </si>
  <si>
    <t>cat /tmp/wl0_hapd.conf |grep wps_cred_processing</t>
  </si>
  <si>
    <t>SelfPIN</t>
  </si>
  <si>
    <t>ubus-cli WiFi.AccessPoint.{i}.WPS.SelfPIN=81898336</t>
  </si>
  <si>
    <t>cat /tmp/wl0_hapd.conf |grep ap_pin</t>
  </si>
  <si>
    <t>Could not find wifi card support WPS PIN</t>
  </si>
  <si>
    <t>UUID</t>
  </si>
  <si>
    <t>ubus-cli WiFi.AccessPoint.{i}.WPS.UUID=39383432-3635-f244-f046-453039383432</t>
  </si>
  <si>
    <t xml:space="preserve"> 1. Get GW WPS UUID
 root@prplOS:/# ubus-cli WiFi.AccessPoint.? | grep .WPS.UUID
WiFi.AccessPoint.1.WPS.UUID="4b58464a-5957-fc49-f845-57454b58464a"
WiFi.AccessPoint.3.WPS.UUID="4b58464a-5957-fc49-f845-57454b58464a"
WiFi.AccessPoint.5.WPS.UUID="4b58464a-5957-fc49-f845-57454b58464a"
2. Pair Station to GW via WPS.
3. Verify UUID in EAP message
 - check in EAP -&gt; Expanded Type (WSC) -&gt; UUID</t>
  </si>
  <si>
    <t xml:space="preserve">cat /tmp/wl0_hapd.conf |grep uuid
root@prplOS:/# cat /tmp/wl0_hapd.conf |grep uuid
uuid=4b58464a-5957-fc49-f845-57454b58464a
root@prplOS:/# cat /tmp/wl1_hapd.conf |grep uuid
root@prplOS:/# cat /tmp/wl2_hapd.conf |grep uuid
uuid=4b58464a-5957-fc49-f845-57454b58464a
</t>
  </si>
  <si>
    <t xml:space="preserve"> 6G don't support WPS </t>
  </si>
  <si>
    <t>Statistics</t>
  </si>
  <si>
    <t xml:space="preserve">getStationStats() </t>
  </si>
  <si>
    <t xml:space="preserve">ubus-cli WiFi.AccessPoint.{i}.getStationStats() </t>
  </si>
  <si>
    <t>1. Connect WiFi station to GW
2. Get Station Stats
root@prplOS:/# ubus-cli "WiFi.AccessPoint.*.getStationStats()"
&gt; WiFi.AccessPoint.*.getStationStats()
WiFi.AccessPoint.3.getStationStats() returned
[
    [
        {
            Active = 1,
            ActiveNumberOfAffiliatedSta = 1,
            AffiliatedSta = [
                {
                    APName = "DEFAULT_WL1_1",
                    Active = 1,
                    BSSID = "64:75:DA:4E:51:76",
                    BytesReceived = 0,
                    BytesSent = 0,
                    DownlinkRateSpec = "unk_0_0_0_0",
                    ErrorsSent = 0,
                    FrequencyBand = "6GHz",
                    LastDataDownlinkRate = 4803897,
                    LastDataUplinkRate = 4803897,
                    LinkID = 4294967295,
                    MACAddress = "38:06:E6:92:B0:4A",
                    ObjectIndex = 1,
                    PacketsReceived = 0,
                    PacketsSent = 0,
                    SignalStrength = 0,
                    UplinkRateSpec = "unk_0_0_0_0"
                }
            ],
            AssociationTime = "2025-12-26T08:24:03Z",
            AuthenticationState = 1,
            AvgSignalStrength = 0,
            AvgSignalStrengthByChain = -41,
            Capabilities = "BTM,QOS_MAP,PMF",
            ChargeableUserId = "",
            ConnectionDuration = 4756,
            DevicePriority = 1,
            DeviceType = "Data",
            DisassociationTime = "2025-12-26T08:23:16Z",
            DownlinkBandwidth = 160,
            DownlinkMCS = 0,
            DownlinkRateSpec = "leg_0_160_1_0",
            DownlinkShortGuard = 0,
            EhtCapabilities = "320MHZ,SU-BFR,SU-BFE",
            EncryptionMode = "Default",
            FrequencyCapabilities = "6GHz",
            HeCapabilities = "SU-BFR,SU&amp;MU-BFE",
            HtCapabilities = "",
            Inactive = 2,
            LastDataDownlinkRate = 4082500,
            LastDataUplinkRate = 4322600,
            LastStateChange = "2025-12-26T08:24:03Z",
            LinkBandwidth = "160MHz",
            MACAddress = "38:06:E6:92:B0:4A",
            MLOMode = "NotApplicable",
            MUGroupId = 0,
            MUMimoTxPktsCount = 0,
            MUMimoTxPktsPercentage = 0,
            MUUserPositionId = 0,
            MaxBandwidthSupported = "Unknown",
            MaxDownlinkRateReached = 4322600,
            MaxDownlinkRateSupported = 4803897,
            MaxRxSpatialStreamsSupported = 4,
            MaxTxSpatialStreamsSupported = 4,
            MaxUplinkRateReached = 4803800,
            MaxUplinkRateSupported = 4803897,
            MultipleRetryCount = 0,
            Noise = 0,
            NoiseByChain = "",
            ObjectIndex = 1,
            OperatingStandard = "be",
            PowerSave = 0,
            Retransmissions = 0,
            RetryCount = 0,
            RrmCapabilities = "",
            RrmOffChannelMaxDuration = 0,
            RrmOnChannelMaxDuration = 0,
            RxBytes = 228094,
            RxErrors = 0,
            RxMulticastPacketCount = 0,
            RxPacketCount = 1188,
            RxSupportedHe160MCS = "11,11,11,11",
            RxSupportedHe80x80MCS = "",
            RxSupportedHeMCS = "11,11,11,11",
            RxSupportedVhtMCS = "",
            RxUnicastPacketCount = 0,
            Rx_Retransmissions = 0,
            Rx_RetransmissionsFailed = 0,
            SecurityModeEnabled = "WPA3-Personal",
            SignalNoiseRatio = 0,
            SignalStrength = -41,
            SignalStrengthByChain = "-41.0",
            SignalStrengthHistory = "-41,-40,-40,-41",
            SupportedHtMCS = "",
            SupportedMCS = "",
            TxBytes = 110788,
            TxErrors = 11,
            TxMulticastPacketCount = 0,
            TxPacketCount = 416,
            TxSupportedHe160MCS = "11,11,11,11",
            TxSupportedHe80x80MCS = "",
            TxSupportedHeMCS = "11,11,11,11",
            TxSupportedVhtMCS = "",
            TxUnicastPacketCount = 0,
            Tx_Retransmissions = 0,
            Tx_RetransmissionsFailed = 0,
            UNIIBandsCapabilities = "U-NII-5,U-NII-6,U-NII-7,U-NII-8",
            UplinkBandwidth = 160,
            UplinkMCS = 0,
            UplinkRateSpec = "leg_0_160_1_0",
            UplinkShortGuard = 0,
            VendorCapabilities = "",
            VendorOUI = "00:10:18,00:50:F2,00:90:4C",
            VhtCapabilities = ""
        }
    ]
]
WiFi.AccessPoint.4.getStationStats() returned
[
    [
    ]
]
WiFi.AccessPoint.5.getStationStats() returned
[
    [
        {
            Active = 1,
            ActiveNumberOfAffiliatedSta = 0,
            AffiliatedSta = [
            ],
            AssociationTime = "2025-12-26T08:54:41Z",
            AuthenticationState = 1,
            AvgSignalStrength = 0,
            AvgSignalStrengthByChain = -23,
            Capabilities = "BTM,QOS_MAP,PMF",
            ChargeableUserId = "",
            ConnectionDuration = 2919,
            DevicePriority = 1,
            DeviceType = "Data",
            DisassociationTime = "0001-01-01T00:00:00Z",
            DownlinkBandwidth = 20,
            DownlinkMCS = 0,
            DownlinkRateSpec = "leg_0_20_1_0",
            DownlinkShortGuard = 0,
            EhtCapabilities = "SU-BFR,SU-BFE",
            EncryptionMode = "Default",
            FrequencyCapabilities = "2.4GHz",
            HeCapabilities = "SU-BFR,SU&amp;MU-BFE",
            HtCapabilities = "40MHz,SGI20,SGI40",
            Inactive = 9,
            LastDataDownlinkRate = 433300,
            LastDataUplinkRate = 458800,
            LastStateChange = "2025-12-26T08:54:41Z",
            LinkBandwidth = "20MHz",
            MACAddress = "34:19:4D:A4:B4:33",
            MLOMode = "NotApplicable",
            MUGroupId = 0,
            MUMimoTxPktsCount = 0,
            MUMimoTxPktsPercentage = 0,
            MUUserPositionId = 0,
            MaxBandwidthSupported = "40MHz",
            MaxDownlinkRateReached = 649900,
            MaxDownlinkRateSupported = 600000,
            MaxRxSpatialStreamsSupported = 4,
            MaxTxSpatialStreamsSupported = 4,
            MaxUplinkRateReached = 458800,
            MaxUplinkRateSupported = 600000,
            MultipleRetryCount = 0,
            Noise = 0,
            NoiseByChain = "",
            ObjectIndex = 1,
            OperatingStandard = "n",
            PowerSave = 0,
            Retransmissions = 0,
            RetryCount = 0,
            RrmCapabilities = "",
            RrmOffChannelMaxDuration = 0,
            RrmOnChannelMaxDuration = 0,
            RxBytes = 49371,
            RxErrors = 0,
            RxMulticastPacketCount = 0,
            RxPacketCount = 330,
            RxSupportedHe160MCS = "",
            RxSupportedHe80x80MCS = "",
            RxSupportedHeMCS = "",
            RxSupportedVhtMCS = "",
            RxUnicastPacketCount = 0,
            Rx_Retransmissions = 0,
            Rx_RetransmissionsFailed = 0,
            SecurityModeEnabled = "WPA3-Personal",
            SignalNoiseRatio = 0,
            SignalStrength = -23,
            SignalStrengthByChain = "-23.0",
            SignalStrengthHistory = "-79,-22,-24,-24",
            SupportedHtMCS = "0,1,2,3,4,5,6,7,8,9,10,11,12,13,14,15,16,17,18,19,20,21,22,23,24,25,26,27,28,29,30,31",
            SupportedMCS = "",
            TxBytes = 3008,
            TxErrors = 0,
            TxMulticastPacketCount = 0,
            TxPacketCount = 109,
            TxSupportedHe160MCS = "",
            TxSupportedHe80x80MCS = "",
            TxSupportedHeMCS = "",
            TxSupportedVhtMCS = "",
            TxUnicastPacketCount = 0,
            Tx_Retransmissions = 0,
            Tx_RetransmissionsFailed = 0,
            UNIIBandsCapabilities = "Unknown",
            UplinkBandwidth = 20,
            UplinkMCS = 0,
            UplinkRateSpec = "leg_0_20_1_0",
            UplinkShortGuard = 0,
            VendorCapabilities = "",
            VendorOUI = "00:90:4C,00:10:18,00:50:F2",
            VhtCapabilities = ""
        },
        {
            Active = 1,
            ActiveNumberOfAffiliatedSta = 0,
            AffiliatedSta = [
            ],
            AssociationTime = "2025-12-26T09:28:04Z",
            AuthenticationState = 1,
            AvgSignalStrength = 0,
            AvgSignalStrengthByChain = -40,
            Capabilities = "RRM,BTM,PMF",
            ChargeableUserId = "",
            ConnectionDuration = 914,
            DevicePriority = 1,
            DeviceType = "Data",
            DisassociationTime = "0001-01-01T00:00:00Z",
            DownlinkBandwidth = 20,
            DownlinkMCS = 0,
            DownlinkRateSpec = "leg_0_20_1_0",
            DownlinkShortGuard = 0,
            EhtCapabilities = "SU-BFE",
            EncryptionMode = "Default",
            FrequencyCapabilities = "2.4GHz,5GHz,6GHz",
            HeCapabilities = "SU&amp;MU-BFE",
            HtCapabilities = "SGI20,40MHz-INTOL",
            Inactive = 3,
            LastDataDownlinkRate = 229400,
            LastDataUplinkRate = 206500,
            LastStateChange = "2025-12-26T09:28:04Z",
            LinkBandwidth = "20MHz",
            MACAddress = "E6:52:AF:E9:4E:08",
            MLOMode = "NotApplicable",
            MUGroupId = 0,
            MUMimoTxPktsCount = 0,
            MUMimoTxPktsPercentage = 0,
            MUUserPositionId = 0,
            MaxBandwidthSupported = "20MHz",
            MaxDownlinkRateReached = 229400,
            MaxDownlinkRateSupported = 144444,
            MaxRxSpatialStreamsSupported = 2,
            MaxTxSpatialStreamsSupported = 2,
            MaxUplinkRateReached = 229400,
            MaxUplinkRateSupported = 229400,
            MultipleRetryCount = 0,
            Noise = 0,
            NoiseByChain = "",
            ObjectIndex = 2,
            OperatingStandard = "n",
            PowerSave = 0,
            Retransmissions = 0,
            RetryCount = 0,
            RrmCapabilities = "NEIGHBOR,BEACON_TABLE",
            RrmOffChannelMaxDuration = 0,
            RrmOnChannelMaxDuration = 0,
            RxBytes = 556660,
            RxErrors = 0,
            RxMulticastPacketCount = 0,
            RxPacketCount = 2685,
            RxSupportedHe160MCS = "",
            RxSupportedHe80x80MCS = "",
            RxSupportedHeMCS = "",
            RxSupportedVhtMCS = "",
            RxUnicastPacketCount = 0,
            Rx_Retransmissions = 0,
            Rx_RetransmissionsFailed = 0,
            SecurityModeEnabled = "WPA3-Personal",
            SignalNoiseRatio = 0,
            SignalStrength = -41,
            SignalStrengthByChain = "-40.0",
            SignalStrengthHistory = "-67,-39,-43,-43",
            SupportedHtMCS = "0,1,2,3,4,5,6,7,8,9,10,11,12,13,14,15",
            SupportedMCS = "",
            TxBytes = 5668861,
            TxErrors = 9,
            TxMulticastPacketCount = 0,
            TxPacketCount = 2720,
            TxSupportedHe160MCS = "",
            TxSupportedHe80x80MCS = "",
            TxSupportedHeMCS = "",
            TxSupportedVhtMCS = "",
            TxUnicastPacketCount = 0,
            Tx_Retransmissions = 0,
            Tx_RetransmissionsFailed = 0,
            UNIIBandsCapabilities = "Unknown,U-NII-1,U-NII-2A,U-NII-2C,U-NII-3,U-NII-4,U-NII-5,U-NII-6,U-NII-7,U-NII-8",
            UplinkBandwidth = 20,
            UplinkMCS = 0,
            UplinkRateSpec = "leg_0_20_1_0",
            UplinkShortGuard = 0,
            VendorCapabilities = "",
            VendorOUI = "00:17:F2,00:50:F2",
            VhtCapabilities = ""
        }
    ]
]
WiFi.AccessPoint.6.getStationStats() returned
[
    [
    ]
]
WiFi.AccessPoint.1.getStationStats() returned
[
    [
        {
            Active = 0,
            ActiveNumberOfAffiliatedSta = 0,
            AffiliatedSta = [
            ],
            AssociationTime = "2025-12-26T08:34:03Z",
            AuthenticationState = 0,
            AvgSignalStrength = 0,
            AvgSignalStrengthByChain = -59,
            Capabilities = "RRM,BTM,PMF",
            ChargeableUserId = "",
            ConnectionDuration = 1749,
            DevicePriority = 1,
            DeviceType = "Data",
            DisassociationTime = "2025-12-26T09:03:12Z",
            DownlinkBandwidth = 160,
            DownlinkMCS = 0,
            DownlinkRateSpec = "leg_0_160_1_0",
            DownlinkShortGuard = 0,
            EhtCapabilities = "SU-BFE",
            EncryptionMode = "Default",
            FrequencyCapabilities = "2.4GHz,5GHz,6GHz",
            HeCapabilities = "SU&amp;MU-BFE",
            HtCapabilities = "40MHz,SGI20,SGI40",
            Inactive = 0,
            LastDataDownlinkRate = 1921500,
            LastDataUplinkRate = 1297100,
            LastStateChange = "2025-12-26T09:03:12Z",
            LinkBandwidth = "160MHz",
            MACAddress = "4A:0A:A5:80:23:7B",
            MLOMode = "NotApplicable",
            MUGroupId = 0,
            MUMimoTxPktsCount = 0,
            MUMimoTxPktsPercentage = 0,
            MUUserPositionId = 0,
            MaxBandwidthSupported = "160MHz",
            MaxDownlinkRateReached = 2401900,
            MaxDownlinkRateSupported = 2401911,
            MaxRxSpatialStreamsSupported = 2,
            MaxTxSpatialStreamsSupported = 2,
            MaxUplinkRateReached = 2161300,
            MaxUplinkRateSupported = 2401911,
            MultipleRetryCount = 0,
            Noise = 0,
            NoiseByChain = "",
            ObjectIndex = 1,
            OperatingStandard = "be",
            PowerSave = 0,
            Retransmissions = 0,
            RetryCount = 0,
            RrmCapabilities = "LINK,NEIGHBOR,BEACON_TABLE,STATS,AP_CHANNEL",
            RrmOffChannelMaxDuration = 0,
            RrmOnChannelMaxDuration = 0,
            RxBytes = 202619,
            RxErrors = 0,
            RxMulticastPacketCount = 0,
            RxPacketCount = 1103,
            RxSupportedHe160MCS = "11,11",
            RxSupportedHe80x80MCS = "",
            RxSupportedHeMCS = "11,11",
            RxSupportedVhtMCS = "9,9",
            RxUnicastPacketCount = 0,
            Rx_Retransmissions = 0,
            Rx_RetransmissionsFailed = 0,
            SecurityModeEnabled = "WPA3-Personal",
            SignalNoiseRatio = 0,
            SignalStrength = 0,
            SignalStrengthByChain = "",
            SignalStrengthHistory = "-60,0,-22,0",
            SupportedHtMCS = "0,1,2,3,4,5,6,7,8,9,10,11,12,13,14,15",
            SupportedMCS = "",
            TxBytes = 261706,
            TxErrors = 0,
            TxMulticastPacketCount = 0,
            TxPacketCount = 373,
            TxSupportedHe160MCS = "11,11",
            TxSupportedHe80x80MCS = "",
            TxSupportedHeMCS = "11,11",
            TxSupportedVhtMCS = "9,9",
            TxUnicastPacketCount = 0,
            Tx_Retransmissions = 0,
            Tx_RetransmissionsFailed = 0,
            UNIIBandsCapabilities = "U-NII-1,U-NII-2A,U-NII-2C,U-NII-3,U-NII-4,U-NII-5,U-NII-6,U-NII-7,U-NII-8",
            UplinkBandwidth = 160,
            UplinkMCS = 0,
            UplinkRateSpec = "leg_0_160_1_0",
            UplinkShortGuard = 0,
            VendorCapabilities = "",
            VendorOUI = "00:17:F2,00:90:4C,00:10:18,00:50:F2",
            VhtCapabilities = "SGI80,SGI160,SU-BFE"
        },
        {
            Active = 1,
            ActiveNumberOfAffiliatedSta = 0,
            AffiliatedSta = [
            ],
            AssociationTime = "2025-12-26T08:58:35Z",
            AuthenticationState = 1,
            AvgSignalStrength = 0,
            AvgSignalStrengthByChain = -28,
            Capabilities = "BTM,QOS_MAP,PMF",
            ChargeableUserId = "",
            ConnectionDuration = 2686,
            DevicePriority = 1,
            DeviceType = "Data",
            DisassociationTime = "0001-01-01T00:00:00Z",
            DownlinkBandwidth = 80,
            DownlinkMCS = 0,
            DownlinkRateSpec = "leg_0_80_1_0",
            DownlinkShortGuard = 0,
            EhtCapabilities = "SU-BFR,SU-BFE",
            EncryptionMode = "Default",
            FrequencyCapabilities = "5GHz",
            HeCapabilities = "SU-BFR,SU&amp;MU-BFE",
            HtCapabilities = "40MHz,SGI20,SGI40",
            Inactive = 1,
            LastDataDownlinkRate = 1921500,
            LastDataUplinkRate = 2268500,
            LastStateChange = "2025-12-26T08:58:35Z",
            LinkBandwidth = "80MHz",
            MACAddress = "34:19:4D:A4:B5:09",
            MLOMode = "NotApplicable",
            MUGroupId = 0,
            MUMimoTxPktsCount = 0,
            MUMimoTxPktsPercentage = 0,
            MUUserPositionId = 0,
            MaxBandwidthSupported = "160MHz",
            MaxDownlinkRateReached = 2722200,
            MaxDownlinkRateSupported = 4803897,
            MaxRxSpatialStreamsSupported = 4,
            MaxTxSpatialStreamsSupported = 4,
            MaxUplinkRateReached = 2449500,
            MaxUplinkRateSupported = 4803897,
            MultipleRetryCount = 0,
            Noise = 0,
            NoiseByChain = "",
            ObjectIndex = 2,
            OperatingStandard = "be",
            PowerSave = 0,
            Retransmissions = 0,
            RetryCount = 0,
            RrmCapabilities = "",
            RrmOffChannelMaxDuration = 0,
            RrmOnChannelMaxDuration = 0,
            RxBytes = 288992,
            RxErrors = 0,
            RxMulticastPacketCount = 0,
            RxPacketCount = 1223,
            RxSupportedHe160MCS = "11,11,11,11",
            RxSupportedHe80x80MCS = "",
            RxSupportedHeMCS = "11,11,11,11",
            RxSupportedVhtMCS = "9,9,9,9",
            RxUnicastPacketCount = 0,
            Rx_Retransmissions = 0,
            Rx_RetransmissionsFailed = 0,
            SecurityModeEnabled = "WPA3-Personal",
            SignalNoiseRatio = 0,
            SignalStrength = -32,
            SignalStrengthByChain = "-28.0",
            SignalStrengthHistory = "-33,-31,-31,-32",
            SupportedHtMCS = "0,1,2,3,4,5,6,7,8,9,10,11,12,13,14,15,16,17,18,19,20,21,22,23,24,25,26,27,28,29,30,31",
            SupportedMCS = "",
            TxBytes = 2696,
            TxErrors = 0,
            TxMulticastPacketCount = 0,
            TxPacketCount = 59,
            TxSupportedHe160MCS = "11,11,11,11",
            TxSupportedHe80x80MCS = "",
            TxSupportedHeMCS = "11,11,11,11",
            TxSupportedVhtMCS = "9,9,9,9",
            TxUnicastPacketCount = 0,
            Tx_Retransmissions = 0,
            Tx_RetransmissionsFailed = 0,
            UNIIBandsCapabilities = "U-NII-1,U-NII-2A,U-NII-2C,U-NII-3,U-NII-4",
            UplinkBandwidth = 80,
            UplinkMCS = 0,
            UplinkRateSpec = "leg_0_80_1_0",
            UplinkShortGuard = 0,
            VendorCapabilities = "",
            VendorOUI = "00:90:4C,00:10:18,00:50:F2",
            VhtCapabilities = "SGI80,SGI160,SU-BFR,SU-BFE,MU-BFR,MU-BFE"
        }
    ]
]
WiFi.AccessPoint.2.getStationStats() returned
[
    [
    ]
]
root@prplOS:/#</t>
  </si>
  <si>
    <t>root@prplOS:/# hostapd_cli -i wl0 STA 34:19:4D:A4:B5:09
34:19:4d:a4:b5:09
flags=[AUTH][ASSOC][AUTHORIZED][WMM][MFP][HT]
aid=2
capability=0x0
listen_interval=0
supported_rates=8c 12 18 24 b0 48 60 6c
timeout_next=NULLFUNC POLL
dot11RSNAStatsSTAAddress=34:19:4d:a4:b5:09
dot11RSNAStatsVersion=1
dot11RSNAStatsSelectedPairwiseCipher=00-0f-ac-4
dot11RSNAStatsTKIPLocalMICFailures=0
dot11RSNAStatsTKIPRemoteMICFailures=0
wpa=2
AKMSuiteSelector=00-0f-ac-8
hostapdWPAPTKState=11
hostapdWPAPTKGroupState=0
rx_packets=1285
tx_packets=61
rx_bytes=300069
tx_bytes=2768
inactive_msec=1000
signal=-31
rx_rate_info=21613
tx_rate_info=19215
ht_mcs_bitmask=ffffffff000000000000
connected_time=2822
sae_group=19
sae_pk=0
sae_rejected_groups=
supp_op_classes=810102030405161718191b1c1d1e737475767778797a7b7c7d7e7f8081
min_txpower=-7
max_txpower=18
ht_caps_info=0x09ef
ext_capab=0000088001004040000020
root@prplOS:/# wl -i wl0 sta_info wl -i wl0 sta_info
 ERROR: no valid ether addr provided
sta_info
        wl sta_info &lt;xx:xx:xx:xx:xx:xx&gt;
or      wl sta_info all
root@prplOS:/# wl -i wl0 sta_info 34:19:4D:A4:B5:09
[VER 8] STA 34:19:4D:A4:B5:09:
         chanspec 128/80 (0xe37a)
         aid:17
         rateset [ 6 9 12 18 24 36 48 54 ]
         idle 2 seconds
         in network 2888 seconds
         state: AUTHENTICATED ASSOCIATED AUTHORIZED
         connection: SECURED
         auth: WPA3-SAE-PSK
         crypto: AES_CCM
         flags 0x40d1e03b: BRCM WME N_CAP VHT_CAP HE_CAP AMPDU AMSDU GBL_RCLASS EHT_CAP
         flags2 0x0:
         HT caps 0x9ef: LDPC 40MHz SGI20 SGI40 STBC-Tx STBC-Rx
         VHT caps 0xff: LDPC SGI80 SGI160 STBC-Tx STBC-Rx SU-BFR SU-BFE MU-BFR
         HE caps 0xc6639: LDPC HE-HTC SU-BFR SU&amp;MU-BFE
         OMI 0x3283: 80Mhz rx=4ss tx=4ss ER_SU_DISABLE
         EHT caps 0x105: SU-BFR SU&amp;MU-BFE
         tx total pkts: 61
         tx total bytes: 2768
         tx ucast pkts: 61
         tx ucast bytes: 2768
         tx mcast/bcast pkts: 0
         tx mcast/bcast bytes: 0
         tx failures: 0
         rx data pkts: 1306
         rx data bytes: 303663
         rx data dur: 0
         rx ucast pkts: 104
         rx ucast bytes: 14293
         rx mcast/bcast pkts: 1202
         rx mcast/bcast bytes: 289370
         rate of last tx pkt: 1921540 kbps - 1088880 kbps
         rate of last rx pkt: 2161760 kbps
         median tx rate: 0 kbps
         median rx rate: 0 kbps
         rx decrypt succeeds: 1299
         rx decrypt failures: 0
         tx data pkts retried: 0
         per antenna rssi of last rx data frame: -32 -31 -28 -36
         per antenna average rssi of rx data frames: -32 -31 -28 -36
         per antenna noise floor: -93 -94 -93 -93
         tx total pkts sent: 61
         tx pkts retries: 27
         tx pkts retry exhausted: 0
         rx total pkts retried: 130
         tx acked pkts: 61
MCS SET : [ 0 1 2 3 4 5 6 7 8 9 10 11 12 13 14 15 16 17 18 19 20 21 22 23 24 25 26 27 28 29 30 31 ]
VHT SET : 0x1 1x1 2x1 3x1 4x1 5x1 6x1 7x1 8x1 9x1 10x1 11x1
        : 0x2 1x2 2x2 3x2 4x2 5x2 6x2 7x2 8x2 9x2 10x2 11x2
        : 0x3 1x3 2x3 3x3 4x3 5x3 6x3 7x3 8x3 9x3 10x3 11x3
        : 0x4 1x4 2x4 3x4 4x4 5x4 6x4 7x4 8x4 9x4 10x4 11x4
HE SET  :
            20/40/80 MHz:
                NSS1 Tx: 0-11        Rx: 0-11
                NSS2 Tx: 0-11        Rx: 0-11
                NSS3 Tx: 0-11        Rx: 0-11
                NSS4 Tx: 0-11        Rx: 0-11
            160 MHz:
                NSS1 Tx: 0-11        Rx: 0-11
                NSS2 Tx: 0-11        Rx: 0-11
                NSS3 Tx: 0-11        Rx: 0-11
                NSS4 Tx: 0-11        Rx: 0-11
EHT SET  :
            20/40/80 MHz:
                NSS1 Tx: 0-13        Rx: 0-13
                NSS2 Tx: 0-13        Rx: 0-13
                NSS3 Tx: 0-13        Rx: 0-13
                NSS4 Tx: 0-13        Rx: 0-13
            160 MHz:
                NSS1 Tx: 0-13        Rx: 0-13
                NSS2 Tx: 0-13        Rx: 0-13
                NSS3 Tx: 0-13        Rx: 0-13
                NSS4 Tx: 0-13        Rx: 0-13
smoothed rssi: -28
tx nrate
eht mcs 9 Nss 4 Tx Exp 0 bw80 ldpc 2xLTF GI 0.8us auto
rx nrate
eht mcs 10 Nss 4 Tx Exp 0 bw80 ldpc 2xLTF GI 0.8us auto
wnm
0x1:  BSS-Transition
VENDOR OUI VALUE[0] 00:90:4C
VENDOR OUI VALUE[1] 00:10:18
VENDOR OUI VALUE[2] 00:50:F2
link bandwidth = 80 MHZ
Max Rate = 2401 Mbps
RRM capability = 0x0
Frequency Bands Supported: 5G
eml capabilities : 0x0
root@prplOS:/#</t>
  </si>
  <si>
    <t>ubus-cli WiFi.AccessPoint.{i}.getStationStats() Active                       : 0,</t>
  </si>
  <si>
    <t>1. Connect WiFi Station to GW.
2. Verify connected Station state 
root@prplOS:/#  ubus-cli "WiFi.AccessPoint.*.getStationStats()" | grep -E 'Activ
e|MAC'
            Active = 1,
            MACAddress = "e6:60:17:eb:a9:86",  
            Active = 1,
             MACAddress = "38:06:e6:92:b0:4a",
            Active = 1,
            MACAddress = "34:19:4d:a4:b4:33",</t>
  </si>
  <si>
    <t>root@prplOS:/# wl -i wl0 sta_info e6:60:17:eb:a9:86 | grep state
         state: AUTHENTICATED ASSOCIATED AUTHORIZED
root@prplOS:/# wl -i wl1 sta_info 38:06:e6:92:b0:4a | grep state
         state: AUTHENTICATED ASSOCIATED AUTHORIZED
root@prplOS:/# wl -i wl2 sta_info 34:19:4d:a4:b4:33 |grep state
         state: AUTHENTICATED ASSOCIATED AUTHORIZED</t>
  </si>
  <si>
    <t>ubus-cli WiFi.AccessPoint.{i}.getStationStats() AssociationTime              : 2021-06-11T06:54:25Z,</t>
  </si>
  <si>
    <t xml:space="preserve">1. Connect WiFi Station to GW.
2. Verify connected Station AssociationTime 
root@prplOS:/# ubus-cli "WiFi.AccessPoint.*.getStationStats()" | grep -E 'AssociationTime| AuthenticationState|MACAddress'
            AssociationTime = "2025-12-26T09:28:04Z",
            AuthenticationState = 1,
            MACAddress = "E6:52:AF:E9:4E:08"
</t>
  </si>
  <si>
    <t>root@prplOS:/# date
Fri Dec 26 09:28:21 UTC 2025</t>
  </si>
  <si>
    <t>ubus-cli WiFi.AccessPoint.{i}.getStationStats() AuthenticationState          : 0,</t>
  </si>
  <si>
    <t>1. Connect WiFi Station to GW.
2. Verify connected Station AuthenticationState
root@prplOS:/#  ubus-cli "WiFi.AccessPoint.*.getStationStats()" | grep -E  'Auth
enticationState|MACAddress'
            AuthenticationState = 1,
            MACAddress = "E6:60:17:EB:A9:86",
            AuthenticationState = 1,
            MACAddress = "38:06:E6:92:B0:4A",
            AuthenticationState = 1,
            MACAddress = "34:19:4D:A4:B4:33",</t>
  </si>
  <si>
    <t>ubus-cli WiFi.AccessPoint.{i}.getStationStats() AvgSignalStrength            : -67,</t>
  </si>
  <si>
    <t>1. Connect WiFi Station to GW.
2. Verify connected Station AvgSignalStrength
root@prplOS:/# ubus-cli "WiFi.AccessPoint.*.getStationStats()" | grep AvgSignalStrength
    root@prplOS:/# ubus-cli "WiFi.AccessPoint.*.getStationStats()" | grep -E 'MACAdd
           AvgSignalStrength = 0,
            MACAddress = "E6:60:17:EB:A9:86",
            AvgSignalStrength = 0,
            MACAddress = "38:06:E6:92:B0:4A"
           AvgSignalStrength = 0,
           MACAddress = "34:19:4D:A4:B4:33",</t>
  </si>
  <si>
    <t>root@prplOS:/#
root@prplOS:/# wl -i wl0 sta_info e6:60:17:eb:a9:86 | grep smoothed
smoothed rssi: -37
root@prplOS:/# wl -i wl1 sta_info 38:06:e6:92:b0:4a | grep smoothed
smoothed rssi: -36
root@prplOS:/# wl -i wl2 sta_info 34:19:4d:a4:b4:33 | grep smoothed
smoothed rssi: -19</t>
  </si>
  <si>
    <r>
      <rPr>
        <sz val="9"/>
        <color rgb="FF000000"/>
        <rFont val="Calibri"/>
        <scheme val="minor"/>
      </rPr>
      <t xml:space="preserve">2026-03-24_EIT: Follow RD/Brcm suggestion to verify.
1. Connect WiFi station to GW 2.4G, 5G and 6G then run traffic.
2. Enable RssiEventing.Enable=1
root@prplOS:~#
root@prplOS:~# ubus-cli WiFi.AccessPoint.*.RssiEventing.Enable?
&gt; WiFi.AccessPoint.*.RssiEventing.Enable?
WiFi.AccessPoint.1.RssiEventing.Enable=0
WiFi.AccessPoint.2.RssiEventing.Enable=0
WiFi.AccessPoint.3.RssiEventing.Enable=0
WiFi.AccessPoint.4.RssiEventing.Enable=0
WiFi.AccessPoint.5.RssiEventing.Enable=0
WiFi.AccessPoint.6.RssiEventing.Enable=0
root@prplOS:~# ubus-cli WiFi.AccessPoint.*.RssiEventing.Enable=1
&gt; WiFi.AccessPoint.*.RssiEventing.Enable=1
WiFi.AccessPoint.1.RssiEventing.
WiFi.AccessPoint.1.RssiEventing.Enable=1
WiFi.AccessPoint.2.RssiEventing.
WiFi.AccessPoint.2.RssiEventing.Enable=1
WiFi.AccessPoint.3.RssiEventing.
WiFi.AccessPoint.3.RssiEventing.Enable=1
WiFi.AccessPoint.4.RssiEventing.
WiFi.AccessPoint.4.RssiEventing.Enable=1
WiFi.AccessPoint.5.RssiEventing.
WiFi.AccessPoint.5.RssiEventing.Enable=1
WiFi.AccessPoint.6.RssiEventing.
WiFi.AccessPoint.6.RssiEventing.Enable=1
root@prplOS:~# ubus-cli WiFi.AccessPoint.*.RssiEventing.Enable?
&gt; WiFi.AccessPoint.*.RssiEventing.Enable?
WiFi.AccessPoint.1.RssiEventing.Enable=1
WiFi.AccessPoint.2.RssiEventing.Enable=1
WiFi.AccessPoint.3.RssiEventing.Enable=1
WiFi.AccessPoint.4.RssiEventing.Enable=1
WiFi.AccessPoint.5.RssiEventing.Enable=1
WiFi.AccessPoint.6.RssiEventing.Enable=1
3. Verify AssociatedDevice.*.AvgSignalStrength
root@prplOS:~# ubus-cli WiFi.AccessPoint.? | grep AvgSignalStrength=
WiFi.AccessPoint.1.AssociatedDevice.1.AvgSignalStrength=-35
WiFi.AccessPoint.3.AssociatedDevice.1.AvgSignalStrength=-44
WiFi.AccessPoint.5.AssociatedDevice.1.AvgSignalStrength=-39
 --------------------------------------------------------------------------------------------------
[0324] BRCM: ubus-cli WiFi.AccessPoint.1.RssiEventing.Enable?
&gt; WiFi.AccessPoint.1.RssiEventing.Enable?
WiFi.AccessPoint.1.RssiEventing.Enable=1
root@prplOS:/# ubus-cli WiFi.AccessPoint.? | grep AvgSignalStrength=
wl0: dhd_prot_ioctl: status ret value is -23 iov=mlo
WiFi.AccessPoint.1.AssociatedDevice.1.AvgSignalStrength=-70
 ------------------------------------------------------------------------------------------------
root@prplOS:~# ubus-cli "WiFi.AccessPoint.*.getStationStats()" | grep -E "MAC|AvgSignalStrength|AccessPoint.1|AccessPoint.3|AccessPoint.5"
WiFi.AccessPoint.3.getStationStats() returned
                    MACAddress = "38:06:E6:92:B0:4A",
            </t>
    </r>
    <r>
      <rPr>
        <sz val="9"/>
        <color rgb="FFFF0000"/>
        <rFont val="Calibri"/>
        <scheme val="minor"/>
      </rPr>
      <t xml:space="preserve">AvgSignalStrength = 0,
</t>
    </r>
    <r>
      <rPr>
        <sz val="9"/>
        <color rgb="FF000000"/>
        <rFont val="Calibri"/>
        <scheme val="minor"/>
      </rPr>
      <t xml:space="preserve">            AvgSignalStrengthByChain = -29,
            MACAddress = "38:06:E6:92:B0:4A",
WiFi.AccessPoint.5.getStationStats() returned
         </t>
    </r>
    <r>
      <rPr>
        <sz val="9"/>
        <color rgb="FFFF0000"/>
        <rFont val="Calibri"/>
        <scheme val="minor"/>
      </rPr>
      <t xml:space="preserve">   AvgSignalStrength = 0,
</t>
    </r>
    <r>
      <rPr>
        <sz val="9"/>
        <color rgb="FF000000"/>
        <rFont val="Calibri"/>
        <scheme val="minor"/>
      </rPr>
      <t xml:space="preserve">            AvgSignalStrengthByChain = -37,
            MACAddress = "34:19:4D:A4:B4:33",
WiFi.AccessPoint.1.getStationStats() returned
          </t>
    </r>
    <r>
      <rPr>
        <sz val="9"/>
        <color rgb="FFFF0000"/>
        <rFont val="Calibri"/>
        <scheme val="minor"/>
      </rPr>
      <t xml:space="preserve">  AvgSignalStrength = 0,
</t>
    </r>
    <r>
      <rPr>
        <sz val="9"/>
        <color rgb="FF000000"/>
        <rFont val="Calibri"/>
        <scheme val="minor"/>
      </rPr>
      <t xml:space="preserve">            AvgSignalStrengthByChain = -34,
            MACAddress = "34:19:4D:A4:B5:09",
root@prplOS:~#  iw wl0 station dump
Station 34:19:4d:a4:b5:09 (on wl0)
        inactive time:  0 ms
        rx bytes:       870569
        rx packets:     12497
        tx bytes:       0
        tx packets:     134
        signal:         -35 [-34] dBm
        signal avg:     -35 [-34] dBm
        tx bitrate:     1147.0 MBit/s 40MHz
        rx bitrate:     1147.0 MBit/s 40MHz
root@prplOS:~#  iw wl0 station dump | grep avg
        signal avg:     -35 [-34] dBm
root@prplOS:~#  iw wl1 station dump | grep avg
        signal avg:     -29 [-30] dBm
root@prplOS:~#  iw wl2 station dump | grep avg
        signal avg:     -30 [-30] dBm</t>
    </r>
  </si>
  <si>
    <t>Paul creates the CSP</t>
  </si>
  <si>
    <t>ubus-cli WiFi.AccessPoint.{i}.getStationStats() AvgSignalStrengthByChain     : -69,</t>
  </si>
  <si>
    <t>1. Connect WiFi Station to GW and make sure the Station is Active
root@prplOS:/# ubus-cli WiFi.AccessPoint.*.AssociatedDevice.*.? | grep -E 'Active|MAC'
WiFi.AccessPoint.1.AssociatedDevice.1.Active=1
WiFi.AccessPoint.1.AssociatedDevice.1.MACAddress="E6:D7:D3:EA:CF:15"
WiFi.AccessPoint.3.AssociatedDevice.1.Active=1
WiFi.AccessPoint.3.AssociatedDevice.1.MACAddress="38:06:E6:92:B0:4A"
WiFi.AccessPoint.5.AssociatedDevice.1.Active=1
WiFi.AccessPoint.5.AssociatedDevice.1.MACAddress="7E:04:60:D8:FC:6E"
2. Check Station AvgSignalStrengthByChain
root@prplOS:/# ubus-cli "WiFi.AccessPoint.*.getStationStats() AvgSignalStrengthByChain"? | grep AvgSignalStrengthByChain
&gt; WiFi.AccessPoint.*.getStationStats() AvgSignalStrengthByChain?
            AvgSignalStrengthByChain = -35,
            AvgSignalStrengthByChain = -33,
            AvgSignalStrengthByChain = -46,
            AvgSignalStrengthByChain = -46,</t>
  </si>
  <si>
    <t>root@prplOS:/# wl -i wl0 sta_info E6:D7:D3:EA:CF:15  | grep  average
         per antenna average rssi of rx data frames: -43 -53 -46 -49
root@prplOS:/# wl -i wl1 sta_info 38:06:E6:92:B0:4A  | grep  average
         per antenna average rssi of rx data frames: -33 -36 -33 -39
root@prplOS:/# wl -i wl2 sta_info 7E:04:60:D8:FC:6E  | grep  average
         per antenna average rssi of rx data frames: -38 -45 -33 -40</t>
  </si>
  <si>
    <t xml:space="preserve">
2026-03-20_EIT: verified and found fixed in version 4.0.3v1.4
Note: As per RD - Following pWHM defination, only one chain is expected
 --------------------------------------------------------------------------------------
root@prplOS:~# ubus-cli "WiFi.AccessPoint.*.getStationStats() AvgSignalStrengthByChain"? | grep -E "MAC|AvgSignalStrengthByChain"
&gt; WiFi.AccessPoint.*.getStationStats() AvgSignalStrengthByChain?
                    MACAddress = "38:06:E6:92:B0:4A",
            AvgSignalStrengthByChain = -28,
            MACAddress = "38:06:E6:92:B0:4A",
            AvgSignalStrengthByChain = -38,
            MACAddress = "34:19:4D:A4:B4:33",
            AvgSignalStrengthByChain = -35,
            MACAddress = "34:19:4D:A4:B5:09",
root@prplOS:~# wl -i wl0 sta_info 34:19:4d:a4:b5:09 | grep "per antenna average"; wl -i wl1 sta_info 38:06:e6:92:b0:4a | grep "per antenna average"; wl -i wl2 sta_info
34:19:4D:A4:B4:33 | grep "per antenna average"
         per antenna average rssi of rx data frames: -41 -33 -35 -35
         per antenna average rssi of rx data frames: -31 -28 -29 -27
         per antenna average rssi of rx data frames: -38 -26 -30 -28 
-----------------------------------------------------------------------------------------------------------------------
API return only one value. note: the Station support 4×4, so the AverageSignalStrengthByChain MUST contain 4 values.</t>
  </si>
  <si>
    <t>ubus-cli WiFi.AccessPoint.{i}.getStationStats() ConnectionDuration           : 25,</t>
  </si>
  <si>
    <t xml:space="preserve">
1. Connect WiFi station to GW
2. Verify Station ConnectionDuration
root@prplOS:/# ubus-cli "WiFi.AccessPoint.*.getStationStats()" | grep -E 'ConnectionDuration|MACAddress'
            ConnectionDuration = 2833,
            MACAddress = "38:06:E6:92:B0:4A",
            ConnectionDuration = 996,
            MACAddress = "34:19:4D:A4:B4:33",
            ConnectionDuration = 762,
            MACAddress = "34:19:4D:A4:B5:09",
</t>
  </si>
  <si>
    <t xml:space="preserve">
root@prplOS:/# wl -i wl0 sta_info 34:19:4D:A4:B5:09 | grep network
         in network 764 seconds
root@prplOS:/# wl -i wl1 sta_info 38:06:E6:92:B0:4A | grep network
         in network 2843 seconds
root@prplOS:/# wl -i wl2 sta_info 34:19:4D:A4:B4:33 | grep network
         in network 1010 seconds
root@prplOS:/#
</t>
  </si>
  <si>
    <t>WiFi.EndPoint.{i}.</t>
  </si>
  <si>
    <t>EndPoint</t>
  </si>
  <si>
    <t>ConnectionStatus</t>
  </si>
  <si>
    <t>ubus-cli WiFi.EndPoint.{i}.ConnectionStatus=Connected</t>
  </si>
  <si>
    <t>As per RD Tim,  EndPoint mean Wi-Fi interface as STA mode, so I think we didn't support</t>
  </si>
  <si>
    <t>ubus-cli WiFi.EndPoint.{i}.Enable=1</t>
  </si>
  <si>
    <t>ARC</t>
  </si>
  <si>
    <t>This project is a GW and does not support WiFi.EndPoint = Station Mode</t>
  </si>
  <si>
    <t>getStats()</t>
  </si>
  <si>
    <t>ubus-cli WiFi.EndPoint.{i}.getStats() EncryptionMode      : AES,</t>
  </si>
  <si>
    <t>ubus-cli WiFi.EndPoint.{i}.getStats() HeCapabilities      : ,</t>
  </si>
  <si>
    <t>ubus-cli WiFi.EndPoint.{i}.getStats() HtCapabilities      : 40MHz,SGI20,SGI40,</t>
  </si>
  <si>
    <t>ubus-cli WiFi.EndPoint.{i}.getStats() LastDataDownlinkRate   : 702000,</t>
  </si>
  <si>
    <t>ubus-cli WiFi.EndPoint.{i}.getStats() LastDataUplinkRate     : 975000,</t>
  </si>
  <si>
    <t>ubus-cli WiFi.EndPoint.{i}.getStats() LinkBandwidth    : 80MHz,</t>
  </si>
  <si>
    <t>ubus-cli WiFi.EndPoint.{i}.getStats() MaxRxSpatialStreamsSupported : 4,</t>
  </si>
  <si>
    <t>ubus-cli WiFi.EndPoint.{i}.getStats() MaxTxSpatialStreamsSupported : 4</t>
  </si>
  <si>
    <t>ubus-cli WiFi.EndPoint.{i}.getStats() Noise      : -90,</t>
  </si>
  <si>
    <t>ubus-cli WiFi.EndPoint.{i}.getStats() OperatingStandard   : ac,</t>
  </si>
  <si>
    <t>ubus-cli WiFi.EndPoint.{i}.getStats() Retransmissions     : 33,</t>
  </si>
  <si>
    <t>ubus-cli WiFi.EndPoint.{i}.getStats() RSSI       : 66,</t>
  </si>
  <si>
    <t>ubus-cli WiFi.EndPoint.{i}.getStats() Rx_Retransmissions     : 2910,</t>
  </si>
  <si>
    <t>ubus-cli WiFi.EndPoint.{i}.getStats() RxBytes       : 184610123,</t>
  </si>
  <si>
    <t>ubus-cli WiFi.EndPoint.{i}.getStats() RxPacketCount    : 88022,</t>
  </si>
  <si>
    <t>ubus-cli WiFi.EndPoint.{i}.getStats() SecurityModeEnabled    : WPA2-Personal,</t>
  </si>
  <si>
    <t>ubus-cli WiFi.EndPoint.{i}.getStats() SupportedMCS     : 0,1,2,3,4,5,6,7,8,9,10,11,12,13,14,15,16,17,18,19,20,21,22,23,24,25,26,27,28,29,30,31,33,34,35,36,3,</t>
  </si>
  <si>
    <t>ubus-cli WiFi.EndPoint.{i}.getStats() Tx_Retransmissions     : 36993,</t>
  </si>
  <si>
    <t>ubus-cli WiFi.EndPoint.{i}.getStats() TxBytes       : 52887390,</t>
  </si>
  <si>
    <t>ubus-cli WiFi.EndPoint.{i}.getStats() TxPacketCount    : 108818,</t>
  </si>
  <si>
    <t>IntfName</t>
  </si>
  <si>
    <t>ubus-cli WiFi.EndPoint.{i}.IntfName=wl0</t>
  </si>
  <si>
    <t>MultiAPEnable</t>
  </si>
  <si>
    <t>ubus-cli WiFi.EndPoint.{i}.MultiAPEnable=1</t>
  </si>
  <si>
    <t>WiFi.EndPoint.{i}.Profile.WPS.</t>
  </si>
  <si>
    <t>ubus-cli WiFi.EndPoint.{i}.Profile.WPS.Enable=1</t>
  </si>
  <si>
    <t>ForceBSSID</t>
  </si>
  <si>
    <t>ubus-cli WiFi.EndPoint.{i}.Profile.WPS.ForceBSSID=</t>
  </si>
  <si>
    <t>WiFi.EndPoint.{i}.Profile.WPS.Security.</t>
  </si>
  <si>
    <t>ubus-cli WiFi.EndPoint.{i}.Profile.WPS.Security.KeyPassPhrase=0689388783</t>
  </si>
  <si>
    <t>ubus-cli WiFi.EndPoint.{i}.Profile.WPS.Security.MFPConfig=Disabled</t>
  </si>
  <si>
    <t>ubus-cli WiFi.EndPoint.{i}.Profile.WPS.Security.ModeEnabled=WPA2-Personal</t>
  </si>
  <si>
    <t>ubus-cli WiFi.EndPoint.{i}.Profile.WPS.Security.PreSharedKey=</t>
  </si>
  <si>
    <t>ubus-cli WiFi.EndPoint.{i}.Profile.WPS.Security.WEPKey=</t>
  </si>
  <si>
    <t>SSID</t>
  </si>
  <si>
    <t>ubus-cli WiFi.EndPoint.{i}.Profile.WPS.SSID=InternetBox_DK</t>
  </si>
  <si>
    <t>ubus-cli WiFi.EndPoint.{i}.Profile.WPS.Status=Active</t>
  </si>
  <si>
    <t>WiFi.EndPoint.{i}.Security.</t>
  </si>
  <si>
    <t>ubus-cli WiFi.EndPoint.{i}.Security.ModeEnabled=</t>
  </si>
  <si>
    <t>WiFi.EndPoint.{i}.WPS.</t>
  </si>
  <si>
    <t>ubus-cli WiFi.EndPoint.{i}.WPS.ConfigMethodsEnabled=PushButton,Label,Ethernet</t>
  </si>
  <si>
    <t>ubus-cli WiFi.EndPoint.{i}.WPS.ConfigMethodsSupported=Ethernet,Label,Display,PushButton,Keypad,PIN</t>
  </si>
  <si>
    <t>ubus-cli WiFi.EndPoint.{i}.WPS.PairingInProgress=0</t>
  </si>
  <si>
    <t>WiFi.{i}.</t>
  </si>
  <si>
    <t>getNetDevStats()</t>
  </si>
  <si>
    <t>ubus-cli WiFi.{i}.getNetDevStats()Collisions        : 0,</t>
  </si>
  <si>
    <t>ubus-cli WiFi.{i}.getNetDevStats()Multicast         : 625675,</t>
  </si>
  <si>
    <t>ubus-cli WiFi.{i}.getNetDevStats()RxBytes           : 1304886802,</t>
  </si>
  <si>
    <t>ubus-cli WiFi.{i}.getNetDevStats()RxCrcErrors       : 0,</t>
  </si>
  <si>
    <t>ubus-cli WiFi.{i}.getNetDevStats()RxDropped         : 20,</t>
  </si>
  <si>
    <t>ubus-cli WiFi.{i}.getNetDevStats()RxErrors          : 0,</t>
  </si>
  <si>
    <t>ubus-cli WiFi.{i}.getNetDevStats()RxFifoErrors      : 0,</t>
  </si>
  <si>
    <t>ubus-cli WiFi.{i}.getNetDevStats()RxFrameErrors     : 0,</t>
  </si>
  <si>
    <t>ubus-cli WiFi.{i}.getNetDevStats()RxLengthErrors    : 0,</t>
  </si>
  <si>
    <t>ubus-cli WiFi.{i}.getNetDevStats()RxMissedErrors    : 0,</t>
  </si>
  <si>
    <t>ubus-cli WiFi.{i}.getNetDevStats()RxOverErrors      : 0,</t>
  </si>
  <si>
    <t>ubus-cli WiFi.{i}.getNetDevStats()RxPackets         : 16703921,</t>
  </si>
  <si>
    <t>ubus-cli WiFi.{i}.getNetDevStats()TxAbortedErrors   : 0,</t>
  </si>
  <si>
    <t>ubus-cli WiFi.{i}.getNetDevStats()TxBytes           : 1450775878,</t>
  </si>
  <si>
    <t>ubus-cli WiFi.{i}.getNetDevStats()TxCarrierErrors   : 0,</t>
  </si>
  <si>
    <t>ubus-cli WiFi.{i}.getNetDevStats()TxDropped         : 4615,</t>
  </si>
  <si>
    <t>ubus-cli WiFi.{i}.getNetDevStats()TxErrors          : 0,</t>
  </si>
  <si>
    <t>ubus-cli WiFi.{i}.getNetDevStats()TxFifoErrors      : 0,</t>
  </si>
  <si>
    <t>ubus-cli WiFi.{i}.getNetDevStats()TxHeartbeatErrors : 0,</t>
  </si>
  <si>
    <t>ubus-cli WiFi.{i}.getNetDevStats()TxPackets         : 3690912,</t>
  </si>
  <si>
    <t>ubus-cli WiFi.{i}.getNetDevStats()TxWindowErrors    : 0</t>
  </si>
  <si>
    <t>WiFi.Radio.{i}.</t>
  </si>
  <si>
    <t>Radio</t>
  </si>
  <si>
    <t>ActiveAntennaCtrl</t>
  </si>
  <si>
    <t>ubus-cli WiFi.Radio.{i}.ActiveAntennaCtrl=-1</t>
  </si>
  <si>
    <t>1. Check GW radio ActiveAntennaCtrl:
root@prplOS:/# ubus-cli WiFi.Radio.*.ActiveAntennaCtrl?
&gt; WiFi.Radio.*.ActiveAntennaCtrl?
WiFi.Radio.1.ActiveAntennaCtrl=-1
WiFi.Radio.2.ActiveAntennaCtrl=-1
WiFi.Radio.3.ActiveAntennaCtrl=-1</t>
  </si>
  <si>
    <t>root@prplOS:/# wl -i wl0 txchain
15 (0xf)
root@prplOS:/# wl -i wl0 rxchain
15 (0xf)
root@prplOS:/# wl -i wl1 txchain
15 (0xf)
root@prplOS:/# wl -i wl1 rxchain
1
root@prplOS:/# wl -i wl2 txchain
15 (0xf)
root@prplOS:/# wl -i wl2 rxchain
1</t>
  </si>
  <si>
    <t>commit</t>
  </si>
  <si>
    <t>2026-03-09_EIT: verified  in version 4.0.3
Follow RD suggestion to set Both RxChainCtrl and TxChainCtrl = -1 before testing
ubus-cli WiFi.Radio.*.RxChainCtrl
ubus-cli WiFi.Radio.*.TxChainCtrl
ubus-cli WiFi.Radio.*.ActiveAntennaCtrl
wl -i wlx txchain
1 → first antenna only
3 → first two antennas
7 → first three antennas
15 → all four antennas (if 4x4)
root@prplOS:~# ubus-cli WiFi.Radio.*.RxChainCtrl?
&gt; WiFi.Radio.*.RxChainCtrl?
WiFi.Radio.1.RxChainCtrl=-1
WiFi.Radio.2.RxChainCtrl=-1
WiFi.Radio.3.RxChainCtrl=-1
root@prplOS:~# ubus-cli WiFi.Radio.*.TxChainCtrl?
&gt; WiFi.Radio.*.TxChainCtrl?
WiFi.Radio.1.TxChainCtrl=-1
WiFi.Radio.2.TxChainCtrl=-1
WiFi.Radio.3.TxChainCtrl=-1
root@prplOS:~# ubus-cli WiFi.Radio.*.ActiveAntennaCtrl?
&gt; WiFi.Radio.*.ActiveAntennaCtrl?
WiFi.Radio.1.ActiveAntennaCtrl=-1
WiFi.Radio.2.ActiveAntennaCtrl=-1
WiFi.Radio.3.ActiveAntennaCtrl=-1
root@prplOS:~# for i in 0 1 2; do echo -n "wl$i: "; wl -i wl$i txchain | awk '{print $0}'; done
wl0: 15 (0xf)
wl1: 15 (0xf)
wl2: 15 (0xf)
root@prplOS:~# ubus-cli WiFi.Radio.*.ActiveAntennaCtrl=1
&gt; WiFi.Radio.*.ActiveAntennaCtrl=1
WiFi.Radio.1.
WiFi.Radio.1.ActiveAntennaCtrl=1
WiFi.Radio.2.
WiFi.Radio.2.ActiveAntennaCtrl=1
WiFi.Radio.3.
WiFi.Radio.3.ActiveAntennaCtrl=1
root@prplOS:~# ubus-cli WiFi.Radio.*.ActiveAntennaCtrl?
&gt; WiFi.Radio.*.ActiveAntennaCtrl?
WiFi.Radio.1.ActiveAntennaCtrl=1
WiFi.Radio.2.ActiveAntennaCtrl=1
WiFi.Radio.3.ActiveAntennaCtrl=1
root@prplOS:~# for i in 0 1 2; do echo -n "wl$i: "; wl -i wl$i txchain | awk '{print $0}'; done
wl0: 1
wl1: 1
wl2: 1
root@prplOS:~#
root@prplOS:~# ubus-cli WiFi.Radio.*.ActiveAntennaCtrl=2
&gt; WiFi.Radio.*.ActiveAntennaCtrl=2
WiFi.Radio.1.
WiFi.Radio.1.ActiveAntennaCtrl=2
WiFi.Radio.2.
WiFi.Radio.2.ActiveAntennaCtrl=2
WiFi.Radio.3.
WiFi.Radio.3.ActiveAntennaCtrl=2
root@prplOS:~# for i in 0 1 2; do echo -n "wl$i: "; wl -i wl$i txchain | awk '{print $0}'; done
wl0: 3
wl1: 3
wl2: 3
root@prplOS:~#
root@prplOS:~# ubus-cli WiFi.Radio.*.ActiveAntennaCtrl=3
&gt; WiFi.Radio.*.ActiveAntennaCtrl=3
WiFi.Radio.1.
WiFi.Radio.1.ActiveAntennaCtrl=3
WiFi.Radio.2.
WiFi.Radio.2.ActiveAntennaCtrl=3
WiFi.Radio.3.
WiFi.Radio.3.ActiveAntennaCtrl=3
root@prplOS:~#
root@prplOS:~# for i in 0 1 2; do echo -n "wl$i: "; wl -i wl$i txchain | awk '{print $0}'; done
wl0: 7
wl1: 7
wl2: 7
root@prplOS:~# ubus-cli WiFi.Radio.*.ActiveAntennaCtrl=4
&gt; WiFi.Radio.*.ActiveAntennaCtrl=4
WiFi.Radio.1.
WiFi.Radio.1.ActiveAntennaCtrl=4
WiFi.Radio.2.
WiFi.Radio.2.ActiveAntennaCtrl=4
WiFi.Radio.3.
WiFi.Radio.3.ActiveAntennaCtrl=4
root@prplOS:~# for i in 0 1 2; do echo -n "wl$i: "; wl -i wl$i txchain | awk '{print $0}'; done
wl0: 15 (0xf)
wl1: 15 (0xf)
wl2: 15 (0xf)
root@prplOS:~#
root@prplOS:~# ubus-cli WiFi.Radio.*.ActiveAntennaCtrl=-1
&gt; WiFi.Radio.*.ActiveAntennaCtrl=-1
WiFi.Radio.1.
WiFi.Radio.1.ActiveAntennaCtrl=-1
WiFi.Radio.2.
WiFi.Radio.2.ActiveAntennaCtrl=-1
WiFi.Radio.3.
WiFi.Radio.3.ActiveAntennaCtrl=-1
root@prplOS:~# for i in 0 1 2; do echo -n "wl$i: "; wl -i wl$i txchain | awk '{print $0}'; done
wl0: 15 (0xf)
wl1: 15 (0xf)
wl2: 15 (0xf)
root@prplOS:~#
2026-02-24_EIT: verified and still exist in version 4.0.3
API return -1</t>
  </si>
  <si>
    <t>AirtimeFairnessEnabled</t>
  </si>
  <si>
    <t>ubus-cli WiFi.Radio.{i}.AirtimeFairnessEnabled=1</t>
  </si>
  <si>
    <t>BeaconPeriod</t>
  </si>
  <si>
    <t>ubus-cli WiFi.Radio.{i}.BeaconPeriod=100</t>
  </si>
  <si>
    <t>1. Get BeaconPeriod default value:
root@prplOS:/# ubus-cli WiFi.Radio.*.BeaconPeriod?
&gt; WiFi.Radio.*.BeaconPeriod?
WiFi.Radio.1.BeaconPeriod=100
WiFi.Radio.2.BeaconPeriod=100
WiFi.Radio.3.BeaconPeriod=100
2. Set BeaconPeriod to 1000:
root@prplOS:/# ubus-cli WiFi.Radio.*.BeaconPeriod=1000
&gt; WiFi.Radio.*.BeaconPeriod=1000
WiFi.Radio.1.
WiFi.Radio.1.BeaconPeriod=1000
WiFi.Radio.2.
WiFi.Radio.2.BeaconPeriod=1000
WiFi.Radio.3.
WiFi.Radio.3.BeaconPeriod=1000
3. Using Wireshark, capture beacon packets and check the beacon interval at which the gateway broadcasts.</t>
  </si>
  <si>
    <t>root@prplOS:/# cat /tmp/wl0_hapd.conf |grep beacon_int
beacon_int=1000
beacon_int=1000
root@prplOS:/# cat /tmp/wl1_hapd.conf |grep beacon_int
beacon_int=1000
beacon_int=1000
root@prplOS:/# cat /tmp/wl2_hapd.conf |grep beacon_int
beacon_int=1000
beacon_int=1000</t>
  </si>
  <si>
    <t>Channel</t>
  </si>
  <si>
    <t>ubus-cli WiFi.Radio.{i}.Channel=37</t>
  </si>
  <si>
    <t>Test Procedure:
1. Set/Get Channel
Set Command:  ubus-cli WiFi.Radio.{i}.Channel=xx
Get Command: ubus-cli WiFi.Radio.{i}.Channel? 
2.use wl command &amp;analyzer to check Channel
command : wl -i wlx chanspec / wl -i wlx status</t>
  </si>
  <si>
    <t>wl -i wl0 channel
current mac channel     36
target channel  36
wl -i wl1 channel
current mac channel     141
target channel  141
wl -i wl2 channel
current mac channel     6
target channel  6</t>
  </si>
  <si>
    <t>1.under 40 MHz
2.analyzer can't show the channel 169-177 for 5G
3.analyzer can't capture 6G now, so only use wl command to check channel
4.analyzer can't show the channel 14 for 2.4G</t>
  </si>
  <si>
    <t>ChannelLoad</t>
  </si>
  <si>
    <t>ubus-cli WiFi.Radio.{i}.ChannelLoad=5</t>
  </si>
  <si>
    <t>1. Check the ChannelLoad in the air:
root@prplOS:/# ubus-cli WiFi.Radio.*.ChannelLoad?
&gt; WiFi.Radio.*.ChannelLoad?
WiFi.Radio.1.ChannelLoad=0
WiFi.Radio.2.ChannelLoad=0
WiFi.Radio.3.ChannelLoad=0
2. Compare it with driver survey dump, calculate (channel active time/busy time). The two values should be approximately equal.</t>
  </si>
  <si>
    <t>root@prplOS:/# iw dev wl0 survey dump
root@prplOS:/# iw dev wl1 survey dump
root@prplOS:/# iw dev wl2 survey dump</t>
  </si>
  <si>
    <t>wld_rad_nl80211_getSurveyInfo</t>
  </si>
  <si>
    <t>Driver</t>
  </si>
  <si>
    <t>[0324] Verified in version 4.0.3v1.4, iw dev wl[i] survey dump, [in use] frequency, ChannelLoad = channel busy time/ channel active time:
The API will always return 0 and this does not make any sense.
The driver commands did not return anything.</t>
  </si>
  <si>
    <t>WiFi.Radio.{i}.DriverConfig.</t>
  </si>
  <si>
    <t>Ampdu</t>
  </si>
  <si>
    <t>ubus-cli WiFi.Radio.{i}.DriverConfig.Ampdu=-1</t>
  </si>
  <si>
    <t>1. Connect WiFi Station to GW
2. Set GW AMPDU to 1 =enable
root@prplOS:/# ubus-cli WiFi.Radio.1.DriverConfig.Ampdu=1
&gt; WiFi.Radio.1.DriverConfig.Ampdu=1
WiFi.Radio.1.DriverConfig.
WiFi.Radio.1.DriverConfig.Ampdu=1
3. Run Iperf3 from station to GW continously
4. Check Throughput 
 Note: Throughput should be higher =&gt; here during test TPut = 150Mbs in open area
5. In GW, Set AMPDU to 0 =Disable
root@prplOS:/# ubus-cli WiFi.Radio.1.DriverConfig.Ampdu=0
&gt; WiFi.Radio.1.DriverConfig.Ampdu=0
WiFi.Radio.1.DriverConfig.
WiFi.Radio.1.DriverConfig.Ampdu=0
6. Check Throughput 
Throughput collapse =&gt; here during test TPut = 9Mbs in open area</t>
  </si>
  <si>
    <t>AMPDU = Enable
root@prplOS:/# wl -i wlx ampdu
1 
AMPDU = Disable
root@prplOS:/# wl -i wlx ampdu
0</t>
  </si>
  <si>
    <t>Amsdu</t>
  </si>
  <si>
    <t>ubus-cli WiFi.Radio.{i}.DriverConfig.Amsdu=-1</t>
  </si>
  <si>
    <t xml:space="preserve">1. Get Amsdu default value:
root@prplOS:/# ubus-cli WiFi.Radio.*.DriverConfig.Amsdu?
&gt; WiFi.Radio.*.DriverConfig.Amsdu?
WiFi.Radio.1.DriverConfig.Amsdu=-1
WiFi.Radio.2.DriverConfig.Amsdu=-1
WiFi.Radio.3.DriverConfig.Amsdu=-1
</t>
  </si>
  <si>
    <t>wl -i wl0 amsdu
wl -i wl1 amsdu
wl -i wl2 amsdu
root@prplOS:/# iw phy phy0 info | grep -i msdu
                        Max AMSDU length: 3839 bytes
root@prplOS:/# iw phy phy1 info | grep -i msdu
root@prplOS:/# iw phy phy2 info | grep -i msdu
                        Max AMSDU length: 3839 bytes</t>
  </si>
  <si>
    <t>0319:Verified in version 4.0.3v1.4, -1=aito; 0=disabled; 1=enabled</t>
  </si>
  <si>
    <t>FragmentationThreshold</t>
  </si>
  <si>
    <t>ubus-cli WiFi.Radio.{i}.DriverConfig.FragmentationThreshold=-1</t>
  </si>
  <si>
    <t>1. Set Fragmentation Threshold to 1500
root@prplOS:/# ubus-cli WiFi.Radio.*.DriverConfig.FragmentationThreshold=1500
&gt; WiFi.Radio.*.DriverConfig.FragmentationThreshold=1500
WiFi.Radio.1.DriverConfig.
WiFi.Radio.1.DriverConfig.FragmentationThreshold=1500
WiFi.Radio.2.DriverConfig.
WiFi.Radio.2.DriverConfig.FragmentationThreshold=1500
WiFi.Radio.3.DriverConfig.
WiFi.Radio.3.DriverConfig.FragmentationThreshold=1500
2. Connect WiFi Station to GW
3. Run ping from GW to Station
Note: add -s "size" to Ping.
Given the threshold of 1500 then run ping with data size larger than 1500. Ping 192.168.1.x -s 1500 
4. Capture air packet between GW and Station</t>
  </si>
  <si>
    <t>root@prplOS:/# wl -i wl0 fragthresh
1500 (0x5dc)
root@prplOS:/# wl -i wl1 fragthresh
1500 (0x5dc)
root@prplOS:/# wl -i wl2 fragthresh
1500 (0x5dc)</t>
  </si>
  <si>
    <t>It's better to use lower value to do test, to avoid bottle neck in other places</t>
  </si>
  <si>
    <t>EIT: verified in version 4.0.3 "RD ask to check the values by "wl -i wlx fragthresh" and make sure  it is the same base on data model setting then mark it Pass.
root@prplOS:~# for i in 0 1 2; do echo -n "wl$i: "; wl -i wl$i fragthresh | awk
'{print $0}'; done
wl0: 500 (0x1f4)
wl1: 500 (0x1f4)
wl2: 500 (0x1f4)
root@prplOS:~# ubus-cli WiFi.Radio.*.DriverConfig.FragmentationThreshold=1000
&gt; WiFi.Radio.*.DriverConfig.FragmentationThreshold=1000
WiFi.Radio.1.DriverConfig.
WiFi.Radio.1.DriverConfig.FragmentationThreshold=1000
WiFi.Radio.2.DriverConfig.
WiFi.Radio.2.DriverConfig.FragmentationThreshold=1000
WiFi.Radio.3.DriverConfig.
WiFi.Radio.3.DriverConfig.FragmentationThreshold=1000
EIT: verified and found still exist in version 4.0.3
root@prplOS:~# for i in 0 1 2; do echo -n "wl$i: "; wl -i wl$i fragthresh | awk
'{print $0}'; done
wl0: 1000 (0x3e8)
wl1: 1000 (0x3e8)
wl2: 1000 (0x3e8)
root@prplOS:~#
root@prplOS:~# ubus-cli WiFi.Radio.*.DriverConfig.FragmentationThreshold=2000
&gt; WiFi.Radio.*.DriverConfig.FragmentationThreshold=2000
WiFi.Radio.1.DriverConfig.
WiFi.Radio.1.DriverConfig.FragmentationThreshold=2000
WiFi.Radio.2.DriverConfig.
WiFi.Radio.2.DriverConfig.FragmentationThreshold=2000
WiFi.Radio.3.DriverConfig.
WiFi.Radio.3.DriverConfig.FragmentationThreshold=2000
root@prplOS:~# for i in 0 1 2; do echo -n "wl$i: "; wl -i wl$i fragthresh | awk
'{print $0}'; done
wl0: 2000 (0x7d0)
wl1: 2000 (0x7d0)
wl2: 2000 (0x7d0)
-----------------------------------------------------------------------------------------------------
EIT: verified and found still exist in version 4.0.3
have try set FragmentationThreshold=256 but still no fragmentation captured in wireshark after sending Iperf3 data of 50+ Mbps.
Wireshark filter:  wlan.frag &gt; 0 or wlan.fc.frag &gt; 0
BCM: It's better to use lower value to do test, to avoid bottle neck in other places
BRCM: CSP  CS00012439197
2026-01-07 It's not pwhm and mod-whm-brcm issue. 
1500 may touch bottleneck of other network interface. You can use lower value to retest
0123-EIT: follow BRCM suggestion to use lower vaule to test this case.
 Try with 500 /200 /100 and run ping with -s 1500 but still no Fragmentation. also try run Iperf..
---
 -GW does not send fragmented data packet</t>
  </si>
  <si>
    <t>RtsThreshold</t>
  </si>
  <si>
    <t>ubus-cli WiFi.Radio.{i}.DriverConfig.RtsThreshold=-1</t>
  </si>
  <si>
    <t>1. Set RtsThreshold "ex. 1500
root@prplOS:/# ubus-cli WiFi.Radio.*.DriverConfig.RtsThreshold=1500
&gt; WiFi.Radio.*.DriverConfig.RtsThreshold=1500
WiFi.Radio.1.DriverConfig.
WiFi.Radio.1.DriverConfig.RtsThreshold=1500
WiFi.Radio.2.DriverConfig.
WiFi.Radio.2.DriverConfig.RtsThreshold=1500
WiFi.Radio.3.DriverConfig.
WiFi.Radio.3.DriverConfig.RtsThreshold=1500
2. Connect WiFi Station to GW.
3. Run ping from GW to Station
Note: add -s"size" to Ping.
Example given the threshold of 1500 then run ping with data size larger than 1500. =&gt; Ping 192.168.1.x -s 1500 
4. Capture air packet between GW and Station to check for RTS/CTS</t>
  </si>
  <si>
    <t xml:space="preserve">
root@prplOS:/# wl -i wl0 rtsthresh
1500 (0x5dc)
root@prplOS:/# wl -i wl1 rtsthresh
1500 (0x5dc)
root@prplOS:/# wl -i wl2 rtsthresh
1500 (0x5dc)</t>
  </si>
  <si>
    <t>TPCMode</t>
  </si>
  <si>
    <t>ubus-cli WiFi.Radio.{i}.DriverConfig.TPCMode=Auto</t>
  </si>
  <si>
    <t xml:space="preserve">wl -i wl0 tpc_mode
tpc_mode
        Enable/disable AP TPC.
Usage: wl tpc_mode &lt;mode&gt;
        0 - disable, 1 - BSS power control, 2 - AP power control, 3 - Both (1) and (2)
</t>
  </si>
  <si>
    <t>not sure which to use</t>
  </si>
  <si>
    <r>
      <rPr>
        <sz val="9"/>
        <color rgb="FFFF0000"/>
        <rFont val="Calibri"/>
        <scheme val="minor"/>
      </rPr>
      <t xml:space="preserve">[0325] BRCM confirm this function is not implemented
Do BRCM implement this function???
</t>
    </r>
    <r>
      <rPr>
        <sz val="9"/>
        <color rgb="FF000000"/>
        <rFont val="Calibri"/>
        <scheme val="minor"/>
      </rPr>
      <t>Setting in API not match in wl.
root@prplOS:~# ubus-cli WiFi.Radio.*.DriverConfig.TPCMode?
&gt; WiFi.Radio.*.DriverConfig.TPCMode?
WiFi.Radio.1.DriverConfig.TPCMode="Auto"
WiFi.Radio.2.DriverConfig.TPCMode="Auto"
WiFi.Radio.3.DriverConfig.TPCMode="Auto"
root@prplOS:~# wl tpc_mode
0
root@prplOS:~# wl -i wl0 tpc_mode
0
root@prplOS:~# wl -i wl1 tpc_mode
0
root@prplOS:~# wl -i wl2 tpc_mode
0
root@prplOS:~# ubus-cli WiFi.Radio.*.DriverConfig.TPCMode=Ap
&gt; WiFi.Radio.*.DriverConfig.TPCMode=Ap
WiFi.Radio.1.DriverConfig.
WiFi.Radio.1.DriverConfig.TPCMode="Ap"
WiFi.Radio.2.DriverConfig.
WiFi.Radio.2.DriverConfig.TPCMode="Ap"
WiFi.Radio.3.DriverConfig.
WiFi.Radio.3.DriverConfig.TPCMode="Ap"
root@prplOS:~# ubus-cli WiFi.Radio.*.DriverConfig.TPCMode?
&gt; WiFi.Radio.*.DriverConfig.TPCMode?
WiFi.Radio.1.DriverConfig.TPCMode="Ap"
WiFi.Radio.2.DriverConfig.TPCMode="Ap"
WiFi.Radio.3.DriverConfig.TPCMode="Ap"
root@prplOS:~# wl -i wl0 tpc_mode
0
root@prplOS:~# wl -i wl1 tpc_mode
0
root@prplOS:~# wl -i wl2 tpc_mode
0
root@prplOS:~# ubus-cli WiFi.Radio.*.DriverConfig.TPCMode=Sta
&gt; WiFi.Radio.*.DriverConfig.TPCMode=Sta
WiFi.Radio.1.DriverConfig.
WiFi.Radio.1.DriverConfig.TPCMode="Sta"
WiFi.Radio.2.DriverConfig.
WiFi.Radio.2.DriverConfig.TPCMode="Sta"
WiFi.Radio.3.DriverConfig.
WiFi.Radio.3.DriverConfig.TPCMode="Sta"
root@prplOS:~# ubus-cli WiFi.Radio.*.DriverConfig.TPCMode?
&gt; WiFi.Radio.*.DriverConfig.TPCMode?
WiFi.Radio.1.DriverConfig.TPCMode="Sta"
WiFi.Radio.2.DriverConfig.TPCMode="Sta"
WiFi.Radio.3.DriverConfig.TPCMode="Sta"
root@prplOS:~# wl -i wl0 tpc_mode
0
root@prplOS:~# ubus-cli WiFi.Radio.*.DriverConfig.TPCMode=ApSta
&gt; WiFi.Radio.*.DriverConfig.TPCMode=ApSta
WiFi.Radio.1.DriverConfig.
WiFi.Radio.1.DriverConfig.TPCMode="ApSta"
WiFi.Radio.2.DriverConfig.
WiFi.Radio.2.DriverConfig.TPCMode="ApSta"
WiFi.Radio.3.DriverConfig.
WiFi.Radio.3.DriverConfig.TPCMode="ApSta"
root@prplOS:~# wl -i wl1 tpc_mode</t>
    </r>
  </si>
  <si>
    <t>WiFi.Radio.{i}.DriverStatus.</t>
  </si>
  <si>
    <t>NrActiveRxAntenna</t>
  </si>
  <si>
    <t>ubus-cli WiFi.Radio.{i}.DriverStatus.NrActiveRxAntenna=4</t>
  </si>
  <si>
    <t>1. Check GW Radio DriverStatus.NrActiveRxAntenna:
root@prplOS:/# ubus-cli WiFi.Radio.*.DriverStatus.NrActiveRxAntenna?
&gt; WiFi.Radio.*.DriverStatus.NrActiveRxAntenna?
WiFi.Radio.1.DriverStatus.NrActiveRxAntenna=-1
WiFi.Radio.2.DriverStatus.NrActiveRxAntenna=-1
WiFi.Radio.3.DriverStatus.NrActiveRxAntenna=-1</t>
  </si>
  <si>
    <t>wl -i wl0 rxchain
root@prplOS:/# wl -i wl0 rxchain
15 (0xf)
root@prplOS:/# wl -i wl1 rxchain
15 (0xf)
root@prplOS:/# wl -i wl2 rxchain
15 (0xf)
Value      	Hex	Meaning
1            0x1	1×1 (chain 0 only)
3            0x3	2×2 (chains 0–1)
7            0x7	3×3 (chains 0–2)
15          0xF	4×4 (chains 0–3)</t>
  </si>
  <si>
    <t>need to check(Leon)</t>
  </si>
  <si>
    <t>2026-03-17_EIT: verified and found fix in version 4.0.3v1.4
root@prplOS:~# ubus-cli WiFi.Radio.*.DriverStatus.NrActiveRxAntenna?
&gt; WiFi.Radio.*.DriverStatus.NrActiveRxAntenna?
WiFi.Radio.1.DriverStatus.NrActiveRxAntenna=4
WiFi.Radio.2.DriverStatus.NrActiveRxAntenna=4
WiFi.Radio.3.DriverStatus.NrActiveRxAntenna=4
root@prplOS:~# ubus-cli WiFi.Radio.*.DriverStatus.NrActiveTxAntenna?
&gt; WiFi.Radio.*.DriverStatus.NrActiveTxAntenna?
WiFi.Radio.1.DriverStatus.NrActiveTxAntenna=4
WiFi.Radio.2.DriverStatus.NrActiveTxAntenna=4
WiFi.Radio.3.DriverStatus.NrActiveTxAntenna=4 
------------------------------------------------------------------- 
rxchain 15 (0xF) = RX chains 0,1,2,3 enabled
API should return 4</t>
  </si>
  <si>
    <t>NrActiveTxAntenna</t>
  </si>
  <si>
    <t>ubus-cli WiFi.Radio.{i}.DriverStatus.NrActiveTxAntenna=4</t>
  </si>
  <si>
    <t>1. Check GW Radio DriverStatus.NrActiveTxAntenna
root@prplOS:/# ubus-cli WiFi.Radio.*.DriverStatus.NrActiveTxAntenna?
&gt; WiFi.Radio.*.DriverStatus.NrActiveTxAntenna?
WiFi.Radio.1.DriverStatus.NrActiveTxAntenna=-1
WiFi.Radio.2.DriverStatus.NrActiveTxAntenna=-1
WiFi.Radio.3.DriverStatus.NrActiveTxAntenna=-1</t>
  </si>
  <si>
    <t>wl -i wl0 txchain
root@prplOS:/# wl -i wl0 txchain
15 (0xf)
root@prplOS:/# wl -i wl1 txchain
15 (0xf)
root@prplOS:/# wl -i wl2 txchain
15 (0xf)
Value      	Hex	Meaning
1            0x1	1×1 (chain 0 only)
3            0x3	2×2 (chains 0–1)
7            0x7	3×3 (chains 0–2)
15          0xF	4×4 (chains 0–3)</t>
  </si>
  <si>
    <t>2026-03-17_EIT: verified and found fix in version 4.0.3v1.4
root@prplOS:~# ubus-cli WiFi.Radio.*.DriverStatus.NrActiveRxAntenna?
&gt; WiFi.Radio.*.DriverStatus.NrActiveRxAntenna?
WiFi.Radio.1.DriverStatus.NrActiveRxAntenna=4
WiFi.Radio.2.DriverStatus.NrActiveRxAntenna=4
WiFi.Radio.3.DriverStatus.NrActiveRxAntenna=4
root@prplOS:~# ubus-cli WiFi.Radio.*.DriverStatus.NrActiveTxAntenna?
&gt; WiFi.Radio.*.DriverStatus.NrActiveTxAntenna?
WiFi.Radio.1.DriverStatus.NrActiveTxAntenna=4
WiFi.Radio.2.DriverStatus.NrActiveTxAntenna=4
WiFi.Radio.3.DriverStatus.NrActiveTxAntenna=4 
 ---------------------------------------------------------------------------------
 rxchain 15 (0xF) = TX chains 0,1,2,3 enabled
API should return 4</t>
  </si>
  <si>
    <t>NrRxAntenna</t>
  </si>
  <si>
    <t>ubus-cli WiFi.Radio.{i}.DriverStatus.NrRxAntenna=4</t>
  </si>
  <si>
    <t>1. Check GW Radio DriverStatus.NrRxAntenna
root@prplOS:/# ubus-cli WiFi.Radio.*.DriverStatus.NrRxAntenna?
&gt; WiFi.Radio.*.DriverStatus.NrRxAntenna?
WiFi.Radio.1.DriverStatus.NrRxAntenna=4
WiFi.Radio.2.DriverStatus.NrRxAntenna=4
WiFi.Radio.3.DriverStatus.NrRxAntenna=4</t>
  </si>
  <si>
    <t>NrTxAntenna</t>
  </si>
  <si>
    <t>ubus-cli WiFi.Radio.{i}.DriverStatus.NrTxAntenna=4</t>
  </si>
  <si>
    <t>1. Check GW Radio DriverStatus.NrTxAntenna:
root@prplOS:/# ubus-cli WiFi.Radio.*.DriverStatus.NrTxAntenna?
&gt; WiFi.Radio.*.DriverStatus.NrTxAntenna?
WiFi.Radio.1.DriverStatus.NrTxAntenna=4
WiFi.Radio.2.DriverStatus.NrTxAntenna=4
WiFi.Radio.3.DriverStatus.NrTxAntenna=4</t>
  </si>
  <si>
    <t>wl -i wl0 txchain
root@prplOS:/# wl -i wl0 txchain
15 (0xf)
root@prplOS:/# wl -i wl1 txchain
15 (0xf)
root@prplOS:/# wl -i wl2 txchain
15 (0xf)
Value      	Hex	Meaning
1            0x1	1×1 (chain 0 only)
3            0x3	2×2 (chains 0–1)
7            0x7	3×3 (chains 0–2)
15          0xF	4×4 (chains 0–3)</t>
  </si>
  <si>
    <t>DTIMPeriod</t>
  </si>
  <si>
    <t>ubus-cli WiFi.Radio.{i}.DTIMPeriod=3</t>
  </si>
  <si>
    <t xml:space="preserve">1. Check default DTIMPeriod:
root@prplOS:/# ubus-cli WiFi.Radio.*.DTIMPeriod?
&gt; WiFi.Radio.*.DTIMPeriod?
WiFi.Radio.1.DTIMPeriod=3
WiFi.Radio.2.DTIMPeriod=3
WiFi.Radio.3.DTIMPeriod=3
2. Capture air beacons, check DTIM Period: 3
3. Modify DTIMPeriod to any value:
ubus-cli WiFi.Radio.*.DTIMPeriod=7
4. Get DTIMPeriod value again, compare them with driver return value and captured beacon packets status:
root@prplOS:/# ubus-cli WiFi.Radio.*.DTIMPeriod?
&gt; WiFi.Radio.*.DTIMPeriod?
WiFi.Radio.1.DTIMPeriod=7
WiFi.Radio.2.DTIMPeriod=7
WiFi.Radio.3.DTIMPeriod=7
</t>
  </si>
  <si>
    <t xml:space="preserve">cat /tmp/wl*_hapd.conf |grep dtim
(Default)
root@prplOS:/# cat /tmp/wl0_hapd.conf |grep dtim
dtim_period=3
dtim_period=3
root@prplOS:/# cat /tmp/wl1_hapd.conf |grep dtim
dtim_period=3
dtim_period=3
root@prplOS:/# cat /tmp/wl2_hapd.conf |grep dtim
dtim_period=3
dtim_period=3
(After modify)
root@prplOS:/# cat /tmp/wl0_hapd.conf |grep dtim
dtim_period=7
dtim_period=7
root@prplOS:/# cat /tmp/wl1_hapd.conf |grep dtim
dtim_period=7
dtim_period=7
root@prplOS:/# cat /tmp/wl2_hapd.conf |grep dtim
dtim_period=7
dtim_period=7
</t>
  </si>
  <si>
    <t>ubus-cli WiFi.Radio.{i}.Enable=1</t>
  </si>
  <si>
    <t>1. Check API default value:
root@prplOS:/# ubus-cli WiFi.Radio.*.Enable?
&gt; WiFi.Radio.*.Enable?
WiFi.Radio.1.Enable=1
WiFi.Radio.2.Enable=1
WiFi.Radio.3.Enable=1
2. Make sure all radios(SSID) can be scanned from air.
3. Set this API to 0 to disable radio:
ubus-cli WiFi.Radio.*.Enable=0
4. Make sure all radios(SSID) do not exit in air anymore.</t>
  </si>
  <si>
    <t xml:space="preserve">(API Enable= 1):
wl -i wl0 bss
up
wl -i wl1 bss
up
wl -i wl2 bss
up
(API Enable= 0):
wl -i wl0 bss
down
wl -i wl1 bss
down
wl -i wl2 bss
down
</t>
  </si>
  <si>
    <t>ExplicitBeamFormingEnabled</t>
  </si>
  <si>
    <t>ubus-cli WiFi.Radio.{i}.ExplicitBeamFormingEnabled=1</t>
  </si>
  <si>
    <t>1. Check API default value:
root@prplOS:/# ubus-cli WiFi.Radio.*.ExplicitBeamFormingEnabled?
&gt; WiFi.Radio.*.ExplicitBeamFormingEnabled?
WiFi.Radio.1.ExplicitBeamFormingEnabled=1
WiFi.Radio.2.ExplicitBeamFormingEnabled=1
WiFi.Radio.3.ExplicitBeamFormingEnabled=1
2. Compare with driver returned value and beacon capability.
3. Change the ExplicitBeamFormingEnabled to 0:
ubus-cli WiFi.Radio.*.ExplicitBeamFormingEnabled=0
4. Compare with driver returned value and beacon capability.</t>
  </si>
  <si>
    <t>(API=1)
root@prplOS:/# wl -i wl0 txbf
1
root@prplOS:/# wl -i wl1 txbf
1
root@prplOS:/# wl -i wl2 txbf
1
(API=0)
root@prplOS:/# wl -i wl0 txbf
0
root@prplOS:/# wl -i wl1 txbf
0
root@prplOS:/# wl -i wl2 txbf
0</t>
  </si>
  <si>
    <t>Committed</t>
  </si>
  <si>
    <t>2026-02-24_EIT: verified and found fix in version 4.0.3
BRCM: CSP  CS00012439197
2026-01-07 support: please check wl -i wl{i} txbf (ExplicitBeamForming) and wl -i wl{i} txbf_imp for (ImplicitBeamForming)
--
The API value does not change the capablilty info - Beamformer Capable in beacons.</t>
  </si>
  <si>
    <t>ExplicitBeamFormingSupported</t>
  </si>
  <si>
    <t>ubus-cli WiFi.Radio.{i}.Stats.ExplicitBeamFormingSupported=1</t>
  </si>
  <si>
    <t xml:space="preserve">1. Read-only API, defines whether each radio supported ExplicitBeamForming. Check API value and compare with driver return value:
root@prplOS:/# ubus-cli WiFi.Radio.*.ExplicitBeamFormingSupported?
&gt; WiFi.Radio.*.ExplicitBeamFormingSupported?
WiFi.Radio.1.ExplicitBeamFormingSupported=1
WiFi.Radio.2.ExplicitBeamFormingSupported=1
WiFi.Radio.3.ExplicitBeamFormingSupported=1
</t>
  </si>
  <si>
    <t>GuardInterval</t>
  </si>
  <si>
    <t>ubus-cli WiFi.Radio.{i}.GuardInterval=Auto</t>
  </si>
  <si>
    <t xml:space="preserve">Setting value: ["400nsec'","800nsec","1xLTF_0.8us","1xLTF_1.6us","2xLTF_0.8us","2xLTF_1.6us","4xLTF_0.8us","4xLTF_1.6us","Auto"]
1. Get GI Default value
root@prplOS:/# ubus-cli WiFi.Radio.*.GuardInterval?
&gt; WiFi.Radio.*.GuardInterval?
WiFi.Radio.1.GuardInterval="Auto"
WiFi.Radio.2.GuardInterval="Auto"
WiFi.Radio.3.GuardInterval="Auto"
2. Try Set GI to "1xLTF_1.6us"
root@prplOS:/# ubus-cli WiFi.Radio.*.GuardInterval="1xLTF_1.6us"
&gt; WiFi.Radio.*.GuardInterval=1xLTF_1.6us
WiFi.Radio.1.
WiFi.Radio.1.GuardInterval="1xLTF_1.6us"
WiFi.Radio.2.
WiFi.Radio.2.GuardInterval="1xLTF_1.6us"
WiFi.Radio.3.
WiFi.Radio.3.GuardInterval="1xLTF_1.6us"
3. Verify GI settings
 root@prplOS:/# ubus-cli WiFi.Radio.*.GuardInterval?
&gt; WiFi.Radio.*.GuardInterval?
WiFi.Radio.1.GuardInterval="1xLTF_1.6us"
WiFi.Radio.2.GuardInterval="1xLTF_1.6us"
WiFi.Radio.3.GuardInterval="1xLTF_1.6us"
</t>
  </si>
  <si>
    <r>
      <rPr>
        <sz val="9"/>
        <color rgb="FF000000"/>
        <rFont val="Calibri"/>
        <scheme val="minor"/>
      </rPr>
      <t xml:space="preserve">BRCM: CSP  CS00012439197
--
root@prplOS:/# wl -i wl0 nrate
eht mcs 13 Nss 4 Tx Exp 0 bw160 </t>
    </r>
    <r>
      <rPr>
        <sz val="9"/>
        <color rgb="FFFF0000"/>
        <rFont val="Calibri"/>
        <scheme val="minor"/>
      </rPr>
      <t>2xLTF GI 0.8us</t>
    </r>
    <r>
      <rPr>
        <sz val="9"/>
        <color rgb="FF000000"/>
        <rFont val="Calibri"/>
        <scheme val="minor"/>
      </rPr>
      <t xml:space="preserve"> auto
root@prplOS:/# wl -i wl0 sgi_tx
</t>
    </r>
    <r>
      <rPr>
        <sz val="9"/>
        <color rgb="FFFF0000"/>
        <rFont val="Calibri"/>
        <scheme val="minor"/>
      </rPr>
      <t>-1</t>
    </r>
  </si>
  <si>
    <t>support
pwhm only supports const char* Rad_SupGI[] = {"Auto", "400nsec", "800nsec", 0}; that means index 0/1/2 and sgi_tx -1/1/0. Basically this Property doesn't support EHT guardInterval, just keep the code. And use "Auto" for HE/EHT mode</t>
  </si>
  <si>
    <t>2026-03-04_EIT: verified and found fix in version 4.0.3
root@prplOS:~# ubus-cli WiFi.Radio.1.OperatingStandards="a"
&gt; WiFi.Radio.1.OperatingStandards=a
WiFi.Radio.1.
WiFi.Radio.1.OperatingStandards="a"
root@prplOS:~# ubus-cli WiFi.Radio.3.OperatingStandards="n"
&gt; WiFi.Radio.3.OperatingStandards=n
WiFi.Radio.3.
WiFi.Radio.3.OperatingStandards="n"
root@prplOS:~#
root@prplOS:~# ubus-cli WiFi.Radio.*.GuardInterval?
&gt; WiFi.Radio.*.GuardInterval?
WiFi.Radio.1.GuardInterval="Auto"
WiFi.Radio.2.GuardInterval="Auto"
WiFi.Radio.3.GuardInterval="Auto"
root@prplOS:~# ubus-cli WiFi.Radio.1.GuardInterval="400nsec"
&gt; WiFi.Radio.1.GuardInterval=400nsec
WiFi.Radio.1.
WiFi.Radio.1.GuardInterval="400nsec"
root@prplOS:~# ubus-cli WiFi.Radio.3.GuardInterval="800nsec"
&gt; WiFi.Radio.3.GuardInterval=800nsec
WiFi.Radio.3.
WiFi.Radio.3.GuardInterval="800nsec"
root@prplOS:~# ubus-cli WiFi.Radio.*.GuardInterval?
&gt; WiFi.Radio.*.GuardInterval?
WiFi.Radio.1.GuardInterval="400nsec"
WiFi.Radio.2.GuardInterval="Auto"
WiFi.Radio.3.GuardInterval="800nsec"
BRCM: CSP  CS00012439197
2026-01-07 rework gi for ofdma
2026-01-09 pwhm only support const char* Rad_SupGI[] = {"Auto", "400nsec", "800nsec", 0}
Basically this property doesn't support EHT guardInterval stetting, just keep the code. And use "Auto" for HE/EHT chip
0114-EIT: Verify base on BRCM confirmed supported {"Auto", "400nsec", "800nsec"}
---
settings in API not shown in the driver</t>
  </si>
  <si>
    <t>HeCapsEnabled</t>
  </si>
  <si>
    <t>ubus-cli WiFi.Radio.{i}.HeCapsEnabled=DL_OFDMA,UL_OFDMA,DL_MUMIMO</t>
  </si>
  <si>
    <t xml:space="preserve">1. Try enabled all supporting HE capablitities for all readios:
root@prplOS:/# ubus-cli 'WiFi.Radio.*.HeCapsEnabled="DL_OFDMA,UL_OFDMA,DL_MUMIMO,UL_MUMIMO"'
2. Check the settings:
root@prplOS:/# ubus-cli WiFi.Radio.*.HeCapsEnabled?
&gt; WiFi.Radio.*.HeCapsEnabled?
WiFi.Radio.1.HeCapsEnabled="DL_OFDMA,UL_OFDMA,DL_MUMIMO,UL_MUMIMO"
WiFi.Radio.2.HeCapsEnabled="DL_OFDMA,UL_OFDMA,DL_MUMIMO,UL_MUMIMO"
WiFi.Radio.3.HeCapsEnabled="DL_OFDMA,UL_OFDMA,DL_MUMIMO,UL_MUMIMO"
</t>
  </si>
  <si>
    <t>wl -i wl[x] he features
root@prplOS:/# wl -i wl0 he features
63 (0x3f)
root@prplOS:/# wl -i wl1 he features
63 (0x3f)
root@prplOS:/# wl -i wl2 he features
63 (0x3f)</t>
  </si>
  <si>
    <t xml:space="preserve">
2026-02-24_EIT: verified and found fix in version 4.0.3
ARC:  Vendor driver data is missing to set UL_MUMIMO bits.
BRCM: CSP  CS00012439197
2025-12-15  need to rework(add hecaps setting)
2026-01-06 CS00012439197_20260106.tgz fixed
---
The API setting will only be complete after entered ubus-cli interface. Which is:
    Use 'ubus-cli WiFi.Radio.*.HeCapsEnabled="DL_OFDMA,UL_OFDMA,DL_MUMIMO,UL_MUMIMO"' directly.  -&gt;  Only "UL_MUMIMO" is set.
    Use "ubus-cli" first. Enters cli interface, use 'WiFi.Radio.*.HeCapsEnabled="DL_OFDMA,UL_OFDMA,DL_MUMIMO,UL_MUMIMO"'.  -&gt;  The settings are complete.
"wl -i wlx he features" returns 63(0x3f) no matter what value this model is holding.</t>
  </si>
  <si>
    <t>HeCapsSupported</t>
  </si>
  <si>
    <t>ubus-cli WiFi.Radio.{i}.HeCapsSupported=DL_OFDMA,UL_OFDMA,DL_MUMIMO</t>
  </si>
  <si>
    <t xml:space="preserve">1. Read supported He Capability for all radios:
root@prplOS:/# ubus-cli WiFi.Radio.*.HeCapsSupported?
&gt; WiFi.Radio.*.HeCapsSupported?
WiFi.Radio.1.HeCapsSupported="DL_OFDMA,UL_OFDMA,DL_MUMIMO,UL_MUMIMO"
WiFi.Radio.2.HeCapsSupported="DL_OFDMA,UL_OFDMA,DL_MUMIMO,UL_MUMIMO"
WiFi.Radio.3.HeCapsSupported="DL_OFDMA,UL_OFDMA,DL_MUMIMO,UL_MUMIMO"
</t>
  </si>
  <si>
    <t>IEEE80211_Caps</t>
  </si>
  <si>
    <t>ubus-cli WiFi.Radio.{i}.IEEE80211_Caps=WPA2 BURST WME WME_TKIPMIC BGSCAN UAPSD DOTH IMPL_BF EXPL_BF</t>
  </si>
  <si>
    <t xml:space="preserve">1. Get Radio Default value of IEEE80211_Caps
root@prplOS:/# ubus-cli WiFi.Radio.*.IEEE80211_Caps?
&gt; WiFi.Radio.*.IEEE80211_Caps?
WiFi.Radio.1.IEEE80211_Caps="160MHz UAPSD WEP TKIP AES AES_CCM SAE EXPL_BF IMPL_BF MU_MIMO DFS_OFFLOAD OWE SAE_PWE WME"
WiFi.Radio.2.IEEE80211_Caps="320MHz 160MHz UAPSD SAE EXPL_BF IMPL_BF MU_MIMO OWE SAE_PWE WME"
WiFi.Radio.3.IEEE80211_Caps="UAPSD WEP TKIP AES AES_CCM SAE EXPL_BF IMPL_BF MU_MIMO OWE SAE_PWE WME"
2. Check Capability in Beacon frame
| Capability                | Wireshark path              
| ------------------------ | --------------------------- 
| WME / UAPSD       |   Beacon → WMM IE             
| 160/320 MHz        |   VHT / HE / EHT Operation IE 
| MU-MIMO             | VHT/HE Capabilities IE      
| Beamforming        | VHT/HE/EHT Capabilities     
| SAE / OWE             | RSN IE → AKM list           
</t>
  </si>
  <si>
    <t>root@prplOS:/# wl -i wl0 cap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root@prplOS:/# wl -i wl1 cap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root@prplOS:/# wl -i wl2 cap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t>
  </si>
  <si>
    <t>IEEE80211hEnabled</t>
  </si>
  <si>
    <t>ubus-cli WiFi.Radio.{i}.IEEE80211hEnabled=1</t>
  </si>
  <si>
    <t>1. Check API default value:
root@prplOS:/# ubus-cli WiFi.Radio.*.IEEE80211hEnabled?
&gt; WiFi.Radio.*.IEEE80211hEnabled?
WiFi.Radio.1.IEEE80211hEnabled=1
WiFi.Radio.2.IEEE80211hEnabled=0
WiFi.Radio.3.IEEE80211hEnabled=0
2. Compare with driver settings, this API is not able to modify.</t>
  </si>
  <si>
    <t>root@prplOS:/# wl -i wl0 spect
Loose interpretation of 11h spec - may join non 11h AP.
root@prplOS:/# wl -i wl1 spect
Off
root@prplOS:/# wl -i wl2 spect
Off
root@prplOS:/# wl -i wl0 radar
1
root@prplOS:/# wl -i wl1 radar
0
root@prplOS:/# wl -i wl2 radar
0
root@prplOS:/# cat /tmp/wl0_hapd.conf |grep ieee80211h
ieee80211h=1
root@prplOS:/# cat /tmp/wl1_hapd.conf |grep ieee80211h
ieee80211h=0
root@prplOS:/# cat /tmp/wl2_hapd.conf |grep ieee80211h
ieee80211h=0</t>
  </si>
  <si>
    <t>IEEE80211hSupported</t>
  </si>
  <si>
    <t>ubus-cli WiFi.Radio.{i}.IEEE80211hSupported=1</t>
  </si>
  <si>
    <t>1. Read-only API, defines whether each radio supported 802.11h standard. Check the API value and compare them with driver capability and packets' tag from radio beacons:
ubus-cli WiFi.Radio.*.IEEE80211hSupported?
&gt; WiFi.Radio.*.IEEE80211hSupported?
WiFi.Radio.1.IEEE80211hSupported=1
WiFi.Radio.2.IEEE80211hSupported=0
WiFi.Radio.3.IEEE80211hSupported=0</t>
  </si>
  <si>
    <t xml:space="preserve">wl -i wl0 cap | grep 802.11h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cptlv-4 ve fbtoverds fbt_adpt ifver bgdfs bgdfs160 spp lpr_scan bkoff_evt awd_data_info monitor cevent traffic_thresh 11ax 11be 320 stamon csimon cfp hwa-1a-1b-2a-2b-3a-3b-4b-pp-pr pqp sqs sae slaveradar swpaging ba256 qosmgmt asr sbf_active assert gcmp suite-b chanswitch 11az pcap telemetry mrsno
wl -i wl1 cap | grep 802.11h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cptlv-4 ve fbtoverds fbt_adpt ifver bgdfs bgdfs160 spp lpr_scan bkoff_evt awd_data_info monitor cevent traffic_thresh 11ax 11be 320 stamon csimon cfp hwa-1a-1b-2a-2b-3a-3b-4b-pp-pr pqp sqs sae slaveradar swpaging ba256 qosmgmt asr sbf_active assert gcmp suite-b chanswitch 11az pcap telemetry mrsno
wl -i wl2 cap | grep 802.11h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cptlv-4 ve fbtoverds fbt_adpt ifver bgdfs bgdfs160 spp lpr_scan bkoff_evt awd_data_info monitor cevent traffic_thresh 11ax 11be 320 stamon csimon cfp hwa-1a-1b-2a-2b-3a-3b-4b-pp-pr pqp sqs sae slaveradar swpaging ba256 qosmgmt asr sbf_active assert gcmp suite-b chanswitch 11az pcap telemetry mrsno
</t>
  </si>
  <si>
    <t>supported; it's ok. Just show 11h in 5Ghz</t>
  </si>
  <si>
    <t>2026-02-26_EIT: verified in version 4.0.3
 Ignore 802.11h info in the driver under wl1 and wl2
BRCM: CSP  CS00012439197
2026-01-08 supported; it's ok. Just show 11h in 5Ghz
--
wl -i wl0 cap including 802.11h, API matches driver settings  -&gt;  OK
wl -i wl1 cap including 802.11h, API mismatch driver settings(API says not supported while driver capability does contains "802.11h") -&gt;  NOK
wl -i wl2 cap including 802.11h, API mismatch driver settings(API says not supported while driver capability does contains "802.11h")  -&gt;  NOK</t>
  </si>
  <si>
    <t>IEEE80211kSupported</t>
  </si>
  <si>
    <t>ubus-cli WiFi.Radio.{i}.IEEE80211kSupported=1</t>
  </si>
  <si>
    <t>1. Read-only API, defines whether each radio supported 802.11k standard. Check the API value and compare them with driver capability and packets' tag from radio beacons:
root@prplOS:/# ubus-cli WiFi.Radio.*.IEEE80211kSupported?
&gt; WiFi.Radio.*.IEEE80211kSupported?
WiFi.Radio.1.IEEE80211kSupported=1
WiFi.Radio.2.IEEE80211kSupported=1
WiFi.Radio.3.IEEE80211kSupported=1</t>
  </si>
  <si>
    <t>(RM Enable Capabilities included in beacon packet, IE: 70)</t>
  </si>
  <si>
    <t>Athur</t>
  </si>
  <si>
    <t>IEEE80211rSupported</t>
  </si>
  <si>
    <t>ubus-cli WiFi.Radio.{i}.IEEE80211rSupported=1</t>
  </si>
  <si>
    <t>1. Read-only API, defines whether each radio supported 802.11r standard. Check the API value and compare them with driver capability and packets' tag from radio beacons:
root@prplOS:/# ubus-cli WiFi.Radio.*.IEEE80211rSupported?
&gt; WiFi.Radio.*.IEEE80211rSupported?
WiFi.Radio.1.IEEE80211rSupported=1
WiFi.Radio.2.IEEE80211rSupported=1
WiFi.Radio.3.IEEE80211rSupported=1
Radio2 (6GHz) support=1, but representing IE not seen in beacon.</t>
  </si>
  <si>
    <t>(Fast Transition / Mability Domain included in beacon packet, IE: 54)</t>
  </si>
  <si>
    <t>this parameter is a prpl-specific extension (custom parameter)  and enable by default(hardcoding in pwhm).
If you want beacon including MDE IE, you need to set parameters in WiFi.AccessPoint.{i}.IEEE80211r. object</t>
  </si>
  <si>
    <t>2026-03-04_EIT: verified and found fix in version 4.0.3
Execute following command first then check Tag (54): Mobility Domain in Beacon packet
  - WiFi.AccessPoint.{i}.IEEE80211r.Enabled=1
  - WiFi.AccessPoint.{i}.IEEE80211r.MobilityDomain=&lt;0..65535&gt;
  - WiFi.Radio.{i}.IEEE80211rSupported=1
BRCM: CSP  CS00012439197
2026-01-08 This parameter is a prpl-specific extension (custom parameter) and enable by default(hardcoding in pwhm).
If you want beacon including MDE IE, you need to set parameters in WiFi.AccessPoint.{i}.IEEE80211r. object.
0123-EIT: Verified and found fix
 Execute following command first then check Tag: Mobility Domain in Beacon packet
  - WiFi.AccessPoint.{i}.IEEE80211r.Enabled=1
  - WiFi.AccessPoint.{i}.IEEE80211r.MobilityDomain=&lt;0..65535&gt;
--
All Radio supported=1 but representing IE not seen in beacon.</t>
  </si>
  <si>
    <t>ImplicitBeamFormingEnabled</t>
  </si>
  <si>
    <t>ubus-cli WiFi.Radio.{i}.ImplicitBeamFormingEnabled=1</t>
  </si>
  <si>
    <t>1. Check API default value:
root@prplOS:/# ubus-cli WiFi.Radio.*.ImplicitBeamFormingEnabled?
&gt; WiFi.Radio.*.ImplicitBeamFormingEnabled?
WiFi.Radio.1.ImplicitBeamFormingEnabled=1
WiFi.Radio.2.ImplicitBeamFormingEnabled=1
WiFi.Radio.3.ImplicitBeamFormingEnabled=1
2. Compare with driver returned value and beacon capability.
3. Change the ImplicitBeamFormingEnabled to 0:
ubus-cli WiFi.Radio.*.ImplicitBeamFormingEnabled=0
4. Compare with driver returned value and beacon capability.</t>
  </si>
  <si>
    <t>(API=1)
root@prplOS:/# wl -i wl0 txbf_imp
1
root@prplOS:/# wl -i wl1 txbf_imp
1
root@prplOS:/# wl -i wl2 txbf_imp
1
(API=0)
root@prplOS:/# wl -i wl0 txbf_imp
0
root@prplOS:/# wl -i wl1 txbf_imp
0
root@prplOS:/# wl -i wl2 txbf_imp
0</t>
  </si>
  <si>
    <t>2026-02-24_EIT: verified and found fix in version 4.0.3
BRCM: CSP  CS00012439197
2026-01-07 support: please check wl -i wl{i} txbf (ExplicitBeamForming) and wl -i wl{i} txbf_imp for (ImplicitBeamForming)
---
The API value does not change the capablilty info - Beamformer Capable in beacons.</t>
  </si>
  <si>
    <t>ImplicitBeamFormingSupported</t>
  </si>
  <si>
    <t>ubus-cli WiFi.Radio.{i}.ImplicitBeamFormingSupported=1</t>
  </si>
  <si>
    <t xml:space="preserve">1. Read-only API, defines whether each radio supported ImplicitBeamForming. Check API value and compare with driver return value:
root@prplOS:/# ubus-cli WiFi.Radio.*.ImplicitBeamFormingSupported?
&gt; WiFi.Radio.*.ImplicitBeamFormingSupported?
WiFi.Radio.1.ImplicitBeamFormingSupported=1
WiFi.Radio.2.ImplicitBeamFormingSupported=1
WiFi.Radio.3.ImplicitBeamFormingSupported=1
</t>
  </si>
  <si>
    <t>Interference</t>
  </si>
  <si>
    <t>ubus-cli WiFi.Radio.{i}.Interference=2</t>
  </si>
  <si>
    <t>1. Check API default value:
root@prplOS:/# ubus-cli WiFi.Radio.*.Interference?
&gt; WiFi.Radio.*.Interference?
WiFi.Radio.1.Interference=0
WiFi.Radio.2.Interference=0
WiFi.Radio.3.Interference=0</t>
  </si>
  <si>
    <r>
      <rPr>
        <sz val="9"/>
        <color rgb="FF000000"/>
        <rFont val="Calibri"/>
        <scheme val="minor"/>
      </rPr>
      <t xml:space="preserve">[0324] Verified in version 4.0.3v1.4
root@prplOS:/# ubus-cli WiFi.Radio.*.Interference?
&gt; WiFi.Radio.*.Interference?
WiFi.Radio.1.Interference=14
WiFi.Radio.2.Interference=2
WiFi.Radio.3.Interference=26
root@prplOS:/# iw dev wl0 survey dump | grep -A 5 "in use"
wl_host_event: WLC_E_BSSCFG_UP for idx[0] ifname[wl0] mld_unit[255]
wl_host_event: WLC_E_BSSCFG_UP for idx[1] ifname[wl0.1] mld_unit[255]
        frequency:                      5805 MHz [in use]
        noise:                          -93 dBm
        channel active time:            34 ms
        channel busy time:              28 ms
        channel receive time:           5 ms
        channel transmit time:          0 ms
</t>
    </r>
    <r>
      <rPr>
        <b/>
        <sz val="9"/>
        <color rgb="FF000000"/>
        <rFont val="Calibri"/>
        <scheme val="minor"/>
      </rPr>
      <t xml:space="preserve">non-self busy=23, noise=-94 ; Interference=14
</t>
    </r>
    <r>
      <rPr>
        <sz val="9"/>
        <color rgb="FF000000"/>
        <rFont val="Calibri"/>
        <scheme val="minor"/>
      </rPr>
      <t xml:space="preserve">
root@prplOS:/# iw dev wl1 survey dump | grep -A 5 "in use"
wl_host_event: WLC_E_BSSCFG_UP for idx[0] ifname[wl1] mld_unit[255]
wl_host_event: WLC_E_BSSCFG_UP for idx[1] ifname[wl1.1] mld_unit[255]
        frequency:                      6795 MHz [in use]
        noise:                          -85 dBm
        channel active time:            64 ms
        channel busy time:              41 ms
        channel receive time:           1 ms
        channel transmit time:          0 ms
</t>
    </r>
    <r>
      <rPr>
        <b/>
        <sz val="9"/>
        <color rgb="FF000000"/>
        <rFont val="Calibri"/>
        <scheme val="minor"/>
      </rPr>
      <t xml:space="preserve">non-self busy=40, noise=-85 ; </t>
    </r>
    <r>
      <rPr>
        <b/>
        <sz val="9"/>
        <color rgb="FFFF0000"/>
        <rFont val="Calibri"/>
        <scheme val="minor"/>
      </rPr>
      <t xml:space="preserve">Interference=2
</t>
    </r>
    <r>
      <rPr>
        <sz val="9"/>
        <color rgb="FF000000"/>
        <rFont val="Calibri"/>
        <scheme val="minor"/>
      </rPr>
      <t xml:space="preserve">
root@prplOS:/# iw dev wl2 survey dump | grep -A 5 "in use"
wl_host_event: WLC_E_BSSCFG_UP for idx[0] ifname[wl2] mld_unit[255]
wl_host_event: WLC_E_BSSCFG_UP for idx[1] ifname[wl2.1] mld_unit[255]
        frequency:                      2462 MHz [in use]
        noise:                          -68 dBm
        channel active time:            34 ms
        channel busy time:              32 ms
        channel receive time:           9 ms
        channel transmit time:          1 ms
</t>
    </r>
    <r>
      <rPr>
        <b/>
        <sz val="9"/>
        <color rgb="FF000000"/>
        <rFont val="Calibri"/>
        <scheme val="minor"/>
      </rPr>
      <t xml:space="preserve">non-self busy=22, noise=-69 ; Interference=26
</t>
    </r>
    <r>
      <rPr>
        <sz val="9"/>
        <color rgb="FF000000"/>
        <rFont val="Calibri"/>
        <scheme val="minor"/>
      </rPr>
      <t xml:space="preserve">
Radio.1 and Radio.3 show reasonable correlation between reported interference values and observed non-self channel occupancy / noise conditions.
However, Radio.2 reports a relatively low interference value despite high non-self busy time and elevated noise floor.</t>
    </r>
  </si>
  <si>
    <t>MaxChannelBandwidth</t>
  </si>
  <si>
    <t>ubus-cli WiFi.Radio.{i}.MaxChannelBandwidth=80MHz</t>
  </si>
  <si>
    <t>Usage: wl bw_cap &lt;2g|5g|6g&gt; [&lt;cap&gt;]
        2g|5g|6g - Requested band
cap:
        0x1 - 20MHz
        0x3 - 20/40MHz
        0x7 - 20/40/80MHz
        0xf - 20/40/80/160MHz
        0x1f - 20/40/80/160/320MHz
        0xff - Unrestricted
root@prplOS:~#
root@prplOS:~# wl -i wl0 bw_cap 5g
0xf
root@prplOS:~# wl -i wl1 bw_cap 6g
0x1f
root@prplOS:~# wl -i wl2 bw_cap 2g
0x3
root@prplOS:~# ubus-cli WiFi.Radio.*.MaxChannelBandwidth?
&gt; WiFi.Radio.*.MaxChannelBandwidth?
WiFi.Radio.1.MaxChannelBandwidth="160MHz"
WiFi.Radio.2.MaxChannelBandwidth="320MHz"
WiFi.Radio.3.MaxChannelBandwidth="40MHz"</t>
  </si>
  <si>
    <t>wl -i wl0 bw_cap
Usage: wl bw_cap &lt;2g|5g|6g&gt; [&lt;cap&gt;]
        2g|5g|6g - Requested band
cap:
        0x1 - 20MHz
        0x3 - 20/40MHz
        0x7 - 20/40/80MHz
        0xf - 20/40/80/160MHz
        0x1f - 20/40/80/160/320MHz
        0xff - Unrestricted
root@prplOS:/# wl bw_cap 5g
0xf
root@prplOS:/# wl bw_cap 6g
0x0
root@prplOS:/# wl bw_cap 2g
0x0</t>
  </si>
  <si>
    <t>MaxChB is readonly. bw_cap keeps auto. Set chanspec can tune the bandwidth
Please see the logs, capture from BDK version. It's ok
# wl -i wl0 bw_cap 6g; wl -i wl0 bw_cap 5g; wl -i wl0 bw_cap 2g
0x1f   0x0  0x0
# wl -i wl1 bw_cap 6g; wl -i wl1 bw_cap 5g; wl -i wl1 bw_cap 2g
0x0  0xf   0x0
# wl -i wl2 bw_cap 6g; wl -i wl2 bw_cap 5g; wl -i wl2 bw_cap 2g
0x0 0x0  0x3
#</t>
  </si>
  <si>
    <t>2026-03-02_EIT: verified and found fix in version 4.0.3
BRCM: CSP  CS00012439197
2026-01-07 MaxChB is readonly. bw_cap keeps auto. Set chanspec can tune the bandwidth
Please see the logs, capture from BDK version. It's ok
# wl -i wl0 bw_cap 6g; wl -i wl0 bw_cap 5g; wl -i wl0 bw_cap 2g
0x1f   0x0  0x0
# wl -i wl1 bw_cap 6g; wl -i wl1 bw_cap 5g; wl -i wl1 bw_cap 2g
0x0  0xf   0x0
# wl -i wl2 bw_cap 6g; wl -i wl2 bw_cap 5g; wl -i wl2 bw_cap 2g
0x0 0x0  0x3
--
The values from wl bw_cap 6g/2g are incorrect.(0x0)
6g should be 0x1f; 2g should be 0xf.</t>
  </si>
  <si>
    <t>MultiUserMIMOEnabled</t>
  </si>
  <si>
    <t>ubus-cli WiFi.Radio.{i}.MultiUserMIMOEnabled=1</t>
  </si>
  <si>
    <t>1. Check MIMO enabled or not
root@prplOS:/# ubus-cli WiFi.Radio.*.MultiUserMIMOEnabled?
&gt; WiFi.Radio.*.MultiUserMIMOEnabled?
WiFi.Radio.1.MultiUserMIMOEnabled=1
WiFi.Radio.2.MultiUserMIMOEnabled=1
WiFi.Radio.3.MultiUserMIMOEnabled=1
2. Connect WiFi Station then rune IPERF3 
iperf3 -c 192.168.1.1 -P 10 -t 60
3. . Check Actual Spatial Streams (NSS) in Use
Command: iw dev wl1 station dump | grep -E "Station|tx bitrate|rx bitrate"
Output:
Station 38:06:e6:92:b0:4a (on wl1)
        tx bitrate:     4322.6 MBit/s 160MHz
        rx bitrate:     3890.3 MBit/s 160MHz
Analysis:
The reported TX/RX PHY rates are multi-Gbps.
Such rates cannot be achieved using 1×1 or 2×2 at 6 GHz/160 MHz.
This indicates multiple spatial streams are actively being used.
4. Confirm MIMO Capabilities from sta_info
Command: wl -i wl1 sta_info 38:06:e6:92:b0:4a | grep -E "OMI|Nss|eht mcs|per antenna rssi|txchain|rxchain"
Key output:
OMI 0x32e3: 160Mhz rx=4ss tx=4ss ER_SU_DISABLE UL_MU_DISABLE
per antenna rssi of last rx data frame: -36 -36 -35 -36
eht mcs 10 Nss 4 Tx Exp 0 bw160 ldpc 2xLTF GI 0.8us auto
eht mcs 12 Nss 3 Tx Exp 0 bw160 ldpc 2xLTF GI 1.6us auto
2.1 OMI — Advertised Spatial Streams
rx = 4ss
tx = 4ss
The STA advertises support for 4 spatial streams in both TX and RX.
2.2 Per-Antenna RSSI — Active Chain Confirmation
-36  -36  -35  -36
Four separate RSSI values confirm four active receive chains.
This validates 4×4 MIMO operation at the RF chain level.
5. AP RF Chain Capability (txchain / rxchain)
Commands: wl -i wl1 txchain / wl -i wl1 rxchain
Output:
txchain: 15 (0xf)
rxchain: 15 (0xf)
Analysis:
0xf (binary 1111) means 4 TX chains and 4 RX chains are enabled.
Confirms the AP is configured as 4×4 MIMO capable.
Based on:
Multi-Gbps PHY rates from iw:
OMI advertisement confirming 4ss TX/RX
Per-antenna RSSI showing 4 active RF chains
AP reporting 4 TX + 4 RX chains enabled
MIMO is enabled and working correctly on 6 GHz (4×4 MIMO).</t>
  </si>
  <si>
    <t>root@prplOS:/# wl -i wl0 mu_features
1
root@prplOS:/# wl -i wl1 mu_features
1
root@prplOS:/# wl -i wl1 mu_features
1</t>
  </si>
  <si>
    <t>Note: 2.4GHz mu features are disable by default "need clarification why it is disabled by default because 5G and 6G are enabled."</t>
  </si>
  <si>
    <t>MultiUserMIMOSupported</t>
  </si>
  <si>
    <t>ubus-cli WiFi.Radio.{i}.MultiUserMIMOSupported=1</t>
  </si>
  <si>
    <t>1. Read-only API, defines whether each radio supported MU-MIMO. Check API value and compare with driver return value:
root@prplOS:/# ubus-cli WiFi.Radio.*.MultiUserMIMOSupported?
&gt; WiFi.Radio.*.MultiUserMIMOSupported?
WiFi.Radio.1.MultiUserMIMOSupported=1
WiFi.Radio.2.MultiUserMIMOSupported=1
WiFi.Radio.3.MultiUserMIMOSupported=1</t>
  </si>
  <si>
    <t>wl -i wl0 he features</t>
  </si>
  <si>
    <t xml:space="preserve"> Why need to check 'he features"</t>
  </si>
  <si>
    <t>WiFi.Radio.{i}.NaStaMonitor.</t>
  </si>
  <si>
    <t>NonAssociatedDevice</t>
  </si>
  <si>
    <t>ubus-cli WiFi.Radio.{i}.NaStaMonitor.NonAssociatedDevice</t>
  </si>
  <si>
    <t>1. Check and make sure NaStaMonitor are enable
root@prplOS:/tmp# ubus-cli WiFi.Radio.*.NaStaMonitor.? | grep Enable
WiFi.Radio.1.NaStaMonitor.Enable=1
WiFi.Radio.1.NaStaMonitor.RssiEventing.Enable=1
WiFi.Radio.2.NaStaMonitor.Enable=1
WiFi.Radio.2.NaStaMonitor.RssiEventing.Enable=1
WiFi.Radio.3.NaStaMonitor.Enable=1
WiFi.Radio.3.NaStaMonitor.RssiEventing.Enable=1
2. Start Wireshark to capture probe request from Station
3. Using linux PC with wifi card &lt;Station&gt; execute below command
iw dev &lt;wlan-interface-name&gt; scan freq &lt;GW Operating -Ch-Frequency&gt; ssid &lt;GW-SSID&gt; bssid &lt;Interface-MAC&gt;
4. Check Wireshark for probe request from Station
5. Check NaStaMonitor.NonAssociatedDevice
root@prplOS:/# ubus-cli WiFi.Radio.*.NaStaMonitor.NonAssociatedDevice?
&gt; WiFi.Radio.*.NaStaMonitor.NonAssociatedDevice?
ERROR: get WiFi.Radio.*.NaStaMonitor.NonAssociatedDevice failed (4 - parameter not found)</t>
  </si>
  <si>
    <t xml:space="preserve"> - API return "parameter not found"</t>
  </si>
  <si>
    <t>ObssCoexistenceEnable</t>
  </si>
  <si>
    <t>ubus-cli WiFi.Radio.{i}.ObssCoexistenceEnable=0</t>
  </si>
  <si>
    <t>1.ubus-cli WiFi.Radio.3.ObssCoexistenceEnable=1
2.ubus-cli WiFi.Radio.3.OperatingChannelBandwidth="40MHz”
3.wl -i wl2 status shows 20MHz
4.ubus-cli WiFi.Radio.3.ObssCoexistenceEnable=0
5.wl -i wl2 status shows 40MHz</t>
  </si>
  <si>
    <t>root@prplOS:/# wl -i wl0 obss_coex
0
root@prplOS:/# wl -i wl1 obss_coex
0
root@prplOS:/# wl -i wl2 obss_coex
1</t>
  </si>
  <si>
    <t>*OBSS Coexistence is supported only on 2.4 GHz, and is not supported on 5 GHz or 6 GHz</t>
  </si>
  <si>
    <t>OfdmaEnable</t>
  </si>
  <si>
    <t>ubus-cli WiFi.Radio.{i}.OfdmaEnable=1</t>
  </si>
  <si>
    <t>1. Check OfdmaEnable
root@prplOS:/tmp# ubus-cli WiFi.Radio.*.OfdmaEnable?
&gt; WiFi.Radio.*.OfdmaEnable?
WiFi.Radio.1.OfdmaEnable=1
WiFi.Radio.2.OfdmaEnable=1
WiFi.Radio.3.OfdmaEnable=1
2. Capture Beacon and make sure the following bits map are present:
HE Capabilities IE
HE Operation IE</t>
  </si>
  <si>
    <t>root@prplOS:~# wl -i wl0 he features
63 (0x3f)
root@prplOS:~# wl -i wl1 he features
63 (0x3f)
root@prplOS:~# wl -i wl2 he features
63 (0x3f)
63 (decimal) = 0x3f (hex)
0x3f in binary = 0011 1111
That means bits 0–5 are set, and higher bits are clear.
Bit	Value	Meaning (high-level)
0	0x01	HE support enabled
1	0x02	HE SU (Single-User)
2	0x04	HE MU (Multi-User)
3	0x08	OFDMA support
4	0x10	UL OFDMA / Trigger-based features
5	0x20	HE MIMO / related HE enhancements
6+	0x40+	Not enabled
So 0x3f means all basic HE features supported by this firmware are enable</t>
  </si>
  <si>
    <t>OperatingChannelBandwidth</t>
  </si>
  <si>
    <t>ubus-cli WiFi.Radio.{i}.OperatingChannelBandwidth=160MHz</t>
  </si>
  <si>
    <t>1. Check MaxChannelBandwidth for each radio:
root@prplOS:/# ubus-cli WiFi.Radio.*.MaxChannelBandwidth?
&gt; WiFi.Radio.*.MaxChannelBandwidth?
WiFi.Radio.1.MaxChannelBandwidth="160MHz"
WiFi.Radio.2.MaxChannelBandwidth="320MHz"
WiFi.Radio.3.MaxChannelBandwidth="40MHz"
2. Set every valid bandwidths for every radio individually.
ubus-cli WiFi.Radio.1.OperatingChannelBandwidth=[20|40|80|160]MHz
ubus-cli WiFi.Radio.2.OperatingChannelBandwidth=[20|40|80|160|320-1|320-2]MHz
ubus-cli WiFi.Radio.3.OperatingChannelBandwidth=[20|40]MHz
3. For every valid bandwidth, compare with driver returns value and air beacon packets status.</t>
  </si>
  <si>
    <t>wl -i wl[x] status
wl -i wl0 status
...
Chanspec: 5GHz channel [ch] 20MHz 40MHz 80MHz 160MHz
wl -i wl1 status
...
Chanspec: 6GHz channel [ch] 20MHz 40MHz 80MHz 160MHz 320MHz
wl -i wl2 status
...
Chanspec: 2.4GHz channel [ch] 20MHz 40MHz
-
wl -i wl[x] chanspecs
root@prplOS:/# wl -i wl0 chanspecs
36 (0xd024)
40 (0xd028)
44 (0xd02c)
48 (0xd030)
52 (0xd034)
56 (0xd038)
60 (0xd03c)
64 (0xd040)
100 (0xd064)
104 (0xd068)
108 (0xd06c)
112 (0xd070)
116 (0xd074)
120 (0xd078)
124 (0xd07c)
128 (0xd080)
132 (0xd084)
136 (0xd088)
140 (0xd08c)
144 (0xd090)
149 (0xd095)
153 (0xd099)
157 (0xd09d)
161 (0xd0a1)
165 (0xd0a5)
169 (0xd0a9)
173 (0xd0ad)
177 (0xd0b1)
36l (0xd826)
40u (0xd926)
44l (0xd82e)
48u (0xd92e)
52l (0xd836)
56u (0xd936)
60l (0xd83e)
64u (0xd93e)
100l (0xd866)
104u (0xd966)
108l (0xd86e)
112u (0xd96e)
116l (0xd876)
120u (0xd976)
124l (0xd87e)
128u (0xd97e)
132l (0xd886)
136u (0xd986)
140l (0xd88e)
144u (0xd98e)
149l (0xd897)
153u (0xd997)
157l (0xd89f)
161u (0xd99f)
165l (0xd8a7)
169u (0xd9a7)
173l (0xd8af)
177u (0xd9af)
36/80 (0xe02a)
40/80 (0xe12a)
44/80 (0xe22a)
48/80 (0xe32a)
52/80 (0xe03a)
56/80 (0xe13a)
60/80 (0xe23a)
64/80 (0xe33a)
100/80 (0xe06a)
104/80 (0xe16a)
108/80 (0xe26a)
112/80 (0xe36a)
116/80 (0xe07a)
120/80 (0xe17a)
124/80 (0xe27a)
128/80 (0xe37a)
132/80 (0xe08a)
136/80 (0xe18a)
140/80 (0xe28a)
144/80 (0xe38a)
149/80 (0xe09b)
153/80 (0xe19b)
157/80 (0xe29b)
161/80 (0xe39b)
165/80 (0xe0ab)
169/80 (0xe1ab)
173/80 (0xe2ab)
177/80 (0xe3ab)
36/160 (0xe832)
40/160 (0xe932)
44/160 (0xea32)
48/160 (0xeb32)
52/160 (0xec32)
56/160 (0xed32)
60/160 (0xee32)
64/160 (0xef32)
100/160 (0xe872)
104/160 (0xe972)
108/160 (0xea72)
112/160 (0xeb72)
116/160 (0xec72)
120/160 (0xed72)
124/160 (0xee72)
128/160 (0xef72)
149/160 (0xe8a3)
153/160 (0xe9a3)
157/160 (0xeaa3)
161/160 (0xeba3)
165/160 (0xeca3)
169/160 (0xeda3)
173/160 (0xeea3)
177/160 (0xefa3)
root@prplOS:/# wl -i wl1 chanspecs
wl1: dhd_prot_ioctl: status ret value is -14 iov=chanspecs
wl1: dhd_prot_ioctl: status ret value is -14 iov=chanspecs
6g2 (0x5002)
6g1 (0x5001)
6g5 (0x5005)
6g9 (0x5009)
6g13 (0x500d)
6g17 (0x5011)
6g21 (0x5015)
6g25 (0x5019)
6g29 (0x501d)
6g33 (0x5021)
6g37 (0x5025)
6g41 (0x5029)
6g45 (0x502d)
6g49 (0x5031)
6g53 (0x5035)
6g57 (0x5039)
6g61 (0x503d)
6g65 (0x5041)
6g69 (0x5045)
6g73 (0x5049)
6g77 (0x504d)
6g81 (0x5051)
6g85 (0x5055)
6g89 (0x5059)
6g93 (0x505d)
6g97 (0x5061)
6g101 (0x5065)
6g105 (0x5069)
6g109 (0x506d)
6g113 (0x5071)
6g117 (0x5075)
6g121 (0x5079)
6g125 (0x507d)
6g129 (0x5081)
6g133 (0x5085)
6g137 (0x5089)
6g141 (0x508d)
6g145 (0x5091)
6g149 (0x5095)
6g153 (0x5099)
6g157 (0x509d)
6g161 (0x50a1)
6g165 (0x50a5)
6g169 (0x50a9)
6g173 (0x50ad)
6g177 (0x50b1)
6g181 (0x50b5)
6g185 (0x50b9)
6g189 (0x50bd)
6g193 (0x50c1)
6g197 (0x50c5)
6g201 (0x50c9)
6g205 (0x50cd)
6g209 (0x50d1)
6g213 (0x50d5)
6g217 (0x50d9)
6g221 (0x50dd)
6g225 (0x50e1)
6g229 (0x50e5)
6g233 (0x50e9)
6g1/40 (0x5803)
6g5/40 (0x5903)
6g9/40 (0x580b)
6g13/40 (0x590b)
6g17/40 (0x5813)
6g21/40 (0x5913)
6g25/40 (0x581b)
6g29/40 (0x591b)
6g33/40 (0x5823)
6g37/40 (0x5923)
6g41/40 (0x582b)
6g45/40 (0x592b)
6g49/40 (0x5833)
6g53/40 (0x5933)
6g57/40 (0x583b)
6g61/40 (0x593b)
6g65/40 (0x5843)
6g69/40 (0x5943)
6g73/40 (0x584b)
6g77/40 (0x594b)
6g81/40 (0x5853)
6g85/40 (0x5953)
6g89/40 (0x585b)
6g93/40 (0x595b)
6g97/40 (0x5863)
6g101/40 (0x5963)
6g105/40 (0x586b)
6g109/40 (0x596b)
6g113/40 (0x5873)
6g117/40 (0x5973)
6g121/40 (0x587b)
6g125/40 (0x597b)
6g129/40 (0x5883)
6g133/40 (0x5983)
6g137/40 (0x588b)
6g141/40 (0x598b)
6g145/40 (0x5893)
6g149/40 (0x5993)
6g153/40 (0x589b)
6g157/40 (0x599b)
6g161/40 (0x58a3)
6g165/40 (0x59a3)
6g169/40 (0x58ab)
6g173/40 (0x59ab)
6g177/40 (0x58b3)
6g181/40 (0x59b3)
6g185/40 (0x58bb)
6g189/40 (0x59bb)
6g193/40 (0x58c3)
6g197/40 (0x59c3)
6g201/40 (0x58cb)
6g205/40 (0x59cb)
6g209/40 (0x58d3)
6g213/40 (0x59d3)
6g217/40 (0x58db)
6g221/40 (0x59db)
6g225/40 (0x58e3)
6g229/40 (0x59e3)
6g1/80 (0x6007)
6g5/80 (0x6107)
6g9/80 (0x6207)
6g13/80 (0x6307)
6g17/80 (0x6017)
6g21/80 (0x6117)
6g25/80 (0x6217)
6g29/80 (0x6317)
6g33/80 (0x6027)
6g37/80 (0x6127)
6g41/80 (0x6227)
6g45/80 (0x6327)
6g49/80 (0x6037)
6g53/80 (0x6137)
6g57/80 (0x6237)
6g61/80 (0x6337)
6g65/80 (0x6047)
6g69/80 (0x6147)
6g73/80 (0x6247)
6g77/80 (0x6347)
6g81/80 (0x6057)
6g85/80 (0x6157)
6g89/80 (0x6257)
6g93/80 (0x6357)
6g97/80 (0x6067)
6g101/80 (0x6167)
6g105/80 (0x6267)
6g109/80 (0x6367)
6g113/80 (0x6077)
6g117/80 (0x6177)
6g121/80 (0x6277)
6g125/80 (0x6377)
6g129/80 (0x6087)
6g133/80 (0x6187)
6g137/80 (0x6287)
6g141/80 (0x6387)
6g145/80 (0x6097)
6g149/80 (0x6197)
6g153/80 (0x6297)
6g157/80 (0x6397)
6g161/80 (0x60a7)
6g165/80 (0x61a7)
6g169/80 (0x62a7)
6g173/80 (0x63a7)
6g177/80 (0x60b7)
6g181/80 (0x61b7)
6g185/80 (0x62b7)
6g189/80 (0x63b7)
6g193/80 (0x60c7)
6g197/80 (0x61c7)
6g201/80 (0x62c7)
6g205/80 (0x63c7)
6g209/80 (0x60d7)
6g213/80 (0x61d7)
6g217/80 (0x62d7)
6g221/80 (0x63d7)
6g1/160 (0x680f)
6g5/160 (0x690f)
6g9/160 (0x6a0f)
6g13/160 (0x6b0f)
6g17/160 (0x6c0f)
6g21/160 (0x6d0f)
6g25/160 (0x6e0f)
6g29/160 (0x6f0f)
6g33/160 (0x682f)
6g37/160 (0x692f)
6g41/160 (0x6a2f)
6g45/160 (0x6b2f)
6g49/160 (0x6c2f)
6g53/160 (0x6d2f)
6g57/160 (0x6e2f)
6g61/160 (0x6f2f)
6g65/160 (0x684f)
6g69/160 (0x694f)
6g73/160 (0x6a4f)
6g77/160 (0x6b4f)
6g81/160 (0x6c4f)
6g85/160 (0x6d4f)
6g89/160 (0x6e4f)
6g93/160 (0x6f4f)
6g97/160 (0x686f)
6g101/160 (0x696f)
6g105/160 (0x6a6f)
6g109/160 (0x6b6f)
6g113/160 (0x6c6f)
6g117/160 (0x6d6f)
6g121/160 (0x6e6f)
6g125/160 (0x6f6f)
6g129/160 (0x688f)
6g133/160 (0x698f)
6g137/160 (0x6a8f)
6g141/160 (0x6b8f)
6g145/160 (0x6c8f)
6g149/160 (0x6d8f)
6g153/160 (0x6e8f)
6g157/160 (0x6f8f)
6g161/160 (0x68af)
6g165/160 (0x69af)
6g169/160 (0x6aaf)
6g173/160 (0x6baf)
6g177/160 (0x6caf)
6g181/160 (0x6daf)
6g185/160 (0x6eaf)
6g189/160 (0x6faf)
6g193/160 (0x68cf)
6g197/160 (0x69cf)
6g201/160 (0x6acf)
6g205/160 (0x6bcf)
6g209/160 (0x6ccf)
6g213/160 (0x6dcf)
6g217/160 (0x6ecf)
6g221/160 (0x6fcf)
6g1/320-1 (0x7000)
6g5/320-1 (0x7040)
6g9/320-1 (0x7080)
6g13/320-1 (0x70c0)
6g17/320-1 (0x7100)
6g21/320-1 (0x7140)
6g25/320-1 (0x7180)
6g29/320-1 (0x71c0)
6g33/320-1 (0x7200)
6g37/320-1 (0x7240)
6g41/320-1 (0x7280)
6g45/320-1 (0x72c0)
6g49/320-1 (0x7300)
6g53/320-1 (0x7340)
6g57/320-1 (0x7380)
6g61/320-1 (0x73c0)
6g33/320-2 (0x7001)
6g37/320-2 (0x7041)
6g41/320-2 (0x7081)
6g45/320-2 (0x70c1)
6g49/320-2 (0x7101)
6g53/320-2 (0x7141)
6g57/320-2 (0x7181)
6g61/320-2 (0x71c1)
6g65/320-2 (0x7201)
6g69/320-2 (0x7241)
6g73/320-2 (0x7281)
6g77/320-2 (0x72c1)
6g81/320-2 (0x7301)
6g85/320-2 (0x7341)
6g89/320-2 (0x7381)
6g93/320-2 (0x73c1)
6g65/320-1 (0x7002)
6g69/320-1 (0x7042)
6g73/320-1 (0x7082)
6g77/320-1 (0x70c2)
6g81/320-1 (0x7102)
6g85/320-1 (0x7142)
6g89/320-1 (0x7182)
6g93/320-1 (0x71c2)
6g97/320-1 (0x7202)
6g101/320-1 (0x7242)
6g105/320-1 (0x7282)
6g109/320-1 (0x72c2)
6g113/320-1 (0x7302)
6g117/320-1 (0x7342)
6g121/320-1 (0x7382)
6g125/320-1 (0x73c2)
6g97/320-2 (0x7003)
6g101/320-2 (0x7043)
6g105/320-2 (0x7083)
6g109/320-2 (0x70c3)
6g113/320-2 (0x7103)
6g117/320-2 (0x7143)
6g121/320-2 (0x7183)
6g125/320-2 (0x71c3)
6g129/320-2 (0x7203)
6g133/320-2 (0x7243)
6g137/320-2 (0x7283)
6g141/320-2 (0x72c3)
6g145/320-2 (0x7303)
6g149/320-2 (0x7343)
6g153/320-2 (0x7383)
6g157/320-2 (0x73c3)
6g129/320-1 (0x7004)
6g133/320-1 (0x7044)
6g137/320-1 (0x7084)
6g141/320-1 (0x70c4)
6g145/320-1 (0x7104)
6g149/320-1 (0x7144)
6g153/320-1 (0x7184)
6g157/320-1 (0x71c4)
6g161/320-1 (0x7204)
6g165/320-1 (0x7244)
6g169/320-1 (0x7284)
6g173/320-1 (0x72c4)
6g177/320-1 (0x7304)
6g181/320-1 (0x7344)
6g185/320-1 (0x7384)
6g189/320-1 (0x73c4)
6g161/320-2 (0x7005)
6g165/320-2 (0x7045)
6g169/320-2 (0x7085)
6g173/320-2 (0x70c5)
6g177/320-2 (0x7105)
6g181/320-2 (0x7145)
6g185/320-2 (0x7185)
6g189/320-2 (0x71c5)
6g193/320-2 (0x7205)
6g197/320-2 (0x7245)
6g201/320-2 (0x7285)
6g205/320-2 (0x72c5)
6g209/320-2 (0x7305)
6g213/320-2 (0x7345)
6g217/320-2 (0x7385)
6g221/320-2 (0x73c5)
root@prplOS:/# wl -i wl2 chanspecs
1 (0x1001)
2 (0x1002)
3 (0x1003)
4 (0x1004)
5 (0x1005)
6 (0x1006)
7 (0x1007)
8 (0x1008)
9 (0x1009)
10 (0x100a)
11 (0x100b)
12 (0x100c)
13 (0x100d)
14 (0x100e)
1l (0x1803)
5u (0x1903)
2l (0x1804)
6u (0x1904)
3l (0x1805)
7u (0x1905)
4l (0x1806)
8u (0x1906)
5l (0x1807)
9u (0x1907)
6l (0x1808)
10u (0x1908)
7l (0x1809)
11u (0x1909)
8l (0x180a)
12u (0x190a)
9l (0x180b)
13u (0x190b)</t>
  </si>
  <si>
    <t>supported
ubus-cli WiFi.Radio.1.Channel=121; ubus-cli WiFi.Radio.1.Operatin
gChannelBandwidth="320MHz-1"</t>
  </si>
  <si>
    <t xml:space="preserve">BRCM: CSP  CS00012439197
2026-01-05 supported
ubus-cli WiFi.Radio.1.Channel=121; ubus-cli WiFi.Radio.1.Operatin
gChannelBandwidth="320MHz-1"
--
Under 6GHz 802.11be, bandwidth unable to set to 320MHz. The API keeps returns: 
ERROR: set WiFi.Radio.2.OperatingChannelBandwidth failed (10 - invalid value)
Check with "wl -i wl1 chanspecs", 6GHz radio do support bandwidth 320MHz. </t>
  </si>
  <si>
    <t>OperatingClass</t>
  </si>
  <si>
    <t>ubus-cli WiFi.Radio.{i}.OperatingClass=134</t>
  </si>
  <si>
    <t>OperatingStandards</t>
  </si>
  <si>
    <t>ubus-cli WiFi.Radio.{i}.OperatingStandards=ax</t>
  </si>
  <si>
    <t>1. Try change all radio to BE standard:
ubus-cli WiFi.Radio.1.OperatingStandards=be
ubus-cli WiFi.Radio.2.OperatingStandards=be
ubus-cli WiFi.Radio.3.OperatingStandards=be
2. Check standard:
root@prplOS:/# ubus-cli WiFi.Radio.*.OperatingStandards?
&gt; WiFi.Radio.*.OperatingStandards?
WiFi.Radio.1.OperatingStandards="be"
WiFi.Radio.2.OperatingStandards="be"
WiFi.Radio.3.OperatingStandards="be"
3. Capture air beacon, the EHT IE should contained(Ext Tag: EHT Capabilities (802.11be D3.0) &amp; Ext Tag: EHT Operation (802.11be D3.0)).
4. Change all radio to AX standard:
ubus-cli WiFi.Radio.*.OperatingStandards=ax
5. Check standard: 
root@prplOS:/# ubus-cli WiFi.Radio.*.OperatingStandards?
&gt; WiFi.Radio.*.OperatingStandards?
WiFi.Radio.1.OperatingStandards="ax"
WiFi.Radio.2.OperatingStandards="ax"
WiFi.Radio.3.OperatingStandards="ax"
6. Capture air beacon, the EHT IE should not contained(Ext Tag: EHT Capabilities (802.11be D3.0) &amp; Ext Tag: EHT Operation (802.11be D3.0)) and should contained HE IE.
7. Switch according to the 802.11 standard supported by each radio and verify each one individually-
WiFi.Radio.1.SupportedStandards="a,n,an,ac,ax,be"
WiFi.Radio.2.SupportedStandards="ax,be"
WiFi.Radio.3.SupportedStandards="b,g,n,bg,gn,bgn,ax,be"</t>
  </si>
  <si>
    <t>[BE]
wl -i wl[i] status
wl -i wl[i] nmode
wl -i wl[i] vhtmode
wl -i wl[i] he features
wl -i wl[i] eht features
root@prplOS:/# wl -i wl0 status
SSID: "AAA_ATnT-wl0"
Mode: Managed   RSSI: 0 dBm     SNR: 0 dB       noise: -99 dBm  Channel: 36
BSSID: 64:75:DA:4E:51:65        Capability: ESS RRM
Beacon Interval: 100 msecs
Supported Rates: [ 6(b) 9 12 18 24(b) 36 48 54 ]
VHT Capable:
        Chanspec: 5GHz channel 36 20MHz (0xd024)
        Primary channel: 36
        HT Capabilities: 40MHz SGI20 SGI40
        Supported HT MCS : 0-31
        Supported VHT MCS:
                NSS1 Tx: 0-11        Rx: 0-11
                NSS2 Tx: 0-11        Rx: 0-11
                NSS3 Tx: 0-11        Rx: 0-11
                NSS4 Tx: 0-11        Rx: 0-11
QBSS Channel Utilization: 0x9f (62 %)
root@prplOS:/# wl -i wl0 nmode
4
root@prplOS:/# wl -i wl0 vhtmode
1
root@prplOS:/# wl -i wl0 he features
0 (0x0)
root@prplOS:/# wl -i wl0 eht features
127 (0x7f)
root@prplOS:/# wl -i wl1 status
SSID: "AAA_ATnT-wl1"
Mode: Managed   RSSI: 0 dBm     SNR: 0 dB       noise: -99 dBm  Channel: 6g141
BSSID: 64:75:DA:4E:51:66        Capability: ESS RRM
Beacon Interval: 100 msecs
Supported Rates: [ 6(b) 9 12 18 24(b) 36 48 54 ]
EHT Capable:
        Chanspec: 6GHz channel 141 20MHz (0x508d)
        Primary channel: 141
        Supported HE MCS:
            20/40/80 MHz:
                NSS1 Tx: 0-11        Rx: 0-11
                NSS2 Tx: 0-11        Rx: 0-11
                NSS3 Tx: 0-11        Rx: 0-11
            160 MHz:
                NSS1 Tx: 0-11        Rx: 0-11
                NSS2 Tx: 0-11        Rx: 0-11
                NSS3 Tx: 0-11        Rx: 0-11
        BSS Color: 0x0          Partial BSS Color: false
        BSS Color Disabled: false
        Supported EHT MCS:
            20/40/80 MHz:
                NSS1 Tx: 0-13        Rx: 0-13
                NSS2 Tx: 0-13        Rx: 0-13
                NSS3 Tx: 0-13        Rx: 0-13
            160 MHz:
                NSS1 Tx: 0-13        Rx: 0-13
                NSS2 Tx: 0-13        Rx: 0-13
                NSS3 Tx: 0-13        Rx: 0-13
            320 MHz:
                NSS1 Tx: 0-13        Rx: 0-13
                NSS2 Tx: 0-13        Rx: 0-13
                NSS3 Tx: 0-13        Rx: 0-13
QBSS Channel Utilization: 0x5 (1 %)
root@prplOS:/# wl -i wl1 nmode
3
root@prplOS:/# wl -i wl1 vhtmode
1
root@prplOS:/# wl -i wl1 he features
0 (0x0)
root@prplOS:/# wl -i wl1 eht features
127 (0x7f)
root@prplOS:/# wl -i wl2 status
SSID: "AAA_ATnT-wl2"
Mode: Managed   RSSI: 0 dBm     SNR: 0 dB       noise: -99 dBm  Channel: 1
BSSID: 64:75:DA:4E:51:77        Capability: ESS ShortSlot RRM
Beacon Interval: 100 msecs
Supported Rates: [ 1(b) 2(b) 5.5(b) 6 9 11(b) 12 18 24 36 48 54 ]
EHT Capable:
        Chanspec: 2.4GHz channel 1 20MHz (0x1001)
        Primary channel: 1
        HT Capabilities: 40MHz SGI20 SGI40
        Supported HT MCS : 0-31
        Supported VHT MCS:
                NSS1 Tx: 0-11        Rx: 0-11
                NSS2 Tx: 0-11        Rx: 0-11
                NSS3 Tx: 0-11        Rx: 0-11
                NSS4 Tx: 0-11        Rx: 0-11
        Supported HE MCS:
            20/40/80 MHz:
                NSS1 Tx: 0-11        Rx: 0-11
                NSS2 Tx: 0-11        Rx: 0-11
                NSS3 Tx: 0-11        Rx: 0-11
                NSS4 Tx: 0-11        Rx: 0-11
        BSS Color: 0x0          Partial BSS Color: false
        BSS Color Disabled: false
        Supported EHT MCS:
            20/40/80 MHz:
                NSS1 Tx: 0-13        Rx: 0-13
                NSS2 Tx: 0-13        Rx: 0-13
                NSS3 Tx: 0-13        Rx: 0-13
                NSS4 Tx: 0-13        Rx: 0-13
QBSS Channel Utilization: 0xc4 (76 %)
root@prplOS:/# wl -i wl2 nmode
4
root@prplOS:/# wl -i wl2 vhtmode
1
root@prplOS:/# wl -i wl2 he features
63 (0x3f)
root@prplOS:/# wl -i wl2 eht features
127 (0x7f)</t>
  </si>
  <si>
    <t>Limitation in current period. Need to spend time to rework</t>
  </si>
  <si>
    <t>[0323] Verified in version 4.0.3v1.4: 5GHz every standards shows correct tags in beacons(in 1.2 the n standard contains HE/EHT tag). 2.4GHz every standards shows correct tags in beacons(in v1.2 the bgn standard contains HE/EHT tag).
BCM: Limitation in current period. Need to spend time to rework
BRCM: CSP  CS00012439197
2026-01-09 Done for 0109 patch, need to verify
2026-01-13 CS00012439197_20260113.tgz fixed
---
2.4GHz beacons contain EHT IE. 5GHz beacons do not contain HE / EHT IE.</t>
  </si>
  <si>
    <t>PossibleChannels</t>
  </si>
  <si>
    <t>ubus-cli WiFi.Radio.{i}.PossibleChannels=1,2,5,9,13,17,21,25,29,33,37</t>
  </si>
  <si>
    <t>1. Check the list of channels supported by each radio:
root@prplOS:/# ubus-cli WiFi.Radio.*.PossibleChannels?
&gt; WiFi.Radio.*.PossibleChannels?
WiFi.Radio.1.PossibleChannels="36,40,44,48,52,56,60,64,100,104,108,112,116,120,124,128,132,136,140,144,149,153,157,161,165,169,173,177"
WiFi.Radio.2.PossibleChannels="1,5,9,13,17,21,25,29,33,37,41,45,49,53,57,61,65,69,73,77,81,85,89,93,97,101,105,109,113,117,121,125,129,133,137,141,145,149,153,157,161,165,169,173,177,181,185,189,193,197,201,205,209,213,217,221,225,229,233"
WiFi.Radio.3.PossibleChannels="1,2,3,4,5,6,7,8,9,10,11,12,13,14"
2. Compare with driver command "wl -i wl[x] chanspecs"</t>
  </si>
  <si>
    <t xml:space="preserve">wl -i wl0 chanspecs
36 (0xd024)
40 (0xd028)
44 (0xd02c)
48 (0xd030)
52 (0xd034)
56 (0xd038)
60 (0xd03c)
64 (0xd040)
100 (0xd064)
104 (0xd068)
108 (0xd06c)
112 (0xd070)
116 (0xd074)
120 (0xd078)
124 (0xd07c)
128 (0xd080)
132 (0xd084)
136 (0xd088)
140 (0xd08c)
144 (0xd090)
149 (0xd095)
153 (0xd099)
157 (0xd09d)
161 (0xd0a1)
165 (0xd0a5)
169 (0xd0a9)
173 (0xd0ad)
177 (0xd0b1)
36l (0xd826)
40u (0xd926)
44l (0xd82e)
48u (0xd92e)
52l (0xd836)
56u (0xd936)
60l (0xd83e)
64u (0xd93e)
100l (0xd866)
104u (0xd966)
108l (0xd86e)
112u (0xd96e)
116l (0xd876)
120u (0xd976)
124l (0xd87e)
128u (0xd97e)
132l (0xd886)
136u (0xd986)
140l (0xd88e)
144u (0xd98e)
149l (0xd897)
153u (0xd997)
157l (0xd89f)
161u (0xd99f)
165l (0xd8a7)
169u (0xd9a7)
173l (0xd8af)
177u (0xd9af)
36/80 (0xe02a)
40/80 (0xe12a)
44/80 (0xe22a)
48/80 (0xe32a)
52/80 (0xe03a)
56/80 (0xe13a)
60/80 (0xe23a)
64/80 (0xe33a)
100/80 (0xe06a)
104/80 (0xe16a)
108/80 (0xe26a)
112/80 (0xe36a)
116/80 (0xe07a)
120/80 (0xe17a)
124/80 (0xe27a)
128/80 (0xe37a)
132/80 (0xe08a)
136/80 (0xe18a)
140/80 (0xe28a)
144/80 (0xe38a)
149/80 (0xe09b)
153/80 (0xe19b)
157/80 (0xe29b)
161/80 (0xe39b)
165/80 (0xe0ab)
169/80 (0xe1ab)
173/80 (0xe2ab)
177/80 (0xe3ab)
36/160 (0xe832)
40/160 (0xe932)
44/160 (0xea32)
48/160 (0xeb32)
52/160 (0xec32)
56/160 (0xed32)
60/160 (0xee32)
64/160 (0xef32)
100/160 (0xe872)
104/160 (0xe972)
108/160 (0xea72)
112/160 (0xeb72)
116/160 (0xec72)
120/160 (0xed72)
124/160 (0xee72)
128/160 (0xef72)
149/160 (0xe8a3)
153/160 (0xe9a3)
157/160 (0xeaa3)
161/160 (0xeba3)
165/160 (0xeca3)
169/160 (0xeda3)
173/160 (0xeea3)
177/160 (0xefa3)
wl -i wl1 chanspecs
6g2 (0x5002)
6g1 (0x5001)
6g5 (0x5005)
6g9 (0x5009)
6g13 (0x500d)
6g17 (0x5011)
6g21 (0x5015)
6g25 (0x5019)
6g29 (0x501d)
6g33 (0x5021)
6g37 (0x5025)
6g41 (0x5029)
6g45 (0x502d)
6g49 (0x5031)
6g53 (0x5035)
6g57 (0x5039)
6g61 (0x503d)
6g65 (0x5041)
6g69 (0x5045)
6g73 (0x5049)
6g77 (0x504d)
6g81 (0x5051)
6g85 (0x5055)
6g89 (0x5059)
6g93 (0x505d)
6g97 (0x5061)
6g101 (0x5065)
6g105 (0x5069)
6g109 (0x506d)
6g113 (0x5071)
6g117 (0x5075)
6g121 (0x5079)
6g125 (0x507d)
6g129 (0x5081)
6g133 (0x5085)
6g137 (0x5089)
6g141 (0x508d)
6g145 (0x5091)
6g149 (0x5095)
6g153 (0x5099)
6g157 (0x509d)
6g161 (0x50a1)
6g165 (0x50a5)
6g169 (0x50a9)
6g173 (0x50ad)
6g177 (0x50b1)
6g181 (0x50b5)
6g185 (0x50b9)
6g189 (0x50bd)
6g193 (0x50c1)
6g197 (0x50c5)
6g201 (0x50c9)
6g205 (0x50cd)
6g209 (0x50d1)
6g213 (0x50d5)
6g217 (0x50d9)
6g221 (0x50dd)
6g225 (0x50e1)
6g229 (0x50e5)
6g233 (0x50e9)
6g1/40 (0x5803)
6g5/40 (0x5903)
6g9/40 (0x580b)
6g13/40 (0x590b)
6g17/40 (0x5813)
6g21/40 (0x5913)
6g25/40 (0x581b)
6g29/40 (0x591b)
6g33/40 (0x5823)
6g37/40 (0x5923)
6g41/40 (0x582b)
6g45/40 (0x592b)
6g49/40 (0x5833)
6g53/40 (0x5933)
6g57/40 (0x583b)
6g61/40 (0x593b)
6g65/40 (0x5843)
6g69/40 (0x5943)
6g73/40 (0x584b)
6g77/40 (0x594b)
6g81/40 (0x5853)
6g85/40 (0x5953)
6g89/40 (0x585b)
6g93/40 (0x595b)
6g97/40 (0x5863)
6g101/40 (0x5963)
6g105/40 (0x586b)
6g109/40 (0x596b)
6g113/40 (0x5873)
6g117/40 (0x5973)
6g121/40 (0x587b)
6g125/40 (0x597b)
6g129/40 (0x5883)
6g133/40 (0x5983)
6g137/40 (0x588b)
6g141/40 (0x598b)
6g145/40 (0x5893)
6g149/40 (0x5993)
6g153/40 (0x589b)
6g157/40 (0x599b)
6g161/40 (0x58a3)
6g165/40 (0x59a3)
6g169/40 (0x58ab)
6g173/40 (0x59ab)
6g177/40 (0x58b3)
6g181/40 (0x59b3)
6g185/40 (0x58bb)
6g189/40 (0x59bb)
6g193/40 (0x58c3)
6g197/40 (0x59c3)
6g201/40 (0x58cb)
6g205/40 (0x59cb)
6g209/40 (0x58d3)
6g213/40 (0x59d3)
6g217/40 (0x58db)
6g221/40 (0x59db)
6g225/40 (0x58e3)
6g229/40 (0x59e3)
6g1/80 (0x6007)
6g5/80 (0x6107)
6g9/80 (0x6207)
6g13/80 (0x6307)
6g17/80 (0x6017)
6g21/80 (0x6117)
6g25/80 (0x6217)
6g29/80 (0x6317)
6g33/80 (0x6027)
6g37/80 (0x6127)
6g41/80 (0x6227)
6g45/80 (0x6327)
6g49/80 (0x6037)
6g53/80 (0x6137)
6g57/80 (0x6237)
6g61/80 (0x6337)
6g65/80 (0x6047)
6g69/80 (0x6147)
6g73/80 (0x6247)
6g77/80 (0x6347)
6g81/80 (0x6057)
6g85/80 (0x6157)
6g89/80 (0x6257)
6g93/80 (0x6357)
6g97/80 (0x6067)
6g101/80 (0x6167)
6g105/80 (0x6267)
6g109/80 (0x6367)
6g113/80 (0x6077)
6g117/80 (0x6177)
6g121/80 (0x6277)
6g125/80 (0x6377)
6g129/80 (0x6087)
6g133/80 (0x6187)
6g137/80 (0x6287)
6g141/80 (0x6387)
6g145/80 (0x6097)
6g149/80 (0x6197)
6g153/80 (0x6297)
6g157/80 (0x6397)
6g161/80 (0x60a7)
6g165/80 (0x61a7)
6g169/80 (0x62a7)
6g173/80 (0x63a7)
6g177/80 (0x60b7)
6g181/80 (0x61b7)
6g185/80 (0x62b7)
6g189/80 (0x63b7)
6g193/80 (0x60c7)
6g197/80 (0x61c7)
6g201/80 (0x62c7)
6g205/80 (0x63c7)
6g209/80 (0x60d7)
6g213/80 (0x61d7)
6g217/80 (0x62d7)
6g221/80 (0x63d7)
6g1/160 (0x680f)
6g5/160 (0x690f)
6g9/160 (0x6a0f)
6g13/160 (0x6b0f)
6g17/160 (0x6c0f)
6g21/160 (0x6d0f)
6g25/160 (0x6e0f)
6g29/160 (0x6f0f)
6g33/160 (0x682f)
6g37/160 (0x692f)
6g41/160 (0x6a2f)
6g45/160 (0x6b2f)
6g49/160 (0x6c2f)
6g53/160 (0x6d2f)
6g57/160 (0x6e2f)
6g61/160 (0x6f2f)
6g65/160 (0x684f)
6g69/160 (0x694f)
6g73/160 (0x6a4f)
6g77/160 (0x6b4f)
6g81/160 (0x6c4f)
6g85/160 (0x6d4f)
6g89/160 (0x6e4f)
6g93/160 (0x6f4f)
6g97/160 (0x686f)
6g101/160 (0x696f)
6g105/160 (0x6a6f)
6g109/160 (0x6b6f)
6g113/160 (0x6c6f)
6g117/160 (0x6d6f)
6g121/160 (0x6e6f)
6g125/160 (0x6f6f)
6g129/160 (0x688f)
6g133/160 (0x698f)
6g137/160 (0x6a8f)
6g141/160 (0x6b8f)
6g145/160 (0x6c8f)
6g149/160 (0x6d8f)
6g153/160 (0x6e8f)
6g157/160 (0x6f8f)
6g161/160 (0x68af)
6g165/160 (0x69af)
6g169/160 (0x6aaf)
6g173/160 (0x6baf)
6g177/160 (0x6caf)
6g181/160 (0x6daf)
6g185/160 (0x6eaf)
6g189/160 (0x6faf)
6g193/160 (0x68cf)
6g197/160 (0x69cf)
6g201/160 (0x6acf)
6g205/160 (0x6bcf)
6g209/160 (0x6ccf)
6g213/160 (0x6dcf)
6g217/160 (0x6ecf)
6g221/160 (0x6fcf)
6g1/320-1 (0x7000)
6g5/320-1 (0x7040)
6g9/320-1 (0x7080)
6g13/320-1 (0x70c0)
6g17/320-1 (0x7100)
6g21/320-1 (0x7140)
6g25/320-1 (0x7180)
6g29/320-1 (0x71c0)
6g33/320-1 (0x7200)
6g37/320-1 (0x7240)
6g41/320-1 (0x7280)
6g45/320-1 (0x72c0)
6g49/320-1 (0x7300)
6g53/320-1 (0x7340)
6g57/320-1 (0x7380)
6g61/320-1 (0x73c0)
6g33/320-2 (0x7001)
6g37/320-2 (0x7041)
6g41/320-2 (0x7081)
6g45/320-2 (0x70c1)
6g49/320-2 (0x7101)
6g53/320-2 (0x7141)
6g57/320-2 (0x7181)
6g61/320-2 (0x71c1)
6g65/320-2 (0x7201)
6g69/320-2 (0x7241)
6g73/320-2 (0x7281)
6g77/320-2 (0x72c1)
6g81/320-2 (0x7301)
6g85/320-2 (0x7341)
6g89/320-2 (0x7381)
6g93/320-2 (0x73c1)
6g65/320-1 (0x7002)
6g69/320-1 (0x7042)
6g73/320-1 (0x7082)
6g77/320-1 (0x70c2)
6g81/320-1 (0x7102)
6g85/320-1 (0x7142)
6g89/320-1 (0x7182)
6g93/320-1 (0x71c2)
6g97/320-1 (0x7202)
6g101/320-1 (0x7242)
6g105/320-1 (0x7282)
6g109/320-1 (0x72c2)
6g113/320-1 (0x7302)
6g117/320-1 (0x7342)
6g121/320-1 (0x7382)
6g125/320-1 (0x73c2)
6g97/320-2 (0x7003)
6g101/320-2 (0x7043)
6g105/320-2 (0x7083)
6g109/320-2 (0x70c3)
6g113/320-2 (0x7103)
6g117/320-2 (0x7143)
6g121/320-2 (0x7183)
6g125/320-2 (0x71c3)
6g129/320-2 (0x7203)
6g133/320-2 (0x7243)
6g137/320-2 (0x7283)
6g141/320-2 (0x72c3)
6g145/320-2 (0x7303)
6g149/320-2 (0x7343)
6g153/320-2 (0x7383)
6g157/320-2 (0x73c3)
6g129/320-1 (0x7004)
6g133/320-1 (0x7044)
6g137/320-1 (0x7084)
6g141/320-1 (0x70c4)
6g145/320-1 (0x7104)
6g149/320-1 (0x7144)
6g153/320-1 (0x7184)
6g157/320-1 (0x71c4)
6g161/320-1 (0x7204)
6g165/320-1 (0x7244)
6g169/320-1 (0x7284)
6g173/320-1 (0x72c4)
6g177/320-1 (0x7304)
6g181/320-1 (0x7344)
6g185/320-1 (0x7384)
6g189/320-1 (0x73c4)
6g161/320-2 (0x7005)
6g165/320-2 (0x7045)
6g169/320-2 (0x7085)
6g173/320-2 (0x70c5)
6g177/320-2 (0x7105)
6g181/320-2 (0x7145)
6g185/320-2 (0x7185)
6g189/320-2 (0x71c5)
6g193/320-2 (0x7205)
6g197/320-2 (0x7245)
6g201/320-2 (0x7285)
6g205/320-2 (0x72c5)
6g209/320-2 (0x7305)
6g213/320-2 (0x7345)
6g217/320-2 (0x7385)
6g221/320-2 (0x73c5)
wl -i wl2 chanspecs
1 (0x1001)
2 (0x1002)
3 (0x1003)
4 (0x1004)
5 (0x1005)
6 (0x1006)
7 (0x1007)
8 (0x1008)
9 (0x1009)
10 (0x100a)
11 (0x100b)
12 (0x100c)
13 (0x100d)
14 (0x100e)
1l (0x1803)
5u (0x1903)
2l (0x1804)
6u (0x1904)
3l (0x1805)
7u (0x1905)
4l (0x1806)
8u (0x1906)
5l (0x1807)
9u (0x1907)
6l (0x1808)
10u (0x1908)
7l (0x1809)
11u (0x1909)
8l (0x180a)
12u (0x190a)
9l (0x180b)
13u (0x190b)
</t>
  </si>
  <si>
    <t>03/10 Verify when domain=#a/US, this API will dynamic changed.</t>
  </si>
  <si>
    <t>RegulatoryDomain</t>
  </si>
  <si>
    <t>ubus-cli WiFi.Radio.{i}.RegulatoryDomain=FR</t>
  </si>
  <si>
    <t>1. Check default value:
root@prplOS:/# ubus-cli WiFi.Radio.*.RegulatoryDomain?
&gt; WiFi.Radio.*.RegulatoryDomain?
WiFi.Radio.1.RegulatoryDomain="#a"
WiFi.Radio.2.RegulatoryDomain="#a"
WiFi.Radio.3.RegulatoryDomain="#a"
2. Try change all redio to "FR"
root@prplOS:/# ubus-cli WiFi.Radio.*.RegulatoryDomain="FR"
3. Check API again:
root@prplOS:/# ubus-cli WiFi.Radio.*.RegulatoryDomain?
&gt; WiFi.Radio.*.RegulatoryDomain?
WiFi.Radio.1.RegulatoryDomain="FR"
WiFi.Radio.2.RegulatoryDomain="FR"
WiFi.Radio.3.RegulatoryDomain="FR"</t>
  </si>
  <si>
    <t>root@prplOS:/# wl -i wl0 country
#a (#a/0) &lt;unknown&gt;
root@prplOS:/# wl -i wl1 country
#a (#a/0) &lt;unknown&gt;
root@prplOS:/# wl -i wl2 country
#a (#a/0) &lt;unknown&gt;</t>
  </si>
  <si>
    <t>supported;
wl -i wl0 country list
wl -i wl0 contry_rev xx
ubus-cli WiFi.Radio.1.RegulatoryDomain=CA; ubus-cli WiFi.Radio.1.Vendor.Brcm.RegulatoryDomainRev=170</t>
  </si>
  <si>
    <t xml:space="preserve">  2026-03-23_EIT:  Change to Pass base on RD request because this project only support US and #a
 -------------------------------------------------------------------------------------
2026-02-23_EIT: Verified and found Failed in version 4.0.3 "Country list support only US" after setting as shown in the list:
Country Code - RegulatoryDomainRev - Region
EU - 13 - Europe
JP  - 38 - Japan
TW - 0 - Taiwan
CN - 0 - China
KR - 0 - Korea
PH - 0 - Philippines 
BRCM: CSP  CS00012439197
2026-01-05 	supported;
wl -i wl0 country list
wl -i wl0 contry_rev xx
ubus-cli WiFi.Radio.1.RegulatoryDomain=CA; ubus-cli WiFi.Radio.1.Vendor.Brcm.RegulatoryDomainRev=170
--
The default vlaue is #a.
Nomatter changed what country code, the "wl -i wl[i] country" always returns #a.</t>
  </si>
  <si>
    <t>RIFSEnabled</t>
  </si>
  <si>
    <t>ubus-cli WiFi.Radio.{i}.RIFSEnabled=Default</t>
  </si>
  <si>
    <t xml:space="preserve">1. Check the API default value for all radio:
root@prplOS:/# ubus-cli WiFi.Radio.*.RIFSEnabled?
&gt; WiFi.Radio.*.RIFSEnabled?
WiFi.Radio.1.RIFSEnabled="Default"
WiFi.Radio.2.RIFSEnabled="Default"
WiFi.Radio.3.RIFSEnabled="Default"
2. Modify the API to "Auto"and check the API is correctly set:
ubus-cli WiFi.Radio.*.RIFSEnabled="Auto"
root@prplOS:/#  ubus-cli WiFi.Radio.*.RIFSEnabled?
&gt; WiFi.Radio.*.RIFSEnabled?
WiFi.Radio.1.RIFSEnabled="Auto"
WiFi.Radio.2.RIFSEnabled="Auto"
WiFi.Radio.3.RIFSEnabled="Auto"
</t>
  </si>
  <si>
    <t>RxChainCtrl</t>
  </si>
  <si>
    <t>ubus-cli WiFi.Radio.{i}.RxChainCtrl=-1</t>
  </si>
  <si>
    <t>1. Get API default value:
root@prplOS:/# ubus-cli WiFi.Radio.1.RxChainCtrl?
&gt; WiFi.Radio.1.RxChainCtrl?
WiFi.Radio.1.RxChainCtrl=-1
WiFi.Radio.2.RxChainCtrl=-1
WiFi.Radio.3.RxChainCtrl=-1
2. Modify the API to any other value:
ubus-cli WiFi.Radio.*.RxChainCtrl=3
3. Check the API again and compare with driver return value:
root@prplOS:/# ubus-cli WiFi.Radio.*.RxChainCtrl?
&gt; WiFi.Radio.*.RxChainCtrl?
WiFi.Radio.1.RxChainCtrl=3
WiFi.Radio.2.RxChainCtrl=3
WiFi.Radio.3.RxChainCtrl=3</t>
  </si>
  <si>
    <t>wl -i wl0 rxchain
wl -i wl1 rxchain
wl -i wl2 rxchain
(default)
root@prplOS:/# wl -i wl0 rxchain
15 (0xf)
root@prplOS:/# wl -i wl1 rxchain
1
root@prplOS:/# wl -i wl2 rxchain
1
(RxChainCtrl = any others)
root@prplOS:/# wl -i wl0 rxchain
15 (0xf)
root@prplOS:/# wl -i wl1 rxchain
15 (0xf)
root@prplOS:/# wl -i wl2 rxchain
15 (0xf)</t>
  </si>
  <si>
    <t>2026-03-09_EIT: verified in version 4.0.3
wl -i wlx txchain
1 → first antenna only
3 → first two antennas
7 → first three antennas
15 → all four antennas (if 4x4)
root@prplOS:~# ubus-cli WiFi.Radio.*.ActiveAntennaCtrl?
&gt; WiFi.Radio.*.ActiveAntennaCtrl?
WiFi.Radio.1.ActiveAntennaCtrl=-1
WiFi.Radio.2.ActiveAntennaCtrl=-1
WiFi.Radio.3.ActiveAntennaCtrl=-1
root@prplOS:~# ubus-cli WiFi.Radio.*.RxChainCtrl?
&gt; WiFi.Radio.*.RxChainCtrl?
WiFi.Radio.1.RxChainCtrl=-1
WiFi.Radio.2.RxChainCtrl=-1
WiFi.Radio.3.RxChainCtrl=-1
root@prplOS:~# ubus-cli WiFi.Radio.*.TxChainCtrl?
&gt; WiFi.Radio.*.TxChainCtrl?
WiFi.Radio.1.TxChainCtrl=-1
WiFi.Radio.2.TxChainCtrl=-1
WiFi.Radio.3.TxChainCtrl=-1
root@prplOS:~# for i in 0 1 2; do echo -n "wl$i: "; wl -i wl$i rxchain | awk '{print $0}'; done
wl0: 15 (0xf)
wl1: 15 (0xf)
wl2: 15 (0xf)
root@prplOS:~#
root@prplOS:~# ubus-cli WiFi.Radio.*.RxChainCtrl=1
&gt; WiFi.Radio.*.RxChainCtrl=1
WiFi.Radio.1.
WiFi.Radio.1.RxChainCtrl=1
WiFi.Radio.2.
WiFi.Radio.2.RxChainCtrl=1
WiFi.Radio.3.
WiFi.Radio.3.RxChainCtrl=1
root@prplOS:~# ubus-cli WiFi.Radio.*.RxChainCtrl?
&gt; WiFi.Radio.*.RxChainCtrl?
WiFi.Radio.1.RxChainCtrl=1
WiFi.Radio.2.RxChainCtrl=1
WiFi.Radio.3.RxChainCtrl=1
root@prplOS:~# for i in 0 1 2; do echo -n "wl$i: "; wl -i wl$i rxchain | awk '{print $0}'; done
wl0: 1
wl1: 1
wl2: 1
root@prplOS:~# ubus-cli WiFi.Radio.*.RxChainCtrl=2
&gt; WiFi.Radio.*.RxChainCtrl=2
WiFi.Radio.1.
WiFi.Radio.1.RxChainCtrl=2
WiFi.Radio.2.
WiFi.Radio.2.RxChainCtrl=2
WiFi.Radio.3.
WiFi.Radio.3.RxChainCtrl=2
root@prplOS:~# ubus-cli WiFi.Radio.*.RxChainCtrl?
&gt; WiFi.Radio.*.RxChainCtrl?
WiFi.Radio.1.RxChainCtrl=2
WiFi.Radio.2.RxChainCtrl=2
WiFi.Radio.3.RxChainCtrl=2
root@prplOS:~# for i in 0 1 2; do echo -n "wl$i: "; wl -i wl$i rxchain | awk '{print $0}'; done
wl0: 3
wl1: 3
wl2: 3
root@prplOS:~# ubus-cli WiFi.Radio.*.RxChainCtrl=3
&gt; WiFi.Radio.*.RxChainCtrl=3
WiFi.Radio.1.
WiFi.Radio.1.RxChainCtrl=3
WiFi.Radio.2.
WiFi.Radio.2.RxChainCtrl=3
WiFi.Radio.3.
WiFi.Radio.3.RxChainCtrl=3
root@prplOS:~# ubus-cli WiFi.Radio.*.RxChainCtrl?
&gt; WiFi.Radio.*.RxChainCtrl?
WiFi.Radio.1.RxChainCtrl=3
WiFi.Radio.2.RxChainCtrl=3
WiFi.Radio.3.RxChainCtrl=3
root@prplOS:~# for i in 0 1 2; do echo -n "wl$i: "; wl -i wl$i rxchain | awk '{print $0}'; done
wl0: 7
wl1: 7
wl2: 7
root@prplOS:~# ubus-cli WiFi.Radio.*.RxChainCtrl=4
&gt; WiFi.Radio.*.RxChainCtrl=4
WiFi.Radio.1.
WiFi.Radio.1.RxChainCtrl=4
WiFi.Radio.2.
WiFi.Radio.2.RxChainCtrl=4
WiFi.Radio.3.
WiFi.Radio.3.RxChainCtrl=4
root@prplOS:~# ubus-cli WiFi.Radio.*.RxChainCtrl?
&gt; WiFi.Radio.*.RxChainCtrl?
WiFi.Radio.1.RxChainCtrl=4
WiFi.Radio.2.RxChainCtrl=4
WiFi.Radio.3.RxChainCtrl=4
root@prplOS:~# for i in 0 1 2; do echo -n "wl$i: "; wl -i wl$i rxchain | awk '{print $0}'; done
wl0: 15 (0xf)
wl1: 15 (0xf)
wl2: 15 (0xf)
root@prplOS:~# ubus-cli WiFi.Radio.*.RxChainCtrl=-1
&gt; WiFi.Radio.*.RxChainCtrl=-1
WiFi.Radio.1.
WiFi.Radio.1.RxChainCtrl=-1
WiFi.Radio.2.
WiFi.Radio.2.RxChainCtrl=-1
WiFi.Radio.3.
WiFi.Radio.3.RxChainCtrl=-1
root@prplOS:~# ubus-cli WiFi.Radio.*.RxChainCtrl?
&gt; WiFi.Radio.*.RxChainCtrl?
WiFi.Radio.1.RxChainCtrl=-1
WiFi.Radio.2.RxChainCtrl=-1
WiFi.Radio.3.RxChainCtrl=-1
root@prplOS:~# for i in 0 1 2; do echo -n "wl$i: "; wl -i wl$i rxchain | awk '{print $0}'; done
wl0: 15 (0xf)
wl1: 15 (0xf)
wl2: 15 (0xf)
API and embedded command value mismatch.</t>
  </si>
  <si>
    <t>WiFi.Radio.{i}.ScanConfig.</t>
  </si>
  <si>
    <t>HomeTime</t>
  </si>
  <si>
    <t>ubus-cli WiFi.Radio.{i}.ScanConfig.HomeTime=-1</t>
  </si>
  <si>
    <t>ScanResults</t>
  </si>
  <si>
    <t>ubus-cli WiFi.Radio.{i}.ScanResults</t>
  </si>
  <si>
    <t>WiFi.Radio.{i}.Stats.</t>
  </si>
  <si>
    <t>BroadcastPacketsReceived</t>
  </si>
  <si>
    <t>ubus-cli WiFi.Radio.{i}.Stats.BroadcastPacketsReceived=0</t>
  </si>
  <si>
    <t>BroadcastPacketsSent</t>
  </si>
  <si>
    <t>ubus-cli WiFi.Radio.{i}.Stats.BroadcastPacketsSent=0</t>
  </si>
  <si>
    <t>DiscardPacketsReceived</t>
  </si>
  <si>
    <t>ubus-cli WiFi.Radio.{i}.Stats.DiscardPacketsReceived=0</t>
  </si>
  <si>
    <t>DiscardPacketsSent</t>
  </si>
  <si>
    <t>ubus-cli WiFi.Radio.{i}.Stats.DiscardPacketsSent=0</t>
  </si>
  <si>
    <t>MulticastPacketsReceived</t>
  </si>
  <si>
    <t>ubus-cli WiFi.Radio.{i}.Stats.MulticastPacketsReceived=0</t>
  </si>
  <si>
    <t>MulticastPacketsSent</t>
  </si>
  <si>
    <t>ubus-cli WiFi.Radio.{i}.Stats.MulticastPacketsSent=0</t>
  </si>
  <si>
    <t>PacketsReceived</t>
  </si>
  <si>
    <t>ubus-cli WiFi.Radio.{i}.Stats.PacketsReceived=0</t>
  </si>
  <si>
    <t>PacketsSent</t>
  </si>
  <si>
    <t>ubus-cli WiFi.Radio.{i}.Stats.PacketsSent=0</t>
  </si>
  <si>
    <t>UnicastPacketsReceived</t>
  </si>
  <si>
    <t>ubus-cli WiFi.Radio.{i}.Stats.UnicastPacketsReceived=0</t>
  </si>
  <si>
    <t>UnicastPacketsSent</t>
  </si>
  <si>
    <t>ubus-cli WiFi.Radio.{i}.Stats.UnicastPacketsSent=0</t>
  </si>
  <si>
    <t>WiFi.Radio.{i}.Stats.WmmFailedReceived.</t>
  </si>
  <si>
    <t>AC_BE</t>
  </si>
  <si>
    <t>ubus-cli WiFi.Radio.{i}.Stats.WmmFailedReceived.AC_BE=0</t>
  </si>
  <si>
    <t>AC_BK</t>
  </si>
  <si>
    <t>ubus-cli WiFi.Radio.{i}.Stats.WmmFailedReceived.AC_BK=0</t>
  </si>
  <si>
    <t>AC_VI</t>
  </si>
  <si>
    <t>ubus-cli WiFi.Radio.{i}.Stats.WmmFailedReceived.AC_VI=0</t>
  </si>
  <si>
    <t>AC_VO</t>
  </si>
  <si>
    <t>ubus-cli WiFi.Radio.{i}.Stats.WmmFailedReceived.AC_VO=0</t>
  </si>
  <si>
    <t>WiFi.Radio.{i}.Stats.WmmFailedSent.</t>
  </si>
  <si>
    <t>ubus-cli WiFi.Radio.{i}.Stats.WmmFailedSent.AC_BE=0</t>
  </si>
  <si>
    <t>ubus-cli WiFi.Radio.{i}.Stats.WmmFailedSent.AC_BK=0</t>
  </si>
  <si>
    <t>ubus-cli WiFi.Radio.{i}.Stats.WmmFailedSent.AC_VI=0</t>
  </si>
  <si>
    <t>ubus-cli WiFi.Radio.{i}.Stats.WmmFailedSent.AC_VO=0</t>
  </si>
  <si>
    <t>WiFi.Radio.{i}.Stats.WmmPacketsReceived.</t>
  </si>
  <si>
    <t>ubus-cli WiFi.Radio.{i}.Stats.WmmPacketsReceived.AC_BE=0</t>
  </si>
  <si>
    <t>ubus-cli WiFi.Radio.{i}.Stats.WmmPacketsReceived.AC_BK=0</t>
  </si>
  <si>
    <t>ubus-cli WiFi.Radio.{i}.Stats.WmmPacketsReceived.AC_VI=0</t>
  </si>
  <si>
    <t>ubus-cli WiFi.Radio.{i}.Stats.WmmPacketsReceived.AC_VO=0</t>
  </si>
  <si>
    <t>WiFi.Radio.{i}.Stats.WmmPacketsSent.</t>
  </si>
  <si>
    <t>ubus-cli WiFi.Radio.{i}.Stats.WmmPacketsSent.AC_BE=0</t>
  </si>
  <si>
    <t>ubus-cli WiFi.Radio.{i}.Stats.WmmPacketsSent.AC_BK=0</t>
  </si>
  <si>
    <t>ubus-cli WiFi.Radio.{i}.Stats.WmmPacketsSent.AC_VI=0</t>
  </si>
  <si>
    <t>ubus-cli WiFi.Radio.{i}.Stats.WmmPacketsSent.AC_VO=0</t>
  </si>
  <si>
    <t>ubus-cli WiFi.Radio.{i}.Status=Up</t>
  </si>
  <si>
    <t>1. Read-only API, make sure the API represents the correct radio status:
root@prplOS:/# ubus-cli WiFi.Radio.*.Status?
&gt; WiFi.Radio.*.Status?
WiFi.Radio.1.Status="Up"
WiFi.Radio.2.Status="Up"
WiFi.Radio.3.Status="Up"</t>
  </si>
  <si>
    <t>(Enable set 0)
ip link show wl0
21: wl0: &lt;BROADCAST,MULTICAST&gt; mtu 1500 qdisc pfifo_fast state DOWN mode DEFAULT group default qlen 1000
    link/ether 64:75:da:4e:51:65 brd ff:ff:ff:ff:ff:ff permaddr 00:90:4c:55:10:8b
ip link show wl1
22: wl1: &lt;BROADCAST,MULTICAST&gt; mtu 1500 qdisc pfifo_fast state DOWN mode DEFAULT group default qlen 10000
    link/ether 64:75:da:4e:51:66 brd ff:ff:ff:ff:ff:ff permaddr 00:90:4c:55:25:52
ip link show wl2
23: wl2: &lt;BROADCAST,MULTICAST&gt; mtu 1500 qdisc pfifo_fast state DOWN mode DEFAULT group default qlen 1000
    link/ether 64:75:da:4e:51:77 brd ff:ff:ff:ff:ff:ff permaddr 00:90:4c:4d:44:d2
(Enable set 1):
ip link show wl0
21: wl0: &lt;BROADCAST,MULTICAST,UP,LOWER_UP&gt; mtu 1500 qdisc pfifo_fast master br-lan state UP mode DEFAULT group default qlen 1000
    link/ether 64:75:da:4e:51:65 brd ff:ff:ff:ff:ff:ff permaddr 00:90:4c:55:10:8b
ip link show wl1
22: wl1: &lt;BROADCAST,MULTICAST,UP,LOWER_UP&gt; mtu 1500 qdisc pfifo_fast master br-lan state UP mode DEFAULT group default qlen 1000
    link/ether 64:75:da:4e:51:66 brd ff:ff:ff:ff:ff:ff permaddr 00:90:4c:55:25:52
ip link show wl2
23: wl2: &lt;BROADCAST,MULTICAST,UP,LOWER_UP&gt; mtu 1500 qdisc pfifo_fast master br-lan state UP mode DEFAULT group default qlen 1000
    link/ether 64:75:da:4e:51:77 brd ff:ff:ff:ff:ff:ff permaddr 00:90:4c:4d:44:d2</t>
  </si>
  <si>
    <t>SupportedFrequencyBands</t>
  </si>
  <si>
    <t>ubus-cli WiFi.Radio.{i}.SupportedFrequencyBands=6GHz</t>
  </si>
  <si>
    <t>1. Read-only API, defines each radio supported standard. Check the API value and make sure matches the band:
root@prplOS:/# ubus-cli WiFi.Radio.*.SupportedFrequencyBands?
&gt; WiFi.Radio.*.SupportedFrequencyBands?
WiFi.Radio.1.SupportedFrequencyBands="5GHz"
WiFi.Radio.2.SupportedFrequencyBands="6GHz"
WiFi.Radio.3.SupportedFrequencyBands="2.4GHz"</t>
  </si>
  <si>
    <t>SupportedStandards</t>
  </si>
  <si>
    <t>ubus-cli WiFi.Radio.{i}.SupportedStandards=a,n,an,ac,ax</t>
  </si>
  <si>
    <t>1. Read-only API, defines each radio supported standard. Check the API value and make sure the standard matches the band:
root@prplOS:/# ubus-cli WiFi.Radio.*.SupportedStandards?
&gt; WiFi.Radio.*.SupportedStandards?
WiFi.Radio.1.SupportedStandards="a,n,an,ac,ax,be"
WiFi.Radio.2.SupportedStandards="ax,be"
WiFi.Radio.3.SupportedStandards="b,g,n,bg,gn,bgn,ax,be"</t>
  </si>
  <si>
    <t>TargetWakeTimeEnable</t>
  </si>
  <si>
    <t>ubus-cli WiFi.Radio.{i}.TargetWakeTimeEnable=1</t>
  </si>
  <si>
    <t xml:space="preserve">1. Check the API default value for all radio:
root@prplOS:/# ubus-cli WiFi.Radio.*.TargetWakeTimeEnable?
&gt; WiFi.Radio.*.TargetWakeTimeEnable?
WiFi.Radio.1.TargetWakeTimeEnable=1
WiFi.Radio.2.TargetWakeTimeEnable=1
WiFi.Radio.3.TargetWakeTimeEnable=1 
2. Check the ""TWT Responder Supported"" in all radio beacon, the support status should match this API value.
3. Try switch the ability of this API:
ubus-cli WiFi.Radio.*.TargetWakeTimeEnable=0
4. Check the "TWT Responder Supported" for all radio beacons again.
  Beacon Frame
 └── Tagged Parameters
      └── HE Capabilities IE (Ext IE, ID = 255)
           └── HE MAC Capabilities Info field
                └── TWT Responder Support bit
</t>
  </si>
  <si>
    <t>2026-02-24_EIT: verified and found fix in version 4.0.3
BRCM: CSP  CS00012439197
2026-01-07 need to rework
2026-01-13 CS00012439197_20260113.tgz fixed
--
The "TWT Responder Supported" bit in beacons are always 1(Enabled).</t>
  </si>
  <si>
    <t>TransmitPower</t>
  </si>
  <si>
    <t>ubus-cli WiFi.Radio.{i}.TransmitPower=100</t>
  </si>
  <si>
    <t>1. Get the Default value of TransmitPower 
 root@prplOS:/# ubus-cli WiFi.Radio.*.TransmitPower?
&gt; WiFi.Radio.*.TransmitPower?
WiFi.Radio.1.TransmitPower=-1
WiFi.Radio.2.TransmitPower=-1
WiFi.Radio.3.TransmitPower=-1
2. Set to 25%
 root@prplOS:/# ubus-cli WiFi.Radio.*.TransmitPower=25
&gt; WiFi.Radio.*.TransmitPower=25
WiFi.Radio.1.
WiFi.Radio.1.TransmitPower=25
WiFi.Radio.2.
WiFi.Radio.2.TransmitPower=25
WiFi.Radio.3.
WiFi.Radio.3.TransmitPower=25
3. Verify the setting
root@prplOS:/# ubus-cli WiFi.Radio.*.TransmitPower?
&gt; WiFi.Radio.*.TransmitPower?
WiFi.Radio.1.TransmitPower=25
WiFi.Radio.2.TransmitPower=25
WiFi.Radio.3.TransmitPower=25
4. set to 50%
root@prplOS:/# ubus-cli WiFi.Radio.*.TransmitPower=50
&gt; WiFi.Radio.*.TransmitPower=50
WiFi.Radio.1.
WiFi.Radio.1.TransmitPower=50
WiFi.Radio.2.
WiFi.Radio.2.TransmitPower=50
WiFi.Radio.3.
WiFi.Radio.3.TransmitPower=50
5. Verify the setting
root@prplOS:/# ubus-cli WiFi.Radio.*.TransmitPower?
&gt; WiFi.Radio.*.TransmitPower?
WiFi.Radio.1.TransmitPower=50
WiFi.Radio.2.TransmitPower=50
WiFi.Radio.3.TransmitPower=50</t>
  </si>
  <si>
    <t>Default:
root@prplOS:/# wl -i wl0 txpwr_percent
100
root@prplOS:/# wl -i wl1 txpwr_percent
100
root@prplOS:/# wl -i wl2 txpwr_percent
100
25%
root@prplOS:/# wl -i wl0 txpwr_percent
25
root@prplOS:/# wl -i wl1 txpwr_percent
25
root@prplOS:/# wl -i wl2 txpwr_percent
25
50%
root@prplOS:/# wl -i wl0 txpwr_percent
50
root@prplOS:/# wl -i wl1 txpwr_percent
50
root@prplOS:/# wl -i wl2 txpwr_percent
50
root@prplOS:/#</t>
  </si>
  <si>
    <t>Commited</t>
  </si>
  <si>
    <t>2026-02-24_EIT: verified and found fix in version 4.0.3
BRCM: 2025-12-16 need to rework
2026-01-06 CS00012439197_20260106.tgz fixed
---
The return from "wl -i wl[i] txpwr_percent"will always be 100.    -&gt; NOK</t>
  </si>
  <si>
    <t>TransmitPowerSupported</t>
  </si>
  <si>
    <t>ubus-cli WiFi.Radio.{i}.TransmitPowerSupported=0,25,50,75,100,-1</t>
  </si>
  <si>
    <t>root@prplOS:/# ubus-cli WiFi.Radio.1.TransmitPowerSupported?
&gt; WiFi.Radio.1.TransmitPowerSupported?
WiFi.Radio.1.TransmitPowerSupported="1,2,3,4,5,6,8,10,12,15,20,25,30,50,100,-1"
WiFi.Radio.2.TransmitPowerSupported="1,2,3,4,5,6,8,10,12,15,20,25,30,50,100,-1"
WiFi.Radio.3.TransmitPowerSupported="1,2,3,4,5,6,8,10,12,15,20,25,30,50,100,-1"</t>
  </si>
  <si>
    <t>TxChainCtrl</t>
  </si>
  <si>
    <t>ubus-cli WiFi.Radio.{i}.TxChainCtrl=-1</t>
  </si>
  <si>
    <t xml:space="preserve">1. Get default Radio TxChainCtrl
root@prplOS:/# ubus-cli WiFi.Radio.*.TxChainCtrl?
&gt; WiFi.Radio.1.TxChainCtrl?
WiFi.Radio.1.TxChainCtrl=-1
WiFi.Radio.2.TxChainCtrl=-1
WiFi.Radio.3.TxChainCtrl=-1
2. Set Radio TxChainCtrl to 3 then verify the setting in the driver
root@prplOS:/# ubus-cli WiFi.Radio.1.TxChainCtrl=3
&gt; WiFi.Radio.1.TxChainCtrl=3
WiFi.Radio.1.
WiFi.Radio.1.TxChainCtrl=3
Test goal	                         TxChainCtrl
Default / production   	     -1
Force SISO	                              1
Force 2×2                              	3
Force 3×3                              	7
Max capability                     15 
</t>
  </si>
  <si>
    <r>
      <rPr>
        <sz val="9"/>
        <color rgb="FF000000"/>
        <rFont val="Calibri"/>
        <scheme val="minor"/>
      </rPr>
      <t xml:space="preserve">Default: 
root@prplOS:/# wl -i wl0 txchain
15 (0xf)
root@prplOS:/# wl -i wl1 txchain
15 (0xf)
root@prplOS:/# wl -i wl2 txchain
15 (0xf)
TxChainCtrl=3
root@prplOS:/# wl -i wl0 txchain
</t>
    </r>
    <r>
      <rPr>
        <sz val="9"/>
        <color rgb="FFFF0000"/>
        <rFont val="Calibri"/>
        <scheme val="minor"/>
      </rPr>
      <t xml:space="preserve">15 (0xf)
</t>
    </r>
    <r>
      <rPr>
        <sz val="9"/>
        <color rgb="FF000000"/>
        <rFont val="Calibri"/>
        <scheme val="minor"/>
      </rPr>
      <t xml:space="preserve">root@prplOS:/# wl -i wl1 txchain
</t>
    </r>
    <r>
      <rPr>
        <sz val="9"/>
        <color rgb="FFFF0000"/>
        <rFont val="Calibri"/>
        <scheme val="minor"/>
      </rPr>
      <t xml:space="preserve">15 (0xf)
</t>
    </r>
    <r>
      <rPr>
        <sz val="9"/>
        <color rgb="FF000000"/>
        <rFont val="Calibri"/>
        <scheme val="minor"/>
      </rPr>
      <t xml:space="preserve">root@prplOS:/# wl -i wl2 txchain
</t>
    </r>
    <r>
      <rPr>
        <sz val="9"/>
        <color rgb="FFFF0000"/>
        <rFont val="Calibri"/>
        <scheme val="minor"/>
      </rPr>
      <t>15 (0xf)</t>
    </r>
  </si>
  <si>
    <t>Need to commit</t>
  </si>
  <si>
    <t>2026-03-04_EIT: verified and found fix in version 4.0.3
root@prplOS:~# ubus-cli WiFi.Radio.*.TxChainCtrl=3
&gt; WiFi.Radio.*.TxChainCtrl=3
WiFi.Radio.1.
WiFi.Radio.1.TxChainCtrl=3
WiFi.Radio.2.
WiFi.Radio.2.TxChainCtrl=3
WiFi.Radio.3.
WiFi.Radio.3.TxChainCtrl=3
root@prplOS:~# wl -i wl0 txchain
7
root@prplOS:~# wl -i wl1 txchain
7
root@prplOS:~# wl -i wl2 txchain
7
root@prplOS:~# ubus-cli WiFi.Radio.*.TxChainCtrl=2
&gt; WiFi.Radio.*.TxChainCtrl=2
WiFi.Radio.1.
WiFi.Radio.1.TxChainCtrl=2
WiFi.Radio.2.
WiFi.Radio.2.TxChainCtrl=2
WiFi.Radio.3.
WiFi.Radio.3.TxChainCtrl=2
root@prplOS:~# wl -i wl1 txchain
3
root@prplOS:~# wl -i wl0 txchain
3
root@prplOS:~# wl -i wl2 txchain
3
root@prplOS:~# ubus-cli WiFi.Radio.*.TxChainCtrl=4
&gt; WiFi.Radio.*.TxChainCtrl=4
WiFi.Radio.1.
WiFi.Radio.1.TxChainCtrl=4
WiFi.Radio.2.
WiFi.Radio.2.TxChainCtrl=4
WiFi.Radio.3.
WiFi.Radio.3.TxChainCtrl=4
root@prplOS:~# wl -i wl0 txchain
15 (0xf)
root@prplOS:~# wl -i wl1 txchain
15 (0xf)
root@prplOS:~# wl -i wl2 txchain
15 (0xf)
 the value in the driver always 15 (0xf)</t>
  </si>
  <si>
    <t>WiFi.Radio.{i}.Vendor.</t>
  </si>
  <si>
    <t>ubus-cli WiFi.Radio.{i}.Vendor.Brcm.RegulatoryDomainRev=0</t>
  </si>
  <si>
    <t>1. Get API default value:
root@prplOS:/# ubus-cli WiFi.Radio.*.Vendor.Brcm.RegulatoryDomainRev?
&gt; WiFi.Radio.*.Vendor.Brcm.RegulatoryDomainRev?
WiFi.Radio.1.Vendor.Brcm.RegulatoryDomainRev=0
WiFi.Radio.2.Vendor.Brcm.RegulatoryDomainRev=0
WiFi.Radio.3.Vendor.Brcm.RegulatoryDomainRev=0
2. Change the parameter to any other value:
root@prplOS:/# ubus-cli WiFi.Radio.*.Vendor.Brcm.RegulatoryDomainRev=8
&gt; WiFi.Radio.*.Vendor.Brcm.RegulatoryDomainRev=8
WiFi.Radio.1.Vendor.Brcm.
WiFi.Radio.1.Vendor.Brcm.RegulatoryDomainRev=8
WiFi.Radio.2.Vendor.Brcm.
WiFi.Radio.2.Vendor.Brcm.RegulatoryDomainRev=8
WiFi.Radio.3.Vendor.Brcm.
WiFi.Radio.3.Vendor.Brcm.RegulatoryDomainRev=8
3. Check supported RegulatoryDomainSupported:
root@prplOS:/# ubus-cli WiFi.Radio.*.Vendor.Brcm.RegulatoryDomainSupported?
&gt; WiFi.Radio.*.Vendor.Brcm.RegulatoryDomainSupported?
WiFi.Radio.1.Vendor.Brcm.RegulatoryDomainSupported="#a,CA/169,CA/170,CA/886,E0/713,E0/781,E0/858,E0/859,GB/36,JP/894,Q1/149,Q1/151,Q1/155,Q1/158,Q1/159,Q1/160,Q1/161,Q1/167,Q1/168,Q1/169,Q1/170,Q1/176,Q1/178,Q1/179,"
WiFi.Radio.2.Vendor.Brcm.RegulatoryDomainSupported="#a,CA/169,CA/170,CA/886,E0/713,E0/781,E0/858,E0/859,JP/894,Q1/149,Q1/151,Q1/155,Q1/158,Q1/159,Q1/160,Q1/161,Q1/167,Q1/168,Q1/169,Q1/170,Q1/176,Q1/178,Q1/179,"
WiFi.Radio.3.Vendor.Brcm.RegulatoryDomainSupported="#a,CA/169,CA/170,CA/886,E0/713,E0/781,E0/858,E0/859,GB/36,JP/894,Q1/149,Q1/151,Q1/155,Q1/158,Q1/159,Q1/160,Q1/161,Q1/167,Q1/168,Q1/169,Q1/170,Q1/176,Q1/178,Q1/179,XV,"
4. Check if "wl -i wl* country" gets representing rev value(in my case, expecting wl0=GB/36, wl1= JP/89, wl2=GB/36)</t>
  </si>
  <si>
    <t>wl -i wl0 country
wl -i wl1 country
wl -i wl2 country
root@prplOS:/# wl -i wl0 country
#a (#a/0) &lt;unknown&gt;
root@prplOS:/# wl -i wl1 country
#a (#a/0) &lt;unknown&gt;
root@prplOS:/# wl -i wl2 country
#a (#a/0) &lt;unknown&gt;</t>
  </si>
  <si>
    <t xml:space="preserve"> 2026-03-23_EIT:  Change to Pass base on RD request because this project only support US and #a
 -----------------------------------------------------------------------------
"2026-02-23_EIT: Verified and found Failed in version 4.0.3 "Country list support only US"
 Can set different RegulatoryDomainRev but country list always return US:
Country Code - RegulatoryDomainRev - Region
EU - 13 - Europe
JP  - 38 - Japan
TW - 0 - Taiwan
CN - 0 - China
KR - 0 - Korea
PH - 0 - Philippines "
BRCM: CSP  CS00012439197
2026-01-05 supported;
wl -i wl0 country list
wl -i wl0 contry_rev xx
ubus-cli WiFi.Radio.1.RegulatoryDomain=CA; ubus-cli WiFi.Radio.1.Vendor.Brcm.RegulatoryDomainRev=170	
--
The "wl -i wl* country" will inly returns: #a (#a/0) &lt;unknown&gt;, no matter what API value set.</t>
  </si>
  <si>
    <t>ubus-cli WiFi.Radio.{i}.Vendor.Brcm.RegulatoryDomainSupported?</t>
  </si>
  <si>
    <t>WDS_Mode</t>
  </si>
  <si>
    <t>ubus-cli WiFi.Radio.{i}.WDS_Mode=1</t>
  </si>
  <si>
    <t>wl -i wl0 dwds</t>
  </si>
  <si>
    <t>getLatestPower()</t>
  </si>
  <si>
    <t>ubus-cli WiFi.Radio.{i}.getLatestPower():void</t>
  </si>
  <si>
    <t>getPerAntennaRssi()</t>
  </si>
  <si>
    <t>ubus-cli WiFi.Radio.{i}.getPerAntennaRssi():void</t>
  </si>
  <si>
    <t>getRadioAirStats()</t>
  </si>
  <si>
    <t>ubus-cli WiFi.Radio.{i}.getRadioAirStats() FreeTime                     : 89,</t>
  </si>
  <si>
    <t>Connect 2 STAs to radio, use iperf3 to transmit some data between two STAs.
Check  getRadioAirStats():
ubus-cli "WiFi.Radio.*.getRadioAirStats()"
&gt; WiFi.Radio.*.getRadioAirStats()
WiFi.Radio.1.getRadioAirStats() returned
[
    {
        FreeTime = 0,
        IntTime = 0,
        Load = 0,
        LongPreambleErrorPercentage = 0,
        Noise = 0,
        NoiseTime = 0,
        ObssTime = 0,
        RxTime = 0,
        ShortPreambleErrorPercentage = 0,
        Timestamp = 0,
        TotalTime = 0,
        TxTime = 0,
        VendorStats = {
        }
    }
]
WiFi.Radio.2.getRadioAirStats() returned
[
    {
        FreeTime = 0,
        IntTime = 0,
        Load = 0,
        LongPreambleErrorPercentage = 0,
        Noise = 0,
        NoiseTime = 0,
        ObssTime = 0,
        RxTime = 0,
        ShortPreambleErrorPercentage = 0,
        Timestamp = 0,
        TotalTime = 0,
        TxTime = 0,
        VendorStats = {
        }
    }
]
WiFi.Radio.3.getRadioAirStats() returned
[
    {
        FreeTime = 0,
        IntTime = 0,
        Load = 0,
        LongPreambleErrorPercentage = 0,
        Noise = 0,
        NoiseTime = 0,
        ObssTime = 0,
        RxTime = 0,
        ShortPreambleErrorPercentage = 0,
        Timestamp = 0,
        TotalTime = 0,
        TxTime = 0,
        VendorStats = {
        }
    }
]</t>
  </si>
  <si>
    <t xml:space="preserve">root@prplOS:/# iw dev wl0 survey dump
root@prplOS:/# iw dev wl1 survey dump
root@prplOS:/# iw dev wl2 survey dump
</t>
  </si>
  <si>
    <t>need to support survey in driver level(not only in  wl_cfg80211)</t>
  </si>
  <si>
    <t>[0319] Verified in version 4.0.3v1.4
need to support survey in driver level(not only in  wl_cfg80211
The value is always 0.</t>
  </si>
  <si>
    <t>ubus-cli WiFi.Radio.{i}.getRadioAirStats() Load                         : 12,</t>
  </si>
  <si>
    <t>ubus-cli WiFi.Radio.{i}.getRadioAirStats() Noise                        : -92,</t>
  </si>
  <si>
    <t>ubus-cli WiFi.Radio.{i}.getRadioAirStats() RxTime                       : 0,</t>
  </si>
  <si>
    <r>
      <rPr>
        <sz val="9"/>
        <color rgb="FFFF0000"/>
        <rFont val="Calibri"/>
        <scheme val="minor"/>
      </rPr>
      <t xml:space="preserve">[0325] BRCM suggested to do scan frist, then these value should be changed. ARC will retest it.
</t>
    </r>
    <r>
      <rPr>
        <sz val="9"/>
        <color rgb="FF000000"/>
        <rFont val="Calibri"/>
        <scheme val="minor"/>
      </rPr>
      <t xml:space="preserve">[0319] Verified in version 4.0.3v1.4. The value is always low or 0 even there was data flow on WiFi.
need to support survey in driver level(not only in  wl_cfg80211
</t>
    </r>
    <r>
      <rPr>
        <sz val="9"/>
        <color rgb="FFFF0000"/>
        <rFont val="Calibri"/>
        <scheme val="minor"/>
      </rPr>
      <t>The value is always 0.</t>
    </r>
  </si>
  <si>
    <t>ubus-cli WiFi.Radio.{i}.getRadioAirStats() TotalTime                    : 102,</t>
  </si>
  <si>
    <t>ubus-cli WiFi.Radio.{i}.getRadioAirStats() TxTime                       : 4,</t>
  </si>
  <si>
    <r>
      <rPr>
        <sz val="9"/>
        <color rgb="FFFF0000"/>
        <rFont val="Calibri"/>
        <scheme val="minor"/>
      </rPr>
      <t xml:space="preserve">[0325] BRCM suggested to do scan frist, then these value should be changed. ARC will retest it.
</t>
    </r>
    <r>
      <rPr>
        <sz val="9"/>
        <color rgb="FF000000"/>
        <rFont val="Calibri"/>
        <scheme val="minor"/>
      </rPr>
      <t xml:space="preserve">[0319] Verified in version 4.0.3v1.4. The value is always low or 0 even there was data flow on WiFi.
need to support survey in driver level(not only in  wl_cfg80211
The value is always 0.
[0319]Verified in version 4.0.3v1.4. The value is always low or 0 even there was data flow on WiFi.
need to support survey in driver level(not only in  wl_cfg80211
</t>
    </r>
    <r>
      <rPr>
        <sz val="9"/>
        <color rgb="FFFF0000"/>
        <rFont val="Calibri"/>
        <scheme val="minor"/>
      </rPr>
      <t>The value is always 0.</t>
    </r>
  </si>
  <si>
    <t>ubus-cli WiFi.Radio.{i}.getRadioAirStats():void</t>
  </si>
  <si>
    <t>getRadioStats()</t>
  </si>
  <si>
    <t>ubus-cli WiFi.Radio.{i}.getRadioStats()BroadcastPacketsReceived : 0,</t>
  </si>
  <si>
    <t>1. Record counters at start:
root@prplOS:/# ubus-cli "WiFi.Radio.*.getRadioStats()" | grep BroadcastPacketsReceived 
        BroadcastPacketsReceived = 0,
        BroadcastPacketsReceived = 0,
        BroadcastPacketsReceived = 0,
2. Connect 2.4/5/6G STA to DUT, use "arping -I [STA WiFi interface] -c 200 [DUT IP or any other STAs' IP]" or "nmap -sn 192.168.1.0/24"
3. Check counters again:
ubus-cli "WiFi.Radio.*.getRadioStats()" | grep BroadcastPackets
        BroadcastPacketsReceived = 0,
        BroadcastPacketsReceived = 0,
        BroadcastPacketsReceived = 0,</t>
  </si>
  <si>
    <t>cat /proc/net/dev | grep wl0</t>
  </si>
  <si>
    <r>
      <rPr>
        <sz val="9"/>
        <color rgb="FFFF0000"/>
        <rFont val="Calibri"/>
        <scheme val="minor"/>
      </rPr>
      <t xml:space="preserve">[0325] BRCM will the issue internally why d11_rxbcast always 0 in wl cmd.
</t>
    </r>
    <r>
      <rPr>
        <sz val="9"/>
        <color rgb="FF000000"/>
        <rFont val="Calibri"/>
        <scheme val="minor"/>
      </rPr>
      <t xml:space="preserve">2026-02-24_EIT: verified and still exist in version 4.0.3 "API and wl counters return 0"
Using: arping -I &lt;Station Interface&gt; -c 200 &lt;Destination Station IP&gt;
From Destination Station using TCP dump it receive Broadcast packet as shown below. 
17:33:24.784282 ARP, Request who-has 192.168.1.2 (Broadcast) tell 192.168.1.4, length 38
root@prplOS:~# ubus-cli "WiFi.Radio.*.getRadioStats()BroadcastPacketsReceived" | grep BroadcastPacketsReceived
&gt; WiFi.Radio.*.getRadioStats()BroadcastPacketsReceived
        BroadcastPacketsReceived = 0,
        BroadcastPacketsReceived = 0,
        BroadcastPacketsReceived = 0,
root@prplOS:~# for i in 0 1 2; do echo "wl$i Broadcast RX: $(awk '/ wl'"$i"':/ {print $22}' /proc/net/dev_extstats)"; done
wl0 Broadcast RX: 44
wl1 Broadcast RX: 67
wl2 Broadcast RX: 62
root@prplOS:~# for i in 0 1 2; do wl -i wl$i counters | awk -v r="wl$i" '{for(i=1;i&lt;=NF;i++) if($i=="d11_rxbcast") print r,"d11_rxbcast =",$(i+1)}';
done
wl0 d11_rxbcast = 0
wl1 d11_rxbcast = 0
wl2 d11_rxbcast = 0
Note: In SSID it increase
root@prplOS:~# ubus-cli WiFi.? | grep BroadcastPacketsReceived
</t>
    </r>
    <r>
      <rPr>
        <sz val="9"/>
        <color rgb="FFFF0000"/>
        <rFont val="Calibri"/>
        <scheme val="minor"/>
      </rPr>
      <t xml:space="preserve">WiFi.Radio.1.Stats.BroadcastPacketsReceived=0
WiFi.Radio.2.Stats.BroadcastPacketsReceived=0
WiFi.Radio.3.Stats.BroadcastPacketsReceived=0
</t>
    </r>
    <r>
      <rPr>
        <sz val="9"/>
        <color rgb="FF0070C0"/>
        <rFont val="Calibri"/>
        <scheme val="minor"/>
      </rPr>
      <t xml:space="preserve">WiFi.SSID.4.Stats.BroadcastPacketsReceived=623
WiFi.SSID.6.Stats.BroadcastPacketsReceived=596
WiFi.SSID.8.Stats.BroadcastPacketsReceived=718
</t>
    </r>
    <r>
      <rPr>
        <sz val="9"/>
        <color rgb="FF000000"/>
        <rFont val="Calibri"/>
        <scheme val="minor"/>
      </rPr>
      <t xml:space="preserve">
 ------------------------------------------------------------------------------------------------------
2026-02-26_ARC:
BRCM radio statistic is read from IOVAR, like wl -i wl0 counters
but there still has some wrong val in 
BroadcastPacketsReceived
BroadcastPacketsSent
UnicastPacketsReceived
UnicastPacketsSent
ErrorsSent
what I tested.
BRCM: CSP  CS00012439197
--
The BroadcastPackets will need to check fro driver, though "ethtool -S wl*" returns "no stats available" and the "tcpdump" does not inplement.
 API value for 5/6/2.4GHz is always 0.</t>
    </r>
  </si>
  <si>
    <t>Ask BRCM how to test Broadcast counter in WIFI driver?</t>
  </si>
  <si>
    <t>ubus-cli WiFi.Radio.{i}.getRadioStats()BroadcastPacketsSent  : 0,</t>
  </si>
  <si>
    <t>1. Record counters at start:
root@prplOS:/# ubus-cli "WiFi.Radio.*.getRadioStats()" | grep BroadcastPacketsSent
        BroadcastPacketsSent = 0,
        BroadcastPacketsSent = 0,
        BroadcastPacketsSent = 0
2. Connect 2.4/5/6G STA to DUT, use "arping -I [STA WiFi interface] -c 200 [DUT IP or any other STAs' IP]" or "nmap -sn 192.168.1.0/24"
3. Check counters again:
ubus-cli "WiFi.Radio.*.getRadioStats()" | grep BroadcastPacketsSent
        BroadcastPacketsSent = 0,
        BroadcastPacketsSent = 0,
        BroadcastPacketsSent = 0</t>
  </si>
  <si>
    <t xml:space="preserve">Committed </t>
  </si>
  <si>
    <r>
      <rPr>
        <sz val="9"/>
        <color rgb="FFFF0000"/>
        <rFont val="Calibri"/>
        <scheme val="minor"/>
      </rPr>
      <t xml:space="preserve">[0325] BRCM will the issue internally why d11_txbcast always 0 in wl cmd.
</t>
    </r>
    <r>
      <rPr>
        <sz val="9"/>
        <color rgb="FF000000"/>
        <rFont val="Calibri"/>
        <scheme val="minor"/>
      </rPr>
      <t xml:space="preserve">
 ------------------------------------------------------------------------------------------------------
2026-02-26_ARC:
BRCM radio statistic is read from IOVAR, like wl -i wl0 counters
but there still has some wrong val in 
BroadcastPacketsReceived
BroadcastPacketsSent
UnicastPacketsReceived
UnicastPacketsSent
ErrorsSent
what I tested.
BRCM: CSP  CS00012439197
--
The BroadcastPackets will need to check fro driver, though "ethtool -S wl*" returns "no stats available" and the "tcpdump" does not inplement.
 API value for 5/6/2.4GHz is always 0.
2026-02-24_EIT: verified and still exist in version 4.0.3 "API and wl counters return 0"
Using: arping -I &lt;Station Interface&gt; -c 200 &lt;Destination Station IP&gt;
From Destination Station using TCP dump it receive Broadcast packet as shown below. 
17:33:24.784282 ARP, Request who-has 192.168.1.2 (Broadcast) tell 192.168.1.4, length 38
root@prplOS:~# ubus-cli "WiFi.Radio.*.getRadioStats()BroadcastPacketsSent"? | grep BroadcastPacketsSent
&gt; WiFi.Radio.*.getRadioStats()BroadcastPacketsSent?
        BroadcastPacketsSent = 0,
        BroadcastPacketsSent = 0,
        BroadcastPacketsSent = 0,
root@prplOS:~# for i in 0 1 2; do echo "wl$i Broadcast TX: $(awk '/ wl'"$i"':/ {print $23}' /proc/net/dev_extstats)"; done
wl0 Broadcast TX: 86946
wl1 Broadcast TX: 105203
wl2 Broadcast TX: 105182
root@prplOS:~# for i in 0 1 2; do wl -i wl$i counters | awk -v r="wl$i" '{for(i=1;i&lt;=NF;i++) if($i=="d11_txbcast") print r,"d11_txbcast =",$(i+1)}';
done
wl0 d11_txbcast = 0
wl1 d11_txbcast = 0
wl2 d11_txbcast = 0
root@prplOS:~#
 Note: In SSID it increase
 root@prplOS:~# ubus-cli WiFi.? | grep BroadcastPacketsSent
</t>
    </r>
    <r>
      <rPr>
        <sz val="9"/>
        <color rgb="FFFF0000"/>
        <rFont val="Calibri"/>
        <scheme val="minor"/>
      </rPr>
      <t xml:space="preserve">WiFi.Radio.1.Stats.BroadcastPacketsSent=0
WiFi.Radio.2.Stats.BroadcastPacketsSent=0
WiFi.Radio.3.Stats.BroadcastPacketsSent=0
</t>
    </r>
    <r>
      <rPr>
        <sz val="9"/>
        <color rgb="FF0070C0"/>
        <rFont val="Calibri"/>
        <scheme val="minor"/>
      </rPr>
      <t xml:space="preserve">WiFi.SSID.4.Stats.BroadcastPacketsSent=9842
WiFi.SSID.6.Stats.BroadcastPacketsSent=9812
WiFi.SSID.8.Stats.BroadcastPacketsSent=9690
</t>
    </r>
    <r>
      <rPr>
        <sz val="9"/>
        <color rgb="FF000000"/>
        <rFont val="Calibri"/>
        <scheme val="minor"/>
      </rPr>
      <t xml:space="preserve">
 --------------------------------------------------------------------------------------
2026-02-26_ARC:
BRCM radio statistic is read from IOVAR, like wl -i wl0 counters
but there still has some wrong val in 
BroadcastPacketsReceived
BroadcastPacketsSent
UnicastPacketsReceived
UnicastPacketsSent
ErrorsSent
what I tested.
BRCM: CSP  CS00012439197
--
The BroadcastPackets will need to check from driver, though "ethtool -S wl*" returns "no stats available" and the "tcpdump" does not inplement.
 API value for 5/6/2.4GHz is always 0.</t>
    </r>
  </si>
  <si>
    <t>ubus-cli WiFi.Radio.{i}.getRadioStats()BytesReceived : 943690,</t>
  </si>
  <si>
    <t>1. Connect 2.4/5/6G STA to DUT, try ping or setup iperf3 data flow. The counter should accumulate.
Compared the counters between the API returned and inside "/proc/net/dev". There should be minimal discrepancy between the two values.
root@prplOS:/# ubus-cli "WiFi.Radio.*.getRadioStats()" | grep "BytesReceived"
        BytesReceived = 162032,
        BytesReceived = 0,
        BytesReceived = 54131408</t>
  </si>
  <si>
    <t>cat  /proc/net/dev
awk '
$1 ~ /^wl[0-2]:$/ {
    printf "%s RX_byte=%s\n", $1, $2
}
' /proc/net/dev
wl0: RX_byte=157536
wl1: RX_byte=0
wl2: RX_byte=54054823</t>
  </si>
  <si>
    <r>
      <rPr>
        <sz val="9"/>
        <color rgb="FF000000"/>
        <rFont val="Calibri"/>
        <scheme val="minor"/>
      </rPr>
      <t xml:space="preserve">##Execute below command before getting Radio statistic
ubus-cli "WiFi.Radio.1.getRadioStats()"?
ubus-cli "WiFi.Radio.2.getRadioStats()"?
ubus-cli "WiFi.Radio.3.getRadioStats()"?
root@prplOS:~# ubus-cli "WiFi.Radio.1.getRadioStats()BytesReceived"? | grep BytesReceived
&gt; WiFi.Radio.1.getRadioStats()BytesReceived?
       </t>
    </r>
    <r>
      <rPr>
        <sz val="9"/>
        <color rgb="FF0070C0"/>
        <rFont val="Calibri"/>
        <scheme val="minor"/>
      </rPr>
      <t xml:space="preserve"> BytesReceived = 1357888058,
</t>
    </r>
    <r>
      <rPr>
        <sz val="9"/>
        <color rgb="FF000000"/>
        <rFont val="Calibri"/>
        <scheme val="minor"/>
      </rPr>
      <t xml:space="preserve">        WmmBytesReceived = {
        WmmFailedBytesReceived = {
root@prplOS:~# ubus-cli "WiFi.Radio.2.getRadioStats()BytesReceived"? | grep BytesReceived
&gt; WiFi.Radio.2.getRadioStats()BytesReceived?
     </t>
    </r>
    <r>
      <rPr>
        <sz val="9"/>
        <color rgb="FF0070C0"/>
        <rFont val="Calibri"/>
        <scheme val="minor"/>
      </rPr>
      <t xml:space="preserve">   BytesReceived = 3037828027,
</t>
    </r>
    <r>
      <rPr>
        <sz val="9"/>
        <color rgb="FF000000"/>
        <rFont val="Calibri"/>
        <scheme val="minor"/>
      </rPr>
      <t xml:space="preserve">        WmmBytesReceived = {
        WmmFailedBytesReceived = {
root@prplOS:~# ubus-cli "WiFi.Radio.3.getRadioStats()BytesReceived"? | grep BytesReceived
&gt; WiFi.Radio.3.getRadioStats()BytesReceived?
        </t>
    </r>
    <r>
      <rPr>
        <sz val="9"/>
        <color rgb="FF0070C0"/>
        <rFont val="Calibri"/>
        <scheme val="minor"/>
      </rPr>
      <t xml:space="preserve">BytesReceived = 738451265,
</t>
    </r>
    <r>
      <rPr>
        <sz val="9"/>
        <color rgb="FF000000"/>
        <rFont val="Calibri"/>
        <scheme val="minor"/>
      </rPr>
      <t xml:space="preserve">        WmmBytesReceived = {
        WmmFailedBytesReceived = {
root@prplOS:~# wl -i wl0 counters | grep -w rxbyte; wl -i wl1 counters | grep -w rxbyte;wl -i wl2 counters | grep -w rxbyte
rxframe 4160431425 </t>
    </r>
    <r>
      <rPr>
        <sz val="9"/>
        <color rgb="FF0070C0"/>
        <rFont val="Calibri"/>
        <scheme val="minor"/>
      </rPr>
      <t>rxbyte 1357888058</t>
    </r>
    <r>
      <rPr>
        <sz val="9"/>
        <color rgb="FF000000"/>
        <rFont val="Calibri"/>
        <scheme val="minor"/>
      </rPr>
      <t xml:space="preserve"> rxerror 8
rxframe 1114285026 </t>
    </r>
    <r>
      <rPr>
        <sz val="9"/>
        <color rgb="FF0070C0"/>
        <rFont val="Calibri"/>
        <scheme val="minor"/>
      </rPr>
      <t>rxbyte 3037828177</t>
    </r>
    <r>
      <rPr>
        <sz val="9"/>
        <color rgb="FF000000"/>
        <rFont val="Calibri"/>
        <scheme val="minor"/>
      </rPr>
      <t xml:space="preserve"> rxerror 8
rxframe 2966672883 </t>
    </r>
    <r>
      <rPr>
        <sz val="9"/>
        <color rgb="FF0070C0"/>
        <rFont val="Calibri"/>
        <scheme val="minor"/>
      </rPr>
      <t>rxbyte 738451265 r</t>
    </r>
    <r>
      <rPr>
        <sz val="9"/>
        <color rgb="FF000000"/>
        <rFont val="Calibri"/>
        <scheme val="minor"/>
      </rPr>
      <t>xerror 8
------------------------------------------------------------------------------------------------------------------------------------------------------
2026-02-26_ARC:
BRCM radio statistic is read from IOVAR, like wl -i wl0 counters
but there still has some wrong val in 
BroadcastPacketsReceived
BroadcastPacketsSent
UnicastPacketsReceived
UnicastPacketsSent
ErrorsSent
what I tested.</t>
    </r>
  </si>
  <si>
    <t>ubus-cli WiFi.Radio.{i}.getRadioStats()BytesSent : 43598900,</t>
  </si>
  <si>
    <t>1. Connect 2.4/5/6G STA to DUT, try ping or setup iperf3 data flow. The counter should accumulate.
Compared the counters between the API returned and inside "/proc/net/dev". There should be minimal discrepancy between the two values.
root@prplOS:/# ubus-cli "WiFi.Radio.*.getRadioStats()" | grep "BytesSent"
        BytesSent = 48652161,
        BytesSent = 48280733,
        BytesSent = 86166740,</t>
  </si>
  <si>
    <t>cat  /proc/net/dev
awk '
$1 ~ /^wl[0-2]:$/ {
    printf "%s TX_byte=%s\n", $1, $10
}
' /proc/net/dev
wl0: TX_byte=24381091
wl1: TX_byte=24322444
wl2: TX_byte=61977638</t>
  </si>
  <si>
    <t>##Execute below command before getting Radio statistic
ubus-cli "WiFi.Radio.1.getRadioStats()"?
ubus-cli "WiFi.Radio.2.getRadioStats()"?
ubus-cli "WiFi.Radio.3.getRadioStats()"?
root@prplOS:~# ubus-cli "WiFi.Radio.1.getRadioStats()BytesSent"? | grep -w "BytesSent"
&gt; WiFi.Radio.1.getRadioStats()BytesSent?
        BytesSent = 393114974,
root@prplOS:~# ubus-cli "WiFi.Radio.2.getRadioStats()BytesSent"? | grep -w "BytesSent"
&gt; WiFi.Radio.2.getRadioStats()BytesSent?
        BytesSent = 2088618706,
root@prplOS:~# ubus-cli "WiFi.Radio.3.getRadioStats()BytesSent"? | grep -w "BytesSent"
&gt; WiFi.Radio.3.getRadioStats()BytesSent?
        BytesSent = 1621815042,
root@prplOS:~# for i in 0 1 2; do wl -i wl$i counters | awk -v r="wl$i" '{for(i=1;i&lt;=NF;i++) if($i=="txbyte") print r,"txbyte =",$(i+1)}'; done
wl0 txbyte = 393143764
wl1 txbyte = 2088623588
wl2 txbyte = 1621818532
2026-02-26_ARC:
BRCM radio statistic is read from IOVAR, like wl -i wl0 counters
but there still has some wrong val in 
BroadcastPacketsReceived
BroadcastPacketsSent
UnicastPacketsReceived
UnicastPacketsSent
ErrorsSent
what I tested.
BRCM: CSP  CS00012439197
--
The BytesSent counters for 5G /6G are almiost double than embedded command's return values.</t>
  </si>
  <si>
    <t>ubus-cli WiFi.Radio.{i}.getRadioStats()DiscardPacketsReceived   : 0,</t>
  </si>
  <si>
    <t xml:space="preserve">1. Record DiscardPacketsReceived:
root@prplOS:/# ubus-cli "WiFi.Radio.*.getRadioStats()" | grep DiscardPacketsReceived
        DiscardPacketsReceived = 32,
        DiscardPacketsReceived = 29,
        DiscardPacketsReceived = 51,
2. Use iperf3 to tansmit large pkgs from individual radios:
iperf3 -u -b 500M -t 30 -c &lt;server_ip&gt;
3. Read DiscardPacketsReceived again:
root@prplOS:/# ubus-cli "WiFi.Radio.*.getRadioStats()" | grep DiscardPacketsReceived
</t>
  </si>
  <si>
    <t>cat /proc/net/dev | grep wl*
awk '
$1 ~ /^wl[0-2]:$/ {
    printf "%s RX_drop-pkg=%s\n", $1, $5
}
' /proc/net/dev</t>
  </si>
  <si>
    <t>root@prplOS:~# for i in 0 1 2; do echo "wl$i RxDrop: $(awk '/ wl'"$i"':/ {print $4}' /proc/net/dev_extstats)"; done
wl0 RxDrop: 311817
wl1 RxDrop: 466
wl2 RxDrop: 894
root@prplOS:~# ubus-cli "WiFi.Radio.1.getRadioStats()DiscardPacketsReceived"? | grep DiscardPacketsReceived
&gt; WiFi.Radio.1.getRadioStats()DiscardPacketsReceived?
        DiscardPacketsReceived = 311817,
root@prplOS:~# ubus-cli "WiFi.Radio.2.getRadioStats()DiscardPacketsReceived"? | grep DiscardPacketsReceived
&gt; WiFi.Radio.2.getRadioStats()DiscardPacketsReceived?
        DiscardPacketsReceived = 466,
root@prplOS:~# ubus-cli "WiFi.Radio.3.getRadioStats()DiscardPacketsReceived"? | grep DiscardPacketsReceived
&gt; WiFi.Radio.3.getRadioStats()DiscardPacketsReceived?
        DiscardPacketsReceived = 894,
2026-02-26_ARC:
BRCM radio statistic is read from IOVAR, like wl -i wl0 counters
but there still has some wrong val in 
BroadcastPacketsReceived
BroadcastPacketsSent
UnicastPacketsReceived
UnicastPacketsSent
ErrorsSent
what I tested.</t>
  </si>
  <si>
    <t>ubus-cli WiFi.Radio.{i}.getRadioStats()DiscardPacketsSent   : 1,</t>
  </si>
  <si>
    <t xml:space="preserve">1. Record DiscardPacketsSent:
root@prplOS:/# ubus-cli "WiFi.Radio.*.getRadioStats()" | grep DiscardPacketsSent
        DiscardPacketsSent = 14,
        DiscardPacketsSent = 0,
        DiscardPacketsSent = 6,
2. Use iperf3 to tansmit large pkgs from individual radios:
iperf3 -u -b 500M -t 30 -c &lt;server_ip&gt; -R
3. Read DiscardPacketsReceived again:
root@prplOS:/# ubus-cli "WiFi.Radio.*.getRadioStats()" | grep DiscardPacketsSent
        DiscardPacketsSent = 64,
        DiscardPacketsSent = 9,
        DiscardPacketsSent = 72,
</t>
  </si>
  <si>
    <t>cat /proc/net/dev | grep wl*
awk '
$1 ~ /^wl[0-2]:$/ {
    printf "%s TX_drop-pkg=%s\n", $1, $13
}
' /proc/net/dev</t>
  </si>
  <si>
    <r>
      <rPr>
        <sz val="9"/>
        <color rgb="FFFF0000"/>
        <rFont val="Calibri"/>
        <scheme val="minor"/>
      </rPr>
      <t xml:space="preserve">[0325] BRCM will the issue internally why txlost always 0 in wl cmd.
</t>
    </r>
    <r>
      <rPr>
        <sz val="9"/>
        <color rgb="FF000000"/>
        <rFont val="Calibri"/>
        <scheme val="minor"/>
      </rPr>
      <t xml:space="preserve">
 --------------------------------------------------------------------------------------
2026-02-26_ARC:
BRCM radio statistic is read from IOVAR, like wl -i wl0 counters
but there still has some wrong val in 
BroadcastPacketsReceived
BroadcastPacketsSent
UnicastPacketsReceived
UnicastPacketsSent
ErrorsSent
what I tested.
BRCM: CSP  CS00012439197
--
The BroadcastPackets will need to check from driver, though "ethtool -S wl*" returns "no stats available" and the "tcpdump" does not inplement.
 API value for 5/6/2.4GHz is always 0.
##Execute below command before getting Radio statistic
ubus-cli "WiFi.Radio.1.getRadioStats()"?
ubus-cli "WiFi.Radio.2.getRadioStats()"?
ubus-cli "WiFi.Radio.3.getRadioStats()"?
root@prplOS:~#  ubus-cli "WiFi.Radio.1.getRadioStats()DiscardPacketsSent"? | grep  DiscardPacketsSent
&gt; WiFi.Radio.1.getRadioStats()DiscardPacketsSent?
        DiscardPacketsSent = 0,
root@prplOS:~#  ubus-cli "WiFi.Radio.2.getRadioStats()DiscardPacketsSent"? | grep  DiscardPacketsSent
&gt; WiFi.Radio.2.getRadioStats()DiscardPacketsSent?
        DiscardPacketsSent = 0,
root@prplOS:~#  ubus-cli "WiFi.Radio.3.getRadioStats()DiscardPacketsSent"? | grep  DiscardPacketsSent
&gt; WiFi.Radio.3.getRadioStats()DiscardPacketsSent?
        DiscardPacketsSent = 0,
root@prplOS:~# for i in 0 1 2; do wl -i wl$i counters | awk -v r="wl$i" '{for(i=1;i&lt;=NF;i++) if($i=="txlost") print r,"txlost =",$(i+1)}'; done
wl0 txlost = 0
wl1 txlost = 0
wl2 txlost = 0
root@prplOS:~#
 Note: in SSID it increase 
 root@prplOS:~# ubus-cli WiFi.? | grep DiscardPacketsSent
</t>
    </r>
    <r>
      <rPr>
        <sz val="9"/>
        <color rgb="FFFF0000"/>
        <rFont val="Calibri"/>
        <scheme val="minor"/>
      </rPr>
      <t xml:space="preserve">WiFi.Radio.1.Stats.DiscardPacketsSent=0
WiFi.Radio.2.Stats.DiscardPacketsSent=0
WiFi.Radio.3.Stats.DiscardPacketsSent=0
</t>
    </r>
    <r>
      <rPr>
        <sz val="9"/>
        <color rgb="FF0070C0"/>
        <rFont val="Calibri"/>
        <scheme val="minor"/>
      </rPr>
      <t xml:space="preserve">WiFi.SSID.4.Stats.DiscardPacketsSent=6661
WiFi.SSID.6.Stats.DiscardPacketsSent=6443
WiFi.SSID.8.Stats.DiscardPacketsSent=6439
</t>
    </r>
    <r>
      <rPr>
        <sz val="9"/>
        <color rgb="FF000000"/>
        <rFont val="Calibri"/>
        <scheme val="minor"/>
      </rPr>
      <t xml:space="preserve">
 --------------------------------------------------------------------------------
2026-02-26_ARC:
BRCM radio statistic is read from IOVAR, like wl -i wl0 counters
but there still has some wrong val in 
BroadcastPacketsReceived
BroadcastPacketsSent
UnicastPacketsReceived
UnicastPacketsSent
ErrorsSent
what I tested.</t>
    </r>
  </si>
  <si>
    <t>Ask BRCM how to test DiscardPacketsSent in WIFI driver? Generate traffic between eth 5G to WIFI 2.4G?
It seems only counter in SSID data model is increased.</t>
  </si>
  <si>
    <t>ubus-cli WiFi.Radio.{i}.getRadioStats()ErrorsReceive : 3,</t>
  </si>
  <si>
    <t>1. Get and record ErrorsReceive:
root@prplOS:/# ubus-cli "WiFi.Radio.*.getRadioStats()" | grep ErrorsReceive
        ErrorsReceived = 0,
        ErrorsReceived = 0,
        ErrorsReceived = 0,</t>
  </si>
  <si>
    <t>cat /proc/net/dev | grep wl*
awk '
$1 ~ /^wl[0-2]:$/ {
    printf "%s RX_Error-pkg=%s\n", $1, $4
}
' /proc/net/dev</t>
  </si>
  <si>
    <t xml:space="preserve">
root@prplOS:~# ubus-cli "WiFi.Radio.*.getRadioStats()ErrorsReceived"? | grep -w "ErrorsReceived"
&gt; WiFi.Radio.*.getRadioStats()ErrorsReceived?
        ErrorsReceived = 8,
        ErrorsReceived = 8,
        ErrorsReceived = 8,
root@prplOS:~# for i in 0 1 2; do wl -i wl$i counters | awk -v r="wl$i" '{for(i=1;i&lt;=NF;i++) if($i=="rxerror") print r,"rxerror =",$(i+1)}'; done
wl0 rxerror = 8
wl1 rxerror = 8
wl2 rxerror = 8
2026-02-26_ARC:
BRCM radio statistic is read from IOVAR, like wl -i wl0 counters
but there still has some wrong val in 
BroadcastPacketsReceived
BroadcastPacketsSent
UnicastPacketsReceived
UnicastPacketsSent
ErrorsSent
what I tested.</t>
  </si>
  <si>
    <t>ubus-cli WiFi.Radio.{i}.getRadioStats()ErrorsSent    : 315,</t>
  </si>
  <si>
    <t>1. Get and record ErrorsSent:
root@prplOS:/# ubus-cli "WiFi.Radio.*.getRadioStats()" | grep ErrorsSent
        ErrorsSent = 0,
        ErrorsSent = 0,
        ErrorsSent = 0,</t>
  </si>
  <si>
    <t>cat /proc/net/dev | grep wl*
awk '
$1 ~ /^wl[0-2]:$/ {
    printf "%s TX_Error-pkg=%s\n", $1, $12
}
' /proc/net/dev</t>
  </si>
  <si>
    <t xml:space="preserve">
root@prplOS:~#  ubus-cli "WiFi.Radio.*.getRadioStats()ErrorsSent"? | grep -w "ErrorsSent"
&gt; WiFi.Radio.*.getRadioStats()ErrorsSent?
        ErrorsSent = 2,
        ErrorsSent = 1,
        ErrorsSent = 1,
root@prplOS:~# for i in 0 1 2; do wl -i wl$i counters | awk -v r="wl$i" '{for(i=1;i&lt;=NF;i++) if($i=="txerror") print r,"txerror =",$(i+1)}'; done
wl0 txerror = 2
wl1 txerror = 1
wl2 txerror = 1
2026-02-26_ARC:
BRCM radio statistic is read from IOVAR, like wl -i wl0 counters
but there still has some wrong val in 
BroadcastPacketsReceived
BroadcastPacketsSent
UnicastPacketsReceived
UnicastPacketsSent
ErrorsSent
what I tested.</t>
  </si>
  <si>
    <t>ubus-cli WiFi.Radio.{i}.getRadioStats()MulticastPacketsReceived : 80,</t>
  </si>
  <si>
    <t>1. Get and record MulticastPacketsReceived:
root@prplOS:/# ubus-cli "WiFi.Radio.*.getRadioStats()" | grep MulticastPacketsReceived
        MulticastPacketsReceived = 415,
        MulticastPacketsReceived = 0,
        MulticastPacketsReceived = 1811,
2. Connect STA for every radio, ping "224.0.0.251" from every STAs.
3. Read MulticastPacketsReceived again:
root@prplOS:/# ubus-cli "WiFi.Radio.*.getRadioStats()" | grep MulticastPacketsReceived
        MulticastPacketsReceived = 436,
        MulticastPacketsReceived = 0,
        MulticastPacketsReceived = 2549,</t>
  </si>
  <si>
    <t>cat /proc/net/dev
awk '
$1 ~ /^wl[0-2]:$/ {
    printf "%s RX_multipkg=%s\n", $1, $9
}
' /proc/net/dev</t>
  </si>
  <si>
    <t xml:space="preserve">
root@prplOS:~# ubus-cli "WiFi.Radio.*.getRadioStats()" | grep MulticastPacketsReceived
        MulticastPacketsReceived = 23229,
        MulticastPacketsReceived = 74537,
        MulticastPacketsReceived = 64097,
root@prplOS:~# for i in 0 1 2; do wl -i wl$i counters | awk -v r="wl$i" '{for(i=1;i&lt;=NF;i++) if($i=="d11_rxmulti") print r,"d11_rxmulti =",$(i+1)}'; done
wl0 d11_rxmulti = 23229
wl1 d11_rxmulti = 74549
wl2 d11_rxmulti = 64097
2026-02-26_ARC:
BRCM radio statistic is read from IOVAR, like wl -i wl0 counters
but there still has some wrong val in 
BroadcastPacketsReceived
BroadcastPacketsSent
UnicastPacketsReceived
UnicastPacketsSent
ErrorsSent
what I tested.</t>
  </si>
  <si>
    <t>ubus-cli WiFi.Radio.{i}.getRadioStats()MulticastPacketsSent  : 205869,</t>
  </si>
  <si>
    <t xml:space="preserve">1. Record MulticastPacketsReceived:
root@prplOS:/# ubus-cli ""WiFi.Radio.*.getRadioStats()"" | grep MulticastPacketsSe
nt
        MulticastPacketsSent = 0,
        MulticastPacketsSent = 0,
        MulticastPacketsSent = 0,
2. Connect STA for every radio, ping mDNS(224.0.0.251) or  SSDP(239.255.255.250) from individual STAs.
3. Read MulticastPacketsReceived again:
root@prplOS:/# ubus-cli ""WiFi.Radio.*.getRadioStats()"" | grep MulticastPacketsSent
        MulticastPacketsSent = 0,
        MulticastPacketsSent = 0,
        MulticastPacketsSent = 0,
"	cat /proc/net/dev | grep wl
</t>
  </si>
  <si>
    <r>
      <t xml:space="preserve">cat /proc/net/dev_extstats
awk '
$1 ~ /^wl[0-2]:$/ {
    printf "%s TX_multipkg=%s\n", $1, $19
}
' /proc/net/dev_extstats
</t>
    </r>
    <r>
      <rPr>
        <strike/>
        <sz val="9"/>
        <color rgb="FF000000"/>
        <rFont val="Calibri"/>
        <scheme val="minor"/>
      </rPr>
      <t>cat /proc/net/dev | grep wl
(not included in /proc/net/dev )</t>
    </r>
  </si>
  <si>
    <r>
      <rPr>
        <sz val="9"/>
        <color rgb="FF000000"/>
        <rFont val="Calibri"/>
        <scheme val="minor"/>
      </rPr>
      <t xml:space="preserve">
root@prplOS:~# ubus-cli "WiFi.Radio.1.getRadioStats()MulticastPacketsSent"? | grep MulticastPacketsSent
&gt; WiFi.Radio.1.getRadioStats()MulticastPacketsSent?
        MulticastPacketsSent = 16376918,
root@prplOS:~# ubus-cli "WiFi.Radio.2.getRadioStats()MulticastPacketsSent"? | grep MulticastPacketsSent
&gt; WiFi.Radio.2.getRadioStats()MulticastPacketsSent?
        MulticastPacketsSent = 18117631,
root@prplOS:~# ubus-cli "WiFi.Radio.3.getRadioStats()MulticastPacketsSent"? | grep MulticastPacketsSent
&gt; WiFi.Radio.3.getRadioStats()MulticastPacketsSent?
        MulticastPacketsSent = 15932137,
root@prplOS:~# for i in 0 1 2; do wl -i wl$i counters | awk -v r="wl$i" '{for(i=1;i&lt;=NF;i++) if($i=="d11_txmulti") print r,"d11_txmulti =",$(i+1)}'; done
wl0 d11_txmulti = 16377032
wl1 d11_txmulti = 18117643
wl2 d11_txmulti = 15932145
</t>
    </r>
    <r>
      <rPr>
        <strike/>
        <sz val="9"/>
        <color rgb="FF000000"/>
        <rFont val="Calibri"/>
        <scheme val="minor"/>
      </rPr>
      <t>The API always return 0 and it is not listed in "/proc/net/dev".</t>
    </r>
  </si>
  <si>
    <t>ubus-cli WiFi.Radio.{i}.getRadioStats()PacketsReceived   : 1793,</t>
  </si>
  <si>
    <t>1. Connect 2.4/5/6G STA to DUT, try ping or setup iperf3 data flow. The counter should accumulate.
ubus-cli "WiFi.Radio.*.getRadioStats()"
&gt; WiFi.Radio.*.getRadioStats()
WiFi.Radio.1.getRadioStats() returned
[
    {
        BroadcastPacketsReceived = 0,
        BroadcastPacketsSent = 0,
        BytesReceived = 328702143,
        BytesSent = 1841241744,
        DiscardPacketsReceived = 11,
        DiscardPacketsSent = 18,
        ErrorsReceived = 0,
        ErrorsSent = 0,
        FailedRetransCount = 0,
        MulticastPacketsReceived = 7699,
        MulticastPacketsSent = 0,
        MultipleRetryCount = 0,
        Noise = 0,
        PacketsReceived = 393004,
        PacketsSent = 1479000,
        RetransCount = 0,
        RetryCount = 0,
        Temperature = 76,
        UnicastPacketsReceived = 0,
        UnicastPacketsSent = 0,
        UnknownProtoPacketsReceived = 0,
        WmmBytesReceived = {
            AC_BE = 340664473,
            AC_BK = 0,
            AC_VI = 0,
            AC_VO = 0
        },
        WmmBytesSent = {
            AC_BE = 1854974350,
            AC_BK = 0,
            AC_VI = 0,
            AC_VO = 62292
        },
        WmmFailedBytesReceived = {
            AC_BE = 0,
            AC_BK = 0,
            AC_VI = 0,
            AC_VO = 0
        },
        WmmFailedReceived = {
            AC_BE = 0,
            AC_BK = 0,
            AC_VI = 0,
            AC_VO = 0
        },
        WmmFailedSent = {
            AC_BE = 0,
            AC_BK = 0,
            AC_VI = 0,
            AC_VO = 0
        },
        WmmFailedbytesSent = {
            AC_BE = 0,
            AC_BK = 0,
            AC_VI = 0,
            AC_VO = 0
        },
        WmmPacketsReceived = {
            AC_BE = 392579,
            AC_BK = 0,
            AC_VI = 0,
            AC_VO = 0
        },
        WmmPacketsSent = {
            AC_BE = 910867,
            AC_BK = 0,
            AC_VI = 0,
            AC_VO = 598
        }
    }
]
WiFi.Radio.2.getRadioStats() returned
[
    {
        BroadcastPacketsReceived = 0,
        BroadcastPacketsSent = 0,
        BytesReceived = 0,
        BytesSent = 137198276,
        DiscardPacketsReceived = 11,
        DiscardPacketsSent = 19,
        ErrorsReceived = 0,
        ErrorsSent = 0,
        FailedRetransCount = 0,
        MulticastPacketsReceived = 0,
        MulticastPacketsSent = 0,
        MultipleRetryCount = 0,
        Noise = 0,
        PacketsReceived = 0,
        PacketsSent = 302834,
        RetransCount = 0,
        RetryCount = 0,
        Temperature = 77,
        UnicastPacketsReceived = 0,
        UnicastPacketsSent = 0,
        UnknownProtoPacketsReceived = 0,
        WmmBytesReceived = {
            AC_BE = 0,
            AC_BK = 0,
            AC_VI = 0,
            AC_VO = 0
        },
        WmmBytesSent = {
            AC_BE = 139648968,
            AC_BK = 0,
            AC_VI = 0,
            AC_VO = 0
        },
        WmmFailedBytesReceived = {
            AC_BE = 0,
            AC_BK = 0,
            AC_VI = 0,
            AC_VO = 0
        },
        WmmFailedReceived = {
            AC_BE = 0,
            AC_BK = 0,
            AC_VI = 0,
            AC_VO = 0
        },
        WmmFailedSent = {
            AC_BE = 0,
            AC_BK = 0,
            AC_VI = 0,
            AC_VO = 0
        },
        WmmFailedbytesSent = {
            AC_BE = 0,
            AC_BK = 0,
            AC_VI = 0,
            AC_VO = 0
        },
        WmmPacketsReceived = {
            AC_BE = 0,
            AC_BK = 0,
            AC_VI = 0,
            AC_VO = 0
        },
        WmmPacketsSent = {
            AC_BE = 302834,
            AC_BK = 0,
            AC_VI = 0,
            AC_VO = 0
        }
    }
]
WiFi.Radio.3.getRadioStats() returned
[
    {
        BroadcastPacketsReceived = 0,
        BroadcastPacketsSent = 0,
        BytesReceived = 1573517596,
        BytesSent = 307063639,
        DiscardPacketsReceived = 22,
        DiscardPacketsSent = 4,
        ErrorsReceived = 0,
        ErrorsSent = 0,
        FailedRetransCount = 0,
        MulticastPacketsReceived = 348,
        MulticastPacketsSent = 0,
        MultipleRetryCount = 0,
        Noise = 0,
        PacketsReceived = 1058277,
        PacketsSent = 552814,
        RetransCount = 0,
        RetryCount = 0,
        Temperature = 75,
        UnicastPacketsReceived = 0,
        UnicastPacketsSent = 0,
        UnknownProtoPacketsReceived = 0,
        WmmBytesReceived = {
            AC_BE = 1626102526,
            AC_BK = 0,
            AC_VI = 0,
            AC_VO = 0
        },
        WmmBytesSent = {
            AC_BE = 311583825,
            AC_BK = 0,
            AC_VI = 0,
            AC_VO = 9724
        },
        WmmFailedBytesReceived = {
            AC_BE = 0,
            AC_BK = 0,
            AC_VI = 0,
            AC_VO = 0
        },
        WmmFailedReceived = {
            AC_BE = 0,
            AC_BK = 0,
            AC_VI = 0,
            AC_VO = 0
        },
        WmmFailedSent = {
            AC_BE = 0,
            AC_BK = 0,
            AC_VI = 0,
            AC_VO = 0
        },
        WmmFailedbytesSent = {
            AC_BE = 0,
            AC_BK = 0,
            AC_VI = 0,
            AC_VO = 0
        },
        WmmPacketsReceived = {
            AC_BE = 1058276,
            AC_BK = 0,
            AC_VI = 0,
            AC_VO = 0
        },
        WmmPacketsSent = {
            AC_BE = 553078,
            AC_BK = 0,
            AC_VI = 0,
            AC_VO = 83
        }
    }
]</t>
  </si>
  <si>
    <t>awk '
$1 ~ /^wl[0-2]:$/ {
    printf "%s RX_pkg=%s\n", $1, $3
}
' /proc/net/dev</t>
  </si>
  <si>
    <t>ubus-cli WiFi.Radio.{i}.getRadioStats()PacketsSent  : 200006,</t>
  </si>
  <si>
    <t>awk '
$1 ~ /^wl[0-2]:$/ {
    printf "%s TX_pkg=%s\n", $1, $11
}
' /proc/net/dev
wl0: TX_pkg=1344487
wl1: TX_pkg=168346
wl2: TX_pkg=430450</t>
  </si>
  <si>
    <t>ubus-cli WiFi.Radio.{i}.getRadioStats()UnicastPacketsReceived   : 0,</t>
  </si>
  <si>
    <t>1. Connect STA to DUT, try ping or setup iperf3 data flow. The counter should accumulate.
ubus-cli "WiFi.Radio.*.getRadioStats()"
&gt; WiFi.Radio.*.getRadioStats()
WiFi.Radio.1.getRadioStats() returned
[
    {
        BroadcastPacketsReceived = 0,
        BroadcastPacketsSent = 0,
        BytesReceived = 328702143,
        BytesSent = 1841241744,
        DiscardPacketsReceived = 11,
        DiscardPacketsSent = 18,
        ErrorsReceived = 0,
        ErrorsSent = 0,
        FailedRetransCount = 0,
        MulticastPacketsReceived = 7699,
        MulticastPacketsSent = 0,
        MultipleRetryCount = 0,
        Noise = 0,
        PacketsReceived = 393004,
        PacketsSent = 1479000,
        RetransCount = 0,
        RetryCount = 0,
        Temperature = 76,
        UnicastPacketsReceived = 0,
        UnicastPacketsSent = 0,
        UnknownProtoPacketsReceived = 0,
        WmmBytesReceived = {
            AC_BE = 340664473,
            AC_BK = 0,
            AC_VI = 0,
            AC_VO = 0
        },
        WmmBytesSent = {
            AC_BE = 1854974350,
            AC_BK = 0,
            AC_VI = 0,
            AC_VO = 62292
        },
        WmmFailedBytesReceived = {
            AC_BE = 0,
            AC_BK = 0,
            AC_VI = 0,
            AC_VO = 0
        },
        WmmFailedReceived = {
            AC_BE = 0,
            AC_BK = 0,
            AC_VI = 0,
            AC_VO = 0
        },
        WmmFailedSent = {
            AC_BE = 0,
            AC_BK = 0,
            AC_VI = 0,
            AC_VO = 0
        },
        WmmFailedbytesSent = {
            AC_BE = 0,
            AC_BK = 0,
            AC_VI = 0,
            AC_VO = 0
        },
        WmmPacketsReceived = {
            AC_BE = 392579,
            AC_BK = 0,
            AC_VI = 0,
            AC_VO = 0
        },
        WmmPacketsSent = {
            AC_BE = 910867,
            AC_BK = 0,
            AC_VI = 0,
            AC_VO = 598
        }
    }
]
WiFi.Radio.2.getRadioStats() returned
[
    {
        BroadcastPacketsReceived = 0,
        BroadcastPacketsSent = 0,
        BytesReceived = 0,
        BytesSent = 137198276,
        DiscardPacketsReceived = 11,
        DiscardPacketsSent = 19,
        ErrorsReceived = 0,
        ErrorsSent = 0,
        FailedRetransCount = 0,
        MulticastPacketsReceived = 0,
        MulticastPacketsSent = 0,
        MultipleRetryCount = 0,
        Noise = 0,
        PacketsReceived = 0,
        PacketsSent = 302834,
        RetransCount = 0,
        RetryCount = 0,
        Temperature = 77,
        UnicastPacketsReceived = 0,
        UnicastPacketsSent = 0,
        UnknownProtoPacketsReceived = 0,
        WmmBytesReceived = {
            AC_BE = 0,
            AC_BK = 0,
            AC_VI = 0,
            AC_VO = 0
        },
        WmmBytesSent = {
            AC_BE = 139648968,
            AC_BK = 0,
            AC_VI = 0,
            AC_VO = 0
        },
        WmmFailedBytesReceived = {
            AC_BE = 0,
            AC_BK = 0,
            AC_VI = 0,
            AC_VO = 0
        },
        WmmFailedReceived = {
            AC_BE = 0,
            AC_BK = 0,
            AC_VI = 0,
            AC_VO = 0
        },
        WmmFailedSent = {
            AC_BE = 0,
            AC_BK = 0,
            AC_VI = 0,
            AC_VO = 0
        },
        WmmFailedbytesSent = {
            AC_BE = 0,
            AC_BK = 0,
            AC_VI = 0,
            AC_VO = 0
        },
        WmmPacketsReceived = {
            AC_BE = 0,
            AC_BK = 0,
            AC_VI = 0,
            AC_VO = 0
        },
        WmmPacketsSent = {
            AC_BE = 302834,
            AC_BK = 0,
            AC_VI = 0,
            AC_VO = 0
        }
    }
]
WiFi.Radio.3.getRadioStats() returned
[
    {
        BroadcastPacketsReceived = 0,
        BroadcastPacketsSent = 0,
        BytesReceived = 1573517596,
        BytesSent = 307063639,
        DiscardPacketsReceived = 22,
        DiscardPacketsSent = 4,
        ErrorsReceived = 0,
        ErrorsSent = 0,
        FailedRetransCount = 0,
        MulticastPacketsReceived = 348,
        MulticastPacketsSent = 0,
        MultipleRetryCount = 0,
        Noise = 0,
        PacketsReceived = 1058277,
        PacketsSent = 552814,
        RetransCount = 0,
        RetryCount = 0,
        Temperature = 75,
        UnicastPacketsReceived = 0,
        UnicastPacketsSent = 0,
        UnknownProtoPacketsReceived = 0,
        WmmBytesReceived = {
            AC_BE = 1626102526,
            AC_BK = 0,
            AC_VI = 0,
            AC_VO = 0
        },
        WmmBytesSent = {
            AC_BE = 311583825,
            AC_BK = 0,
            AC_VI = 0,
            AC_VO = 9724
        },
        WmmFailedBytesReceived = {
            AC_BE = 0,
            AC_BK = 0,
            AC_VI = 0,
            AC_VO = 0
        },
        WmmFailedReceived = {
            AC_BE = 0,
            AC_BK = 0,
            AC_VI = 0,
            AC_VO = 0
        },
        WmmFailedSent = {
            AC_BE = 0,
            AC_BK = 0,
            AC_VI = 0,
            AC_VO = 0
        },
        WmmFailedbytesSent = {
            AC_BE = 0,
            AC_BK = 0,
            AC_VI = 0,
            AC_VO = 0
        },
        WmmPacketsReceived = {
            AC_BE = 1058276,
            AC_BK = 0,
            AC_VI = 0,
            AC_VO = 0
        },
        WmmPacketsSent = {
            AC_BE = 553078,
            AC_BK = 0,
            AC_VI = 0,
            AC_VO = 83
        }
    }
]</t>
  </si>
  <si>
    <t>cat /proc/net/dev | grep wl*
Inter-|   Receive                                                |  Transmit
 face |bytes    packets errs drop fifo frame compressed multicast|bytes    packets errs drop fifo colls carrier compressed
   wl0: 328702143  393004    0   10    0     0          0      7699 1772998999 1329734    0   16    0     0       0          0
   wl1:       0       0    0   10    0     0          0         0 68957781  153593    0   13    0     0       0          0
   wl2: 1573662029 1060133    0   21    0     0          0       349 238968041  405397    0    4    0     0       0          0</t>
  </si>
  <si>
    <t>root@prplOS:~# ubus-cli "WiFi.Radio.1.getRadioStats()UnicastPacketsReceive"? | grep UnicastPacketsReceive
&gt; WiFi.Radio.1.getRadioStats()UnicastPacketsReceive?
        UnicastPacketsReceived = 4160408196,
root@prplOS:~# ubus-cli "WiFi.Radio.2.getRadioStats()UnicastPacketsReceive"? | grep UnicastPacketsReceive
&gt; WiFi.Radio.2.getRadioStats()UnicastPacketsReceive?
        UnicastPacketsReceived = 1114210591,
root@prplOS:~# ubus-cli "WiFi.Radio.3.getRadioStats()UnicastPacketsReceive"? | grep UnicastPacketsReceive
&gt; WiFi.Radio.3.getRadioStats()UnicastPacketsReceive?
        UnicastPacketsReceived = 2966608786,
root@prplOS:~# for i in 0 1 2; do wl -i wl$i counters | awk -v r="wl$i" '{for(i=1;i&lt;=NF;i++) if($i=="rxframe") print r,"rxframe  =",$(i+1)}'; done
wl0 rxframe  = 4160431425
wl1 rxframe  = 1114285158
wl2 rxframe  = 2966672883
----------------------------------------------------------------------------------------------------------
BRCM: CSP  CS00012439197
--
Unicast packets cannot be calculated, while "Bytes" and "Packets" counters work fine.</t>
  </si>
  <si>
    <t>ubus-cli WiFi.Radio.{i}.getRadioStats()UnicastPacketsSent    : 0,</t>
  </si>
  <si>
    <t>root@prplOS:~# ubus-cli "WiFi.Radio.1.getRadioStats()UnicastPacketsSent"? | grep UnicastPacketsSent
&gt; WiFi.Radio.1.getRadioStats()UnicastPacketsSent?
        UnicastPacketsSent = 523710540,
root@prplOS:~# ubus-cli "WiFi.Radio.2.getRadioStats()UnicastPacketsSent"? | grep UnicastPacketsSent
&gt; WiFi.Radio.2.getRadioStats()UnicastPacketsSent?
        UnicastPacketsSent = 726895698,
root@prplOS:~# ubus-cli "WiFi.Radio.3.getRadioStats()UnicastPacketsSent"? | grep UnicastPacketsSent
&gt; WiFi.Radio.3.getRadioStats()UnicastPacketsSent?
        UnicastPacketsSent = 1038869240,
root@prplOS:~# for i in 0 1 2; do wl -i wl$i counters | awk -v r="wl$i" '{for(i=1;i&lt;=NF;i++) if($i=="txframe") print r,"txframe  =",$(i+1)}'; done
wl0 txframe  = 540089366
wl1 txframe  = 745015201
wl2 txframe  = 1054803179
---------------------------------------------------------------------------------------
BRCM: CSP  CS00012439197
--
Unicast packets cannot be calculated, while "Bytes" and "Packets" counters work fine.</t>
  </si>
  <si>
    <t>getScanResults()</t>
  </si>
  <si>
    <t>ubus-cli WiFi.Radio.{i}.getScanResults()Bandwidth                 : 20,</t>
  </si>
  <si>
    <t>1. Setup another AP as a data collecting target, try collect the target's Wi-Fi air radio info. Compare the actual value and API returned value.
[5GHz]
ubus-cli "WiFi.Radio.*.getScanResults()" | grep -i 1C:F4:3F:73:C7
* -A 15 -B1
        {
            BSSID = "1C:F4:3F:73:C7:48",
            Bandwidth = 160,
            CentreChannel = 50,
            Channel = 36,
            ChannelUtilization = 195,
            EncryptionMode = "Default",
            Noise = 0,
            OperatingStandards = "a,n,ac,ax,be",
            RSSI = -34,
            SSID = "AAAAA_S7-5",
            SecurityModeEnabled = "WPA2-WPA3-Personal",
            SignalNoiseRatio = 0,
            SignalStrength = -34,
            StationCount = 0,
            WPSConfigMethodsSupported = ""
        },
--
[2.4G]
        {
            BSSID = "1C:F4:3F:73:C7:40",
            Bandwidth = 20,
            CentreChannel = 13,
            Channel = 13,
            ChannelUtilization = 196,
            EncryptionMode = "Default",
            Noise = 0,
            OperatingStandards = "b,g,n,ax,be",
            RSSI = -36,
            SSID = "MagentaWLAN-9EOE",
            SecurityModeEnabled = "WPA2-WPA3-Personal",
            SignalNoiseRatio = 0,
            SignalStrength = -36,
            StationCount = 0,
            WPSConfigMethodsSupported = ""
        }
[6GHz]
ubus-cli "WiFi.Radio.2.getScanResults()" | grep -i  18:60:41:00:0
f:2b -A 15 -B1
        {
            BSSID = "18:60:41:00:0F:2B",
            Bandwidth = 320,
            CentreChannel = 127,
            Channel = 149,
            ChannelUtilization = 70,
            EncryptionMode = "Default",
            Noise = 0,
            OperatingStandards = "ax,be",
            RSSI = -86,
            SSID = "!iphone17_G5",
            SecurityModeEnabled = "WPA3-Personal",
            SignalNoiseRatio = 0,
            SignalStrength = -86,
            StationCount = 0,
            WPSConfigMethodsSupported = ""
        },</t>
  </si>
  <si>
    <t>[2.4GHz]
root@prplOS:/# iw dev wl2 scan | grep 1c:f4:3f:73:c7:40 -A150
BSS 1c:f4:3f:73:c7:40(on wl2)
        TSF: 14499627031 usec (0d, 04:01:39)
        freq: 2472
        beacon interval: 100 TUs
        capability: ESS Privacy ShortPreamble ShortSlotTime APSD RadioMeasure (0x1c31)
        signal: -36.00 dBm
        last seen: 121 ms ago
        SSID: AAAAA_S7-24
        Supported rates: 1.0* 2.0* 5.5* 11.0* 9.0 18.0 36.0 54.0
        DS Parameter set: channel 13
        TIM: DTIM Count 0 DTIM Period 1 Bitmap Control 0x0 Bitmap[0] 0x0
        Country: DE     Environment: bogus
                Channels [1 - 13] @ 30 dBm
        Power constraint: 0 dB
        TPC report: TX power: 20 dBm
        ERP: &lt;no flags&gt;
        Extended supported rates: 6.0 12.0 24.0 48.0
        RSN:     * Version: 1
                 * Group cipher: CCMP
                 * Pairwise ciphers: CCMP
                 * Authentication suites: PSK 00-0f-ac:8
                 * Capabilities: 16-PTKSA-RC 1-GTKSA-RC MFP-capable (0x008c)
        WPS:     * Version: 1.0
                 * Wi-Fi Protected Setup State: 2 (Configured)
                 * RF Bands: 0x1
                 * Unknown TLV (0x1049, 6 bytes): 00 37 2a 00 01 20
        BSS Load:
                 * station count: 0
                 * channel utilisation: 159/255
                 * available admission capacity: 31250 [*32us]
        HT capabilities:
                Capabilities: 0x19ef
                        RX LDPC
                        HT20/HT40
                        SM Power Save disabled
                        RX HT20 SGI
                        RX HT40 SGI
                        TX STBC
                        RX STBC 1-stream
                        Max AMSDU length: 7935 bytes
                        DSSS/CCK HT40
                Maximum RX AMPDU length 65535 bytes (exponent: 0x003)
                Minimum RX AMPDU time spacing: 2 usec (0x04)
                HT RX MCS rate indexes supported: 0-23
                HT TX MCS rate indexes are undefined
        HT operation:
                 * primary channel: 13
                 * secondary channel offset: no secondary
                 * STA channel width: 20 MHz
                 * RIFS: 0
                 * HT protection: no
                 * non-GF present: 0
                 * OBSS non-GF present: 0
                 * dual beacon: 0
                 * dual CTS protection: 0
                 * STBC beacon: 0
                 * L-SIG TXOP Prot: 0
                 * PCO active: 0
                 * PCO phase: 0
        Overlapping BSS scan params:
                 * passive dwell: 20 TUs
                 * active dwell: 10 TUs
                 * channel width trigger scan interval: 300 s
                 * scan passive total per channel: 200 TUs
                 * scan active total per channel: 20 TUs
                 * BSS width channel transition delay factor: 5
                 * OBSS Scan Activity Threshold: 0.25 %
        Extended capabilities: HT Information Exchange Supported, BSS Transition, Interworking, WNM-Notification, 6, 4
        WMM:     * Parameter version 1
                 * u-APSD
                 * BE: CW 15-1023, AIFSN 3
                 * BK: CW 15-1023, AIFSN 7
                 * VI: CW 7-15, AIFSN 2, TXOP 3008 usec
                 * VO: CW 3-7, AIFSN 2, TXOP 1504 usec
[5GHz]
root@prplOS:/# iw dev wl0 scan | grep 1c:f4:3f:73:c7:48 -A150
BSS 1c:f4:3f:73:c7:48(on wl0)
        TSF: 13692739095 usec (0d, 03:48:12)
        freq: 5180
        beacon interval: 100 TUs
        capability: ESS Privacy ShortPreamble SpectrumMgmt APSD RadioMeasure (0x1931)
        signal: -37.00 dBm
        last seen: 1017 ms ago
        SSID: AAAAA_S7-5
        Supported rates: 6.0* 9.0 12.0* 18.0 24.0* 36.0 48.0 54.0
        DS Parameter set: channel 36
        TIM: DTIM Count 0 DTIM Period 1 Bitmap Control 0x0 Bitmap[0] 0x0
        Country: DE     Environment: bogus
                Channels [36 - 64] @ 30 dBm
                Channels [100 - 140] @ 30 dBm
        Power constraint: 0 dB
        TPC report: TX power: 23 dBm
        RSN:     * Version: 1
                 * Group cipher: CCMP
                 * Pairwise ciphers: CCMP
                 * Authentication suites: PSK 00-0f-ac:8
                 * Capabilities: 16-PTKSA-RC 1-GTKSA-RC MFP-capable (0x008c)
        WPS:     * Version: 1.0
                 * Wi-Fi Protected Setup State: 2 (Configured)
                 * RF Bands: 0x2
                 * Unknown TLV (0x1049, 6 bytes): 00 37 2a 00 01 20
        BSS Load:
                 * station count: 0
                 * channel utilisation: 198/255
                 * available admission capacity: 31250 [*32us]
        HT capabilities:
                Capabilities: 0x9ef
                        RX LDPC
                        HT20/HT40
                        SM Power Save disabled
                        RX HT20 SGI
                        RX HT40 SGI
                        TX STBC
                        RX STBC 1-stream
                        Max AMSDU length: 7935 bytes
                        No DSSS/CCK HT40
                Maximum RX AMPDU length 65535 bytes (exponent: 0x003)
                Minimum RX AMPDU time spacing: 1 usec (0x03)
                HT RX MCS rate indexes supported: 0-31
                HT TX MCS rate indexes are undefined
        HT operation:
                 * primary channel: 36
                 * secondary channel offset: above
                 * STA channel width: any
                 * RIFS: 0
                 * HT protection: no
                 * non-GF present: 0
                 * OBSS non-GF present: 0
                 * dual beacon: 0
                 * dual CTS protection: 0
                 * STBC beacon: 0
                 * L-SIG TXOP Prot: 0
                 * PCO active: 0
                 * PCO phase: 0
        VHT capabilities:
                VHT Capabilities (0x33db99f6):
                        Max MPDU length: 11454
                        Supported Channel Width: 160 MHz
                        RX LDPC
                        short GI (80 MHz)
                        short GI (160/80+80 MHz)
                        TX STBC
                        SU Beamformer
                        SU Beamformee
                        MU Beamformer
                        MU Beamformee
                        +HTC-VHT
                        RX antenna pattern consistency
                        TX antenna pattern consistency
                VHT RX MCS set:
                        1 streams: MCS 0-9
                        2 streams: MCS 0-9
                        3 streams: MCS 0-8
                        4 streams: MCS 0-9
                        5 streams: not supported
                        6 streams: not supported
                        7 streams: not supported
                        8 streams: not supported
                VHT RX highest supported: 3120 Mbps
                VHT TX MCS set:
                        1 streams: MCS 0-9
                        2 streams: MCS 0-9
                        3 streams: MCS 0-8
                        4 streams: MCS 0-9
                        5 streams: not supported
                        6 streams: not supported
                        7 streams: not supported
                        8 streams: not supported
                VHT TX highest supported: 3120 Mbps
        VHT operation:
                 * channel width: 1 (80 MHz)
                 * center freq segment 1: 42
                 * center freq segment 2: 50
                 * VHT basic MCS set: 0xfffc
        Extended capabilities: BSS Transition, Interworking, WNM-Notification, 6, 6, 4
        WMM:     * Parameter version 1
                 * u-APSD
                 * BE: CW 15-1023, AIFSN 3
                 * BK: CW 15-1023, AIFSN 7
                 * VI: CW 7-15, AIFSN 2, TXOP 3008 usec
                 * VO: CW 3-7, AIFSN 2, TXOP 1504 usec
[6GHz]
BSS 18:60:41:00:0f:2b(on wl1)
        TSF: 13831828040 usec (0d, 03:50:31)
        freq: 6695
        beacon interval: 100 TUs
        capability: ESS Privacy ShortPreamble SpectrumMgmt APSD RadioMeasure (0x1931)
        signal: -86.00 dBm
        last seen: 2167 ms ago
        SSID: !iphone17_G5
        Supported rates: 6.0* 9.0 12.0* 18.0 24.0* 36.0 48.0 54.0
        TIM: DTIM Count 0 DTIM Period 1 Bitmap Control 0x0 Bitmap[0] 0x0
        Country: US     Environment: Indoor/Outdoor
                Extension ID: 254 Regulatory Class: 131 Coverage class: 0 (up to 0m)
                Extension ID: 254 Regulatory Class: 132 Coverage class: 0 (up to 0m)
                Extension ID: 254 Regulatory Class: 133 Coverage class: 0 (up to 0m)
                Extension ID: 254 Regulatory Class: 134 Coverage class: 0 (up to 0m)
                Extension ID: 254 Regulatory Class: 135 Coverage class: 0 (up to 0m)
        Power constraint: 0 dB
        TPC report: TX power: 22 dBm
        RSN:     * Version: 1
                 * Group cipher: CCMP
                 * Pairwise ciphers: 00-0f-ac:9 CCMP
                 * Authentication suites: 00-0f-ac:8 00-0f-ac:24
                 * Capabilities: 16-PTKSA-RC 1-GTKSA-RC MFP-required MFP-capable (0x00cc)
        BSS Load:
                 * station count: 0
                 * channel utilisation: 63/255
                 * available admission capacity: 31250 [*32us]
        Extended capabilities: BSS Transition, Interworking, 6, 6, 4, 5
        WMM:     * Parameter version 1
                 * u-APSD
                 * BE: CW 15-1023, AIFSN 3
                 * BK: CW 15-1023, AIFSN 7
                 * VI: CW 7-15, AIFSN 2, TXOP 3008 usec
                 * VO: CW 3-7, AIFSN 2, TXOP 1504 usec</t>
  </si>
  <si>
    <t>ubus-cli WiFi.Radio.{i}.getScanResults()BSSID                     : F2:9F:C2:7A:E8:B0,</t>
  </si>
  <si>
    <t xml:space="preserve">ubus-cli WiFi.Radio.{i}.getScanResults()Channel                   : 11, </t>
  </si>
  <si>
    <t>ubus-cli WiFi.Radio.{i}.getScanResults()EncryptionMode            : AES,</t>
  </si>
  <si>
    <t>ubus-cli WiFi.Radio.{i}.getScanResults()Noise                     : -90,</t>
  </si>
  <si>
    <t>ubus-cli WiFi.Radio.{i}.getScanResults()OperatingStandards        : b,g,n</t>
  </si>
  <si>
    <t>ubus-cli WiFi.Radio.{i}.getScanResults()RSSI                      : -85,</t>
  </si>
  <si>
    <t>ubus-cli WiFi.Radio.{i}.getScanResults()SecurityModeEnabled       : WPA2-Personal,</t>
  </si>
  <si>
    <t>ubus-cli WiFi.Radio.{i}.getScanResults()SignalNoiseRatio          : 5,</t>
  </si>
  <si>
    <t>ubus-cli WiFi.Radio.{i}.getScanResults()SignalStrength            : -85,</t>
  </si>
  <si>
    <t>ubus-cli WiFi.Radio.{i}.getScanResults()SSID                      : ,</t>
  </si>
  <si>
    <t xml:space="preserve">Pass </t>
  </si>
  <si>
    <t>In our lab env.</t>
  </si>
  <si>
    <t>2026-03-04_EIT: verified and found fix in version 4.0.3
Scan the the specified  SSID
ubus-cli "WiFi.Radio.*.startScan()"
ubus-cli "WiFi.Radio.1.startScan(SSID=Test)"
ubus-cli "WiFi.Radio.*.getScanResults()"
BCM: In our lab env
EIT: The API reported SSID does not match to real value and "iw" command on 2.4G radio.</t>
  </si>
  <si>
    <t>ubus-cli WiFi.Radio.{i}.getScanResults()WPSConfigMethodsSupported : None,</t>
  </si>
  <si>
    <t>ubus-cli WiFi.Radio.{i}.getScanResults(min_rssi:int, results:variant &lt;out&gt;):void&gt;</t>
  </si>
  <si>
    <t>ubus-cli WiFi.Radio.{i}.getScanResults()CentreChannel             : 11,</t>
  </si>
  <si>
    <t>clearNonAssociatedDevices()</t>
  </si>
  <si>
    <t>ubus-cli WiFi.Radio.{i}.NaStaMonitor.clearNonAssociatedDevices():void</t>
  </si>
  <si>
    <t>createNonAssociatedDevice()</t>
  </si>
  <si>
    <t>ubus-cli WiFi.Radio.{i}.NaStaMonitor.createNonAssociatedDevice(macaddress:string):void</t>
  </si>
  <si>
    <t>deleteNonAssociatedDevice()</t>
  </si>
  <si>
    <t>ubus-cli WiFi.Radio.{i}.NaStaMonitor.deleteNonAssociatedDevice(macaddress:string):void</t>
  </si>
  <si>
    <t>getNaStationStats()</t>
  </si>
  <si>
    <t>ubus-cli WiFi.Radio.{i}.NaStaMonitor.getNaStationStats():void</t>
  </si>
  <si>
    <t>EIT-RD: The TimeStamp always "0001-01-01T00:00:00Z". It should be updated when the last update occurred
This API should combine "createNonAssociatedDevice()" to test while that API does not supported.</t>
  </si>
  <si>
    <t>scan()</t>
  </si>
  <si>
    <t>ubus-cli WiFi.Radio.{i}.scan(SSID:string, channels:string, min_rssi:int):void</t>
  </si>
  <si>
    <t>1. Try scan() function:
ubus-cli "WiFi.Radio.*.scan()"</t>
  </si>
  <si>
    <t>ubus call WiFi.Radio.2 scan '{"SSID":"BrcmAP0","channels":"100"}'
{
        "retval": [
                {
                        "SignalNoiseRatio": 0,
                        "Channel": 100,
                        "Noise": 0,
                        "EncryptionMode": "Default",
                        "RSSI": -65,
                        "StationCount": 0,
                        "Bandwidth": 160,
                        "SecurityModeEnabled": "WPA2-WPA3-Personal",
                        "SSID": "BrcmAP0",
                        "CentreChannel": 114,
                        "OperatingStandards": "a,n,ac,ax,be",
                        "BSSID": "00:90:4C:52:D3:63",
                        "SignalStrength": -65,
                        "ChannelUtilization": true,
                        "WPSConfigMethodsSupported": ""
                }
        ]
}
{
}
{
        "amxd-error-code": 0
}</t>
  </si>
  <si>
    <t>[0319] Verified in version 4.0.3v1.4
[0126] Typo command, please ubus-cli "WiFi.Radio.1.scan(SSID=TEST_SSID)" instead of  WiFi.Radio.3.scan("AAA_HOTSPOT", "")
If using the function without parameters, it is able to operate. In the other hand, any parameters in ".scan(SSID:string, channels:string, min_rssi:int)" will always return syntex error.</t>
  </si>
  <si>
    <t>startACS()</t>
  </si>
  <si>
    <t>ubus-cli WiFi.Radio.{i}.startACS():bool</t>
  </si>
  <si>
    <t>1. Try call API function:
root@prplOS:/# ubus-cli "WiFi.Radio.1.startACS()"
&gt; WiFi.Radio.1.startACS()
ERROR: call (null) failed with status 1 - unknown error
WiFi.Radio.1.startACS() returned
[
    ""
]
root@prplOS:/# ubus-cli "WiFi.Radio.2.startACS()"
&gt; WiFi.Radio.2.startACS()
ERROR: call (null) failed with status 1 - unknown error
WiFi.Radio.2.startACS() returned
[
    ""
]
root@prplOS:/# ubus-cli "WiFi.Radio.3.startACS()"
&gt; WiFi.Radio.3.startACS()
ERROR: call (null) failed with status 1 - unknown error
WiFi.Radio.3.startACS() returned
[
    ""
]</t>
  </si>
  <si>
    <t>logread | grep ACS
iw dev wl0 info
iw dev wl1 info
iw dev wl2 info</t>
  </si>
  <si>
    <t>supported, need to enable autochannel</t>
  </si>
  <si>
    <t>2026-02-25_EIT: verified and found fix in version 4.0.3
ACS command need to enable autoChannelSelect first.
1. ubus-cli WiFi.Radio.1.AutoChannelEnable=1
2. echo "" &gt; /var/log/messages_wifi
3. ubus-cli "WiFi.Radio.1.startAutoChannelSelection()"
4. ubus-cli "WiFi.Radio.1.startACS()"
5. cat /var/log/messages_wifi
ARC: pWHM check failed before enter bcm mfn_wrad_startacs
BRCM: CSP  CS00012439197
2026-01-05 supported, need to enable autochannel
--
All radio returns with status 1 - unknown error</t>
  </si>
  <si>
    <t>startAutoChannelSelection()</t>
  </si>
  <si>
    <t>ubus-cli WiFi.Radio.{i}.startAutoChannelSelection():void</t>
  </si>
  <si>
    <t xml:space="preserve">1. Try call API function:
root@prplOS:/# ubus-cli "WiFi.Radio.*.startAutoChannelSelection()"
&gt; WiFi.Radio.*.startAutoChannelSelectio()
ERROR: call (null) failed with status 3 - function not found
WiFi.Radio.1.startAutoChannelSelectio() returned
[
    ""
]
ERROR: call (null) failed with status 3 - function not found
WiFi.Radio.2.startAutoChannelSelectio() returned
[
    ""
]
ERROR: call (null) failed with status 3 - function not found
WiFi.Radio.3.startAutoChannelSelectio() returned
[
    ""
]
</t>
  </si>
  <si>
    <t>iw dev wl0 info
iw dev wl1 info
iw dev wl2 info</t>
  </si>
  <si>
    <t>2026-03-03_EIT: verified in version 4.0.3
ACS command need to enable autoChannelSelect first.
1. ubus-cli WiFi.Radio.1.AutoChannelEnable=1
2. echo "" &gt; /var/log/messages_wifi
3. ubus-cli "WiFi.Radio.1.startAutoChannelSelection()"
4. ubus-cli "WiFi.Radio.1.startACS()"
5. cat /var/log/messages_wifi
BRCM: CSP  CS00012439197
2026-01-05 supported, need to enable autochannel
--
All radio returns with "status 3 - function not found."</t>
  </si>
  <si>
    <t>startScan()</t>
  </si>
  <si>
    <t>ubus-cli WiFi.Radio.{i}.startScan(SSID:string, channels:string):void</t>
  </si>
  <si>
    <t>1. Start startScan() function once, record the result:
ubus-cli "WiFi.Radio.1.startScan()"
root@prplOS:/# ubus-cli "WiFi.Radio.1.startScan()"
&gt; WiFi.Radio.1.startScan()
WiFi.Radio.1.startScan() returned
[
    ""
]
root@prplOS:/# ubus-cli "WiFi.Radio.2.startScan()"
&gt; WiFi.Radio.2.startScan()
WiFi.Radio.2.startScan() returned
[
    ""
]
root@prplOS:/# ubus-cli "WiFi.Radio.3.startScan()"
&gt; WiFi.Radio.3.startScan()
WiFi.Radio.3.startScan() returned
[
    ""
]
2. Check with getScanResult():
ubus-cli "WiFi.Radio.*.getScanResults()"
....
3. Try the function with parameters:
 - ubus: - [ubus-cli] (0)
 &gt; WiFi.Radio.3.startScan("AAA_HOTSPOT", "")
ERROR: Syntax error
 - ubus: - [ubus-cli] (4)
 &gt; WiFi.Radio.3.startScan(AAA_HOTSPOT, "")
ERROR: Syntax error
 - ubus: - [ubus-cli] (4)
 &gt; WiFi.Radio.3.startScan(AAA_HOTSPOT, )
ERROR: Syntax error
 - ubus: - [ubus-cli] (4)
 &gt; WiFi.Radio.3.startScan("AAA_HOTSPOT", )
ERROR: Syntax error</t>
  </si>
  <si>
    <t>[0320] Verified in version 4.0.3v1.4
[0126] Typo command, please ubus-cli "WiFi.Radio.1.getScanResults(SSID=TEST_SSID)" instead of  WiFi.Radio.3.startScan("AAA_HOTSPOT", "")
--
If using the function without parameters, it is able to operate. In the other hand, any parameters in ".scan(SSID:string, channels:string, min_rssi:int)" will always return syntex error.</t>
  </si>
  <si>
    <t>stopScan()</t>
  </si>
  <si>
    <t>ubus-cli WiFi.Radio.{i}.stopScan():void</t>
  </si>
  <si>
    <t xml:space="preserve">1. Start startScan() function once, record the result:
ubus-cli "WiFi.Radio.1.startScan()"
root@prplOS:/# ubus-cli "WiFi.Radio.1.startScan()"
&gt; WiFi.Radio.1.startScan()
WiFi.Radio.1.startScan() returned
[
    ""
]
root@prplOS:/#
root@prplOS:/# ubus-cli "WiFi.Radio.2.startScan()"
&gt; WiFi.Radio.2.startScan()
WiFi.Radio.2.startScan() returned
[
    ""
]
root@prplOS:/# ubus-cli "WiFi.Radio.3.startScan()"
&gt; WiFi.Radio.3.startScan()
WiFi.Radio.3.startScan() returned
[
    ""
]
2. Check with getScanResult():
ubus-cli "WiFi.Radio.*.getScanResults()"
....
3. Use startScan() and stopScan() at the same time
ubus-cli
 - ubus: - [ubus-cli] (0)
 &gt; WiFi.Radio.1.startScan()
WiFi.Radio.1.startScan() returned
[
    ""
]
 - ubus: - [ubus-cli] (0)
 &gt; WiFi.Radio.1.stopScan()
WiFi.Radio.1.stopScan() returned
[
    ""
]
 - ubus: - [ubus-cli] (0)
 &gt; WiFi.Radio.2.startScan()
WiFi.Radio.2.startScan() returned
[
    ""
]
 - ubus: - [ubus-cli] (0)
 &gt; WiFi.Radio.2.stopScan()
WiFi.Radio.2.stopScan() returned
[
    ""
]
 - ubus: - [ubus-cli] (0)
 &gt; WiFi.Radio.3.startScan()
WiFi.Radio.3.startScan() returned
[
    ""
]
 - ubus: - [ubus-cli] (0)
 &gt; WiFi.Radio.3.stopScan()
WiFi.Radio.3.stopScan() returned
[
    ""
]
4. Check getScanResult() again, the list should not change.
</t>
  </si>
  <si>
    <t>WiFi.SSID.{i}.</t>
  </si>
  <si>
    <t>getSSIDStats()</t>
  </si>
  <si>
    <t xml:space="preserve"> ubus-cli WiFi.SSID. {i}getSSIDStats() BroadcastPacketsReceived</t>
  </si>
  <si>
    <t>1. Connect WiFi Station to SSID4, SSID6 and SSID8
2. Run Ping between Station and check BroadcastPacketsReceived.
3. Disconnect WiFi Station and clear ARP then run Ping again.
root@prplOS:/# ubus-cli "WiFi.SSID.?" | grep BroadcastPacketsReceived
WiFi.SSID.4.Stats.BroadcastPacketsReceived=0
WiFi.SSID.6.Stats.BroadcastPacketsReceived=0
WiFi.SSID.8.Stats.BroadcastPacketsReceived=0
Note: Station send Broadcast ARP packet first before when running ping.</t>
  </si>
  <si>
    <r>
      <t xml:space="preserve">cat /proc/net/dev | grep wl0
Inter-|   Receive                                                |  Transmit
 face |bytes    packets errs drop fifo frame compressed multicast|bytes    packets errs drop fifo colls carrier compressed
   wl0: 1647695    </t>
    </r>
    <r>
      <rPr>
        <sz val="9"/>
        <color rgb="FF0070C0"/>
        <rFont val="Calibri"/>
      </rPr>
      <t xml:space="preserve">6411    </t>
    </r>
    <r>
      <rPr>
        <sz val="9"/>
        <color rgb="FF000000"/>
        <rFont val="Calibri"/>
      </rPr>
      <t xml:space="preserve">0   14    0     0          0       196 13183521   23890    0   24    0     0       0          0
   wl1:   14846      </t>
    </r>
    <r>
      <rPr>
        <sz val="9"/>
        <color rgb="FF0070C0"/>
        <rFont val="Calibri"/>
      </rPr>
      <t xml:space="preserve">78    </t>
    </r>
    <r>
      <rPr>
        <sz val="9"/>
        <color rgb="FF000000"/>
        <rFont val="Calibri"/>
      </rPr>
      <t xml:space="preserve">0   17    0     0          0        32  5169961   15592    0    8    0     0       0          0
   wl2: 10098313   </t>
    </r>
    <r>
      <rPr>
        <sz val="9"/>
        <color rgb="FF0070C0"/>
        <rFont val="Calibri"/>
      </rPr>
      <t xml:space="preserve">76126    </t>
    </r>
    <r>
      <rPr>
        <sz val="9"/>
        <color rgb="FF000000"/>
        <rFont val="Calibri"/>
      </rPr>
      <t>0   26    0     0          0        58 227046209  173516    0    5    0     0       0          0</t>
    </r>
  </si>
  <si>
    <t xml:space="preserve">
##Execute below command before verifying SSID statistic
ubus-cli "WiFi.SSID.4.getSSIDStats()"?
ubus-cli "WiFi.SSID.6.getSSIDStats()"?
ubus-cli "WiFi.SSID.8.getSSIDStats()"?
root@prplOS:~# ubus-cli "WiFi.SSID.1.getSSIDStats() BroadcastPacketsReceived"? | grep BroadcastPacketsReceived
&gt; WiFi.SSID.1.getSSIDStats() BroadcastPacketsReceived?
root@prplOS:~# ubus-cli "WiFi.SSID.4.getSSIDStats() BroadcastPacketsReceived"? | grep BroadcastPacketsReceived
&gt; WiFi.SSID.4.getSSIDStats() BroadcastPacketsReceived?
        BroadcastPacketsReceived = 55,
root@prplOS:~# ubus-cli "WiFi.SSID.6.getSSIDStats() BroadcastPacketsReceived"? | grep BroadcastPacketsReceived
&gt; WiFi.SSID.6.getSSIDStats() BroadcastPacketsReceived?
        BroadcastPacketsReceived = 168,
root@prplOS:~# ubus-cli "WiFi.SSID.8.getSSIDStats() BroadcastPacketsReceived"? | grep BroadcastPacketsReceived
&gt; WiFi.SSID.8.getSSIDStats() BroadcastPacketsReceived?
        BroadcastPacketsReceived = 77,
root@prplOS:~#  for i in 0 1 2; do echo "wl$i Broadcast RX: $(awk '/ wl'"$i"':/ {print $22}' /proc/net/dev_extstats)"; done
wl0 Broadcast RX: 55
wl1 Broadcast RX: 168
wl2 Broadcast RX:
----------------------------------------------------------------------------
API always return "0"</t>
  </si>
  <si>
    <t>ubus-cli WiFi.SSID.{i}.getSSIDStats() BroadcastPacketsSent        : 0,</t>
  </si>
  <si>
    <t>1. Connect WiFi Station to SSID4, SSID6 and SSID8
2. Run Ping between Station and check BroadcastPacketsSent.
3. Disconnect WiFi Station and clear ARP then run Ping again.
root@prplOS:/# ubus-cli "WiFi.SSID.?" | grep BroadcastPacketsSent
WiFi.SSID.4.Stats.BroadcastPacketsSent=0
WiFi.SSID.6.Stats.BroadcastPacketsSent=0
WiFi.SSID.8.Stats.BroadcastPacketsSent=0
Note: Station send Broadcast ARP packet first before when running ping.</t>
  </si>
  <si>
    <r>
      <rPr>
        <sz val="9"/>
        <color rgb="FF000000"/>
        <rFont val="Calibri"/>
        <scheme val="minor"/>
      </rPr>
      <t xml:space="preserve">cat /proc/net/dev | grep wl0
cInter-|   Receive                                                |  Transmit
 face |bytes    packets errs drop fifo frame compressed multicast|bytes    packets errs drop fifo colls carrier compressed
   wl0: 1647695    6411    0   14    0     0          0       196 13183521   </t>
    </r>
    <r>
      <rPr>
        <sz val="9"/>
        <color rgb="FF0070C0"/>
        <rFont val="Calibri"/>
        <scheme val="minor"/>
      </rPr>
      <t xml:space="preserve">23890    </t>
    </r>
    <r>
      <rPr>
        <sz val="9"/>
        <color rgb="FF000000"/>
        <rFont val="Calibri"/>
        <scheme val="minor"/>
      </rPr>
      <t xml:space="preserve">0   24    0     0       0          0
   wl1:   14846      78    0   17    0     0          0        32  5169961   </t>
    </r>
    <r>
      <rPr>
        <sz val="9"/>
        <color rgb="FF0070C0"/>
        <rFont val="Calibri"/>
        <scheme val="minor"/>
      </rPr>
      <t xml:space="preserve">15592    </t>
    </r>
    <r>
      <rPr>
        <sz val="9"/>
        <color rgb="FF000000"/>
        <rFont val="Calibri"/>
        <scheme val="minor"/>
      </rPr>
      <t xml:space="preserve">0    8    0     0       0          0
   wl2: 10098313   76126    0   26    0     0          0        58 227046209  </t>
    </r>
    <r>
      <rPr>
        <sz val="9"/>
        <color rgb="FF0070C0"/>
        <rFont val="Calibri"/>
        <scheme val="minor"/>
      </rPr>
      <t xml:space="preserve">173516    </t>
    </r>
    <r>
      <rPr>
        <sz val="9"/>
        <color rgb="FF000000"/>
        <rFont val="Calibri"/>
        <scheme val="minor"/>
      </rPr>
      <t>0    5    0     0       0          0</t>
    </r>
  </si>
  <si>
    <t>##Execute below command before verifying SSID statistic
ubus-cli "WiFi.SSID.4.getSSIDStats()"?
ubus-cli "WiFi.SSID.6.getSSIDStats()"?
ubus-cli "WiFi.SSID.8.getSSIDStats()"?
root@prplOS:~# ubus-cli "WiFi.SSID.4.getSSIDStats() BroadcastPacketsSent"? | grep BroadcastPacketsSent
&gt; WiFi.SSID.4.getSSIDStats() BroadcastPacketsSent?
        BroadcastPacketsSent = 188285,
root@prplOS:~# ubus-cli "WiFi.SSID.6.getSSIDStats() BroadcastPacketsSent"? | grep BroadcastPacketsSent
&gt; WiFi.SSID.6.getSSIDStats() BroadcastPacketsSent?
        BroadcastPacketsSent = 206452,
root@prplOS:~# ubus-cli "WiFi.SSID.8.getSSIDStats() BroadcastPacketsSent"? | grep BroadcastPacketsSent
&gt; WiFi.SSID.8.getSSIDStats() BroadcastPacketsSent?
        BroadcastPacketsSent = 206491,
root@prplOS:~#
root@prplOS:~# for i in 0 1 2; do echo "wl$i Broadcast TX: $(awk '/ wl'"$i"':/ {print $23}' /proc/net/dev_extstats)"; done
wl0 Broadcast TX: 184474
wl1 Broadcast TX: 202641
wl2 Broadcast TX: 202678
---------------------------------------------------------------------------
API always return "0"</t>
  </si>
  <si>
    <t>ubus-cli WiFi.SSID.{i}.getSSIDStats() BytesReceived               : 280867270,</t>
  </si>
  <si>
    <t xml:space="preserve">1. Connect WiFi Station to SSID4, SSID6 and SSID8
2. Run Ping between Station and check BytesReceived
root@prplOS:/# ubus-cli "WiFi.SSID.?" | grep \.BytesReceived=
WiFi.SSID.4.Stats.BytesReceived=1647695
WiFi.SSID.6.Stats.BytesReceived=22734
WiFi.SSID.8.Stats.BytesReceived=10343765
</t>
  </si>
  <si>
    <r>
      <t xml:space="preserve">cat /proc/net/dev | grep wl0
root@prplOS:/# cat /proc/net/dev
Inter-|   Receive                                                |  Transmit
 face |bytes    packets errs drop fifo frame compressed multicast|bytes    packets errs drop fifo colls carrier compressed
   wl0: </t>
    </r>
    <r>
      <rPr>
        <sz val="9"/>
        <color rgb="FF0070C0"/>
        <rFont val="Calibri"/>
      </rPr>
      <t xml:space="preserve">1647695    </t>
    </r>
    <r>
      <rPr>
        <sz val="9"/>
        <color rgb="FF000000"/>
        <rFont val="Calibri"/>
      </rPr>
      <t xml:space="preserve">6411    0   14    0     0          0       196 13312106   24409    0   25    0     0       0          0
   wl1:   </t>
    </r>
    <r>
      <rPr>
        <sz val="9"/>
        <color rgb="FF0070C0"/>
        <rFont val="Calibri"/>
      </rPr>
      <t xml:space="preserve">38733     </t>
    </r>
    <r>
      <rPr>
        <sz val="9"/>
        <color rgb="FF000000"/>
        <rFont val="Calibri"/>
      </rPr>
      <t xml:space="preserve">180    0   17    0     0          0        51  5305488   16166    0    8    0     0       0          0
   wl2: </t>
    </r>
    <r>
      <rPr>
        <sz val="9"/>
        <color rgb="FF0070C0"/>
        <rFont val="Calibri"/>
      </rPr>
      <t xml:space="preserve">10346723   </t>
    </r>
    <r>
      <rPr>
        <sz val="9"/>
        <color rgb="FF000000"/>
        <rFont val="Calibri"/>
      </rPr>
      <t>79849    0   26    0     0          0        60 237249927  180830    0    5    0     0       0          0</t>
    </r>
  </si>
  <si>
    <t>ubus-cli WiFi.SSID.{i}.getSSIDStats() BytesSent                   : 3010140358,</t>
  </si>
  <si>
    <t>1. Connect WiFi Station to SSID4, SSID6 and SSID8
2. Run Ping between Station and check BytesSent
root@prplOS:/# ubus-cli "WiFi.SSID.?" | grep \.BytesSent=
WiFi.SSID.4.Stats.BytesSent=13285246
WiFi.SSID.6.Stats.BytesSent=5270422
WiFi.SSID.8.Stats.BytesSent=237223025</t>
  </si>
  <si>
    <r>
      <t xml:space="preserve">cat /proc/net/dev | grep wl0
root@prplOS:/# cat /proc/net/dev
Inter-|   Receive                                                |  Transmit
 face |bytes    packets errs drop fifo frame compressed multicast|bytes    packets errs drop fifo colls carrier compressed
   wl0: 1647695    6411    0   14    0     0          0       196 </t>
    </r>
    <r>
      <rPr>
        <sz val="9"/>
        <color rgb="FF0070C0"/>
        <rFont val="Calibri"/>
      </rPr>
      <t xml:space="preserve">13312106   </t>
    </r>
    <r>
      <rPr>
        <sz val="9"/>
        <color rgb="FF000000"/>
        <rFont val="Calibri"/>
      </rPr>
      <t xml:space="preserve">24409    0   25    0     0       0          0
   wl1:   38733     180    0   17    0     0          0        51  </t>
    </r>
    <r>
      <rPr>
        <sz val="9"/>
        <color rgb="FF0070C0"/>
        <rFont val="Calibri"/>
      </rPr>
      <t xml:space="preserve">5305488   </t>
    </r>
    <r>
      <rPr>
        <sz val="9"/>
        <color rgb="FF000000"/>
        <rFont val="Calibri"/>
      </rPr>
      <t xml:space="preserve">16166    0    8    0     0       0          0
   wl2: 10346723   79849    0   26    0     0          0        60 </t>
    </r>
    <r>
      <rPr>
        <sz val="9"/>
        <color rgb="FF0070C0"/>
        <rFont val="Calibri"/>
      </rPr>
      <t xml:space="preserve">237249927  </t>
    </r>
    <r>
      <rPr>
        <sz val="9"/>
        <color rgb="FF000000"/>
        <rFont val="Calibri"/>
      </rPr>
      <t>180830    0    5    0     0       0          0</t>
    </r>
  </si>
  <si>
    <t>ubus-cli WiFi.SSID.{i}.getSSIDStats() DiscardPacketsReceived      : 15,</t>
  </si>
  <si>
    <t xml:space="preserve">1. Connect WiFi Station to GW
2. Run Iperf overnight between station 
3. Get stats </t>
  </si>
  <si>
    <t>##Execute below command before verifying SSID statistic
ubus-cli "WiFi.SSID.4.getSSIDStats()"?
ubus-cli "WiFi.SSID.6.getSSIDStats()"?
ubus-cli "WiFi.SSID.8.getSSIDStats()"?
root@prplOS:~# ubus-cli "WiFi.SSID.4.getSSIDStats() DiscardPacketsReceived"? | grep DiscardPacketsReceived
&gt; WiFi.SSID.4.getSSIDStats() DiscardPacketsReceived?
        DiscardPacketsReceived = 311817,
root@prplOS:~# ubus-cli "WiFi.SSID.6.getSSIDStats() DiscardPacketsReceived"? | grep DiscardPacketsReceived
&gt; WiFi.SSID.6.getSSIDStats() DiscardPacketsReceived?
        DiscardPacketsReceived = 466,
root@prplOS:~# ubus-cli "WiFi.SSID.8.getSSIDStats() DiscardPacketsReceived"? | grep DiscardPacketsReceived
&gt; WiFi.SSID.8.getSSIDStats() DiscardPacketsReceived?
        DiscardPacketsReceived = 894,
root@prplOS:~# for i in 0 1 2; do echo "wl$i RxDrop: $(awk '/ wl'"$i"':/ {print $4}' /proc/net/dev_extstats)"; done
wl0 RxDrop: 311817
wl1 RxDrop: 466
wl2 RxDrop: 894</t>
  </si>
  <si>
    <t>ubus-cli WiFi.SSID.{i}.getSSIDStats() DiscardPacketsSent          : 485,</t>
  </si>
  <si>
    <t>##Execute below command before verifying SSID statistic
ubus-cli "WiFi.SSID.4.getSSIDStats()"?
ubus-cli "WiFi.SSID.6.getSSIDStats()"?
ubus-cli "WiFi.SSID.8.getSSIDStats()"?
root@prplOS:~# ubus-cli "WiFi.SSID.4.getSSIDStats() DiscardPacketsSent"? | grep DiscardPacketsSent
&gt; WiFi.SSID.4.getSSIDStats() DiscardPacketsSent?
        DiscardPacketsSent = 148706,
root@prplOS:~# ubus-cli "WiFi.SSID.6.getSSIDStats() DiscardPacketsSent"? | grep DiscardPacketsSent
&gt; WiFi.SSID.6.getSSIDStats() DiscardPacketsSent?
        DiscardPacketsSent = 155013,
root@prplOS:~# ubus-cli "WiFi.SSID.8.getSSIDStats() DiscardPacketsSent"? | grep DiscardPacketsSent
&gt; WiFi.SSID.8.getSSIDStats() DiscardPacketsSent?
        DiscardPacketsSent = 155227,
root@prplOS:~# for i in 0 1 2; do echo "wl$i TxDrop: $(awk '/ wl'"$i"':/ {print $12}' /proc/net/dev_extstats)"; done
wl0 TxDrop: 140444
wl1 TxDrop: 146750
wl2 TxDrop: 146964</t>
  </si>
  <si>
    <t>ubus-cli WiFi.SSID.{i}.getSSIDStats() ErrorsReceived              : 0,</t>
  </si>
  <si>
    <t>Error counters not easy to test
root@prplOS:~# ubus-cli "WiFi.SSID.4.getSSIDStats() ErrorsReceived"? | grep ErrorsReceived
&gt; WiFi.SSID.4.getSSIDStats() ErrorsReceived?
        ErrorsReceived = 0,
root@prplOS:~# ubus-cli "WiFi.SSID.6.getSSIDStats() ErrorsReceived"? | grep ErrorsReceived
&gt; WiFi.SSID.6.getSSIDStats() ErrorsReceived?
        ErrorsReceived = 0,
root@prplOS:~# ubus-cli "WiFi.SSID.8.getSSIDStats() ErrorsReceived"? | grep ErrorsReceived
&gt; WiFi.SSID.8.getSSIDStats() ErrorsReceived?
        ErrorsReceived = 0,
root@prplOS:~# for i in 0 1 2; do echo "wl$i RxError: $(awk '/ wl'"$i"':/ {print $11}' /proc/net/dev_extstats)"; done
wl0 RxError: 0
wl1 RxError: 0
wl2 RxError: 0</t>
  </si>
  <si>
    <t>Ask BRCM how to verify Error counters?</t>
  </si>
  <si>
    <t>ubus-cli WiFi.SSID.{i}.getSSIDStats() ErrorsSent                  : 0,</t>
  </si>
  <si>
    <t>Error counters not easy to test
root@prplOS:~# ubus-cli "WiFi.SSID.4.getSSIDStats() ErrorsSent"? | grep ErrorsSent
&gt; WiFi.SSID.4.getSSIDStats() ErrorsSent?
        ErrorsSent = 0,
root@prplOS:~# ubus-cli "WiFi.SSID.6.getSSIDStats() ErrorsSent"? | grep ErrorsSent
&gt; WiFi.SSID.6.getSSIDStats() ErrorsSent?
        ErrorsSent = 0,
root@prplOS:~# ubus-cli "WiFi.SSID.8.getSSIDStats() ErrorsSent"? | grep ErrorsSent
&gt; WiFi.SSID.8.getSSIDStats() ErrorsSent?
        ErrorsSent = 0,
root@prplOS:~# for i in 0 1 2; do echo "wl$i TxError: $(awk '/ wl'"$i"':/ {print $11}' /proc/net/dev_extstats)"; done
wl0 TxError: 0
wl1 TxError: 0
wl2 TxError: 0</t>
  </si>
  <si>
    <t>ubus-cli WiFi.SSID.{i}.getSSIDStats() FailedRetransCount          : 0</t>
  </si>
  <si>
    <t>1. Connect WiFi Station to GW
2. Run Iperf overnight between station 
3. Get stats 
ubus-cli "WiFi.SSID."? | grep FailedRetransCount</t>
  </si>
  <si>
    <t>none of the fields in /proc/net/dev_extstats map to FailedRetransmitCount for reference to verify this test case.
root@prplOS:~# ubus-cli "WiFi.SSID.*.getSSIDStats() FailedRetransCount"? | grep -E "SSID.4|SSID.6|SSID.8|FailedRetransCount"
&gt; WiFi.SSID.*.getSSIDStats() FailedRetransCount?
 WiFi.SSID.4.getSSIDStats() returned
        FailedRetransCount = 0,
WiFi.SSID.6.getSSIDStats() returned
        FailedRetransCount = 0,
WiFi.SSID.8.getSSIDStats() returned
        FailedRetransCount = 0,</t>
  </si>
  <si>
    <t>ubus-cli WiFi.SSID.{i}.getSSIDStats() MulticastPacketsReceived    : 29560,</t>
  </si>
  <si>
    <t>1. Connect WiFi Station to GW SSID4, SSID6 and SSID8
2. Send Multicast packet between station 
3. Get stats MulticastPacketsReceived
root@prplOS:/# ubus-cli "WiFi.SSID.4.getSSIDStats()" | grep \.MulticastPacketsReceived
        MulticastPacketsReceived = 154,
root@prplOS:/# ubus-cli "WiFi.SSID.6.getSSIDStats()" | grep \.MulticastPacketsReceived
        MulticastPacketsReceived = 347,
root@prplOS:/# ubus-cli "WiFi.SSID.8.getSSIDStats()" | grep \.MulticastPacketsReceived
        MulticastPacketsReceived = 149,</t>
  </si>
  <si>
    <r>
      <t xml:space="preserve">cat /proc/net/dev | grep wl0
root@prplOS:/# cat /proc/net/dev | grep -E 'Inter|face|wl0|wl1|wl2'
Inter-|   Receive                                                |  Transmit
 face |bytes    packets errs drop fifo frame compressed multicast|bytes    packets errs drop fifo colls carrier compressed
   wl0: 2158103   10370    0   10    0     0          0       </t>
    </r>
    <r>
      <rPr>
        <sz val="9"/>
        <color rgb="FF0070C0"/>
        <rFont val="Calibri"/>
      </rPr>
      <t xml:space="preserve">154  </t>
    </r>
    <r>
      <rPr>
        <sz val="9"/>
        <color rgb="FF000000"/>
        <rFont val="Calibri"/>
      </rPr>
      <t xml:space="preserve">3600502   15896    0   58    0     0       0          0
   wl1:  552654    5906    0   10    0     0          0       </t>
    </r>
    <r>
      <rPr>
        <sz val="9"/>
        <color rgb="FF0070C0"/>
        <rFont val="Calibri"/>
      </rPr>
      <t xml:space="preserve">350  </t>
    </r>
    <r>
      <rPr>
        <sz val="9"/>
        <color rgb="FF000000"/>
        <rFont val="Calibri"/>
      </rPr>
      <t xml:space="preserve">3676486   15621    0   13    0     0       0          0
   wl2: 11812087  173333    0   18    0     0          0       </t>
    </r>
    <r>
      <rPr>
        <sz val="9"/>
        <color rgb="FF0070C0"/>
        <rFont val="Calibri"/>
      </rPr>
      <t xml:space="preserve">150 </t>
    </r>
    <r>
      <rPr>
        <sz val="9"/>
        <color rgb="FF000000"/>
        <rFont val="Calibri"/>
      </rPr>
      <t>476124582  329604    0    5    0     0       0          0</t>
    </r>
  </si>
  <si>
    <t>ubus-cli WiFi.SSID.{i}.getSSIDStats() MulticastPacketsSent        : 0,</t>
  </si>
  <si>
    <t>1. Connect WiFi Station to GW SSID4, SSID6 and SSID8
2. Send Multicast packet between station 
3. Get stats MulticastPacketsSent
root@prplOS:/# ubus-cli "WiFi.SSID.8.getSSIDStats()" | grep \.MulticastPacketsSent
        MulticastPacketsSent = 0,
root@prplOS:/# ubus-cli "WiFi.SSID.6.getSSIDStats()" | grep \.MulticastPacketsSent
        MulticastPacketsSent = 0,
root@prplOS:/# ubus-cli "WiFi.SSID.4.getSSIDStats()" | grep \.MulticastPacketsSent
        MulticastPacketsSent = 0,</t>
  </si>
  <si>
    <t>cat /proc/net/dev | grep wl0
root@prplOS:/# cat /proc/net/dev | grep -E 'Inter|face|wl0|wl1|wl2'
Inter-|   Receive                                                |  Transmit
 face |bytes    packets errs drop fifo frame compressed multicast|bytes    packets errs drop fifo colls carrier compressed
   wl0: 2158103   10370    0   10    0     0          0       154  3600502   15896    0   58    0     0       0          0
   wl1:  552654    5906    0   10    0     0          0       350  3676486   15621    0   13    0     0       0          0
   wl2: 11812087  173333    0   18    0     0          0       150 476124582  329604    0    5    0     0       0          0</t>
  </si>
  <si>
    <t>##Execute below command before verifying SSID statistic
ubus-cli "WiFi.SSID.4.getSSIDStats()"?
ubus-cli "WiFi.SSID.6.getSSIDStats()"?
ubus-cli "WiFi.SSID.8.getSSIDStats()"?
root@prplOS:~# ubus-cli "WiFi.SSID.4.getSSIDStats() MulticastPacketsSent "? | grep MulticastPacketsSent
&gt; WiFi.SSID.4.getSSIDStats() MulticastPacketsSent ?
        MulticastPacketsSent = 8576920,
root@prplOS:~# ubus-cli "WiFi.SSID.6.getSSIDStats() MulticastPacketsSent "? | grep MulticastPacketsSent
&gt; WiFi.SSID.6.getSSIDStats() MulticastPacketsSent ?
        MulticastPacketsSent = 10016296,
root@prplOS:~# ubus-cli "WiFi.SSID.8.getSSIDStats() MulticastPacketsSent "? | grep MulticastPacketsSent
&gt; WiFi.SSID.8.getSSIDStats() MulticastPacketsSent ?
        MulticastPacketsSent = 9980940,
root@prplOS:~# for i in 0 1 2; do echo "wl$i TxMcastPacket: $(awk '/ wl'"$i"':/ {print $17}' /proc/net/dev_extstats)"; done
wl0 TxMcastPacket: 8355856
wl1 TxMcastPacket: 9795277
wl2 TxMcastPacket: 9759915
-------------------------------------------------------------------------------------------------------
- API always return "0"
 - /proc/net/dev does not have 802.11-specific Multicast counters under Transmit</t>
  </si>
  <si>
    <t>ubus-cli WiFi.SSID.{i}.getSSIDStats() PacketsReceived             : 793238,</t>
  </si>
  <si>
    <t xml:space="preserve">1. Connect WiFi Station to GW SSID4, SSID6 and SSID8
2. Run Ping  from station to GW
3. Get stats PacketsReceived
root@prplOS:/# ubus-cli "WiFi.SSID.6.getSSIDStats()" | grep \.PacketsReceived
        PacketsReceived = 4951,
 root@prplOS:/# ubus-cli "WiFi.SSID.4.getSSIDStats()" | grep \.PacketsReceived
       PacketsReceived = 10370,
 root@prplOS:/# ubus-cli "WiFi.SSID.8.getSSIDStats()" | grep \.PacketsReceived
        PacketsReceived = 145409,
       </t>
  </si>
  <si>
    <t>cat /proc/net/dev | grep wl0
root@prplOS:/# cat /proc/net/dev
Inter-|   Receive                                                |  Transmit
 face |bytes    packets errs drop fifo frame compressed multicast|bytes    packets errs drop fifo colls carrier compressed
   wl0: 2158103   10370    0   10    0     0          0       154  3117434   14448    0   58    0     0       0          0
   wl1:  426926    4578    0   10    0     0          0       283  3076416   12929    0   13    0     0       0          0
   wl2: 9199375  134494    0   18    0     0          0       124 374893464  260154    0    5    0     0       0          0</t>
  </si>
  <si>
    <t>ubus-cli WiFi.SSID.{i}.getSSIDStats() PacketsSent                 : 4057920,</t>
  </si>
  <si>
    <t xml:space="preserve">1. Connect WiFi Station to GW SSID4, SSID6 and SSID8
2. Run Ping station to GW
3. Get stats PacketsSent
root@prplOS:/# ubus-cli "WiFi.SSID.4.getSSIDStats()" | grep \.PacketsSent
        PacketsSent = 14958,
root@prplOS:/# ubus-cli "WiFi.SSID.6.getSSIDStats()" | grep \.PacketsSent
        PacketsSent = 13929,
root@prplOS:/# ubus-cli "WiFi.SSID.8.getSSIDStats()" | grep \.PacketsSent
        PacketsSent = 283837,
</t>
  </si>
  <si>
    <t>cat /proc/net/dev | grep wl0
root@prplOS:/# cat /proc/net/dev | grep -E 'Inter|face|wl0|wl1|wl2'
Inter-|   Receive                                                |  Transmit
 face |bytes    packets errs drop fifo frame compressed multicast|bytes    packets errs drop fifo colls carrier compressed
   wl0: 2158103   10370    0   10    0     0          0       154  3386684   15291    0   58    0     0       0          0
   wl1:  496442    5311    0   10    0     0          0       322  3409704   14454    0   13    0     0       0          0
   wl2: 10551411  154518    0   18    0     0          0       137 423307130  293535    0    5    0     0       0          0</t>
  </si>
  <si>
    <t>ubus-cli WiFi.SSID.{i}.getSSIDStats() RetransCount                : 0,</t>
  </si>
  <si>
    <t>1. Connect WiFi Station to GW SSID4, SSID6 and SSID8
2. Run Iperf overnight between station 
3. Get stats RetransCount                
root@prplOS:/# ubus-cli "WiFi.SSID.8.getSSIDStats()" | grep \.RetransCount
         RetransCount = 0,
root@prplOS:/# ubus-cli "WiFi.SSID.6.getSSIDStats()" | grep \.RetransCount
         RetransCount = 0,
root@prplOS:/# ubus-cli "WiFi.SSID.4.getSSIDStats()" | grep \.RetransCount
          RetransCount = 0,</t>
  </si>
  <si>
    <r>
      <rPr>
        <sz val="9"/>
        <color rgb="FF000000"/>
        <rFont val="Calibri"/>
        <scheme val="minor"/>
      </rPr>
      <t xml:space="preserve">cat /proc/net/dev | grep wl0
</t>
    </r>
    <r>
      <rPr>
        <sz val="9"/>
        <color rgb="FFC00000"/>
        <rFont val="Calibri"/>
        <scheme val="minor"/>
      </rPr>
      <t>/proc/net/dev does not have 802.11-specific retry counters</t>
    </r>
  </si>
  <si>
    <t>only per radio</t>
  </si>
  <si>
    <t>BRCM: Only per Radio 
ARC: - API always return "0"
 - /proc/net/dev does not have 802.11-specific retry counters</t>
  </si>
  <si>
    <t>ubus-cli WiFi.SSID.{i}.getSSIDStats() UnicastPacketsReceived      : 0,</t>
  </si>
  <si>
    <t xml:space="preserve">1. Connect WiFi Station to GW SSID4, SSID6 and SSID8
2. Run Ping between station's
3. Get stats UnicastPacketsReceived
root@prplOS:/# ubus-cli "WiFi.SSID.?" | grep \.UnicastPacketsReceived
WiFi.SSID.4.Stats.UnicastPacketsReceived=0
WiFi.SSID.6.Stats.UnicastPacketsReceived=0
WiFi.SSID.8.Stats.UnicastPacketsReceived=0
</t>
  </si>
  <si>
    <r>
      <t xml:space="preserve">cat /proc/net/dev | grep wl0    
Inter-|   Receive                                                |  Transmit
 face |bytes    packets errs drop fifo frame compressed multicast|bytes    packets errs drop fifo colls carrier compressed
wl0: 1647695    </t>
    </r>
    <r>
      <rPr>
        <sz val="9"/>
        <color rgb="FF0070C0"/>
        <rFont val="Calibri"/>
      </rPr>
      <t xml:space="preserve">6411    </t>
    </r>
    <r>
      <rPr>
        <sz val="9"/>
        <color rgb="FF000000"/>
        <rFont val="Calibri"/>
      </rPr>
      <t xml:space="preserve">0   14    0     0          0       196 14497789   28221    0   25    0     0       0          0
   wl1:  886129    </t>
    </r>
    <r>
      <rPr>
        <sz val="9"/>
        <color rgb="FF0070C0"/>
        <rFont val="Calibri"/>
      </rPr>
      <t xml:space="preserve">3225    </t>
    </r>
    <r>
      <rPr>
        <sz val="9"/>
        <color rgb="FF000000"/>
        <rFont val="Calibri"/>
      </rPr>
      <t xml:space="preserve">0   17    0     0          0       133 14159746   26839    0    8    0     0       0          0
   wl2: 13836559  </t>
    </r>
    <r>
      <rPr>
        <sz val="9"/>
        <color rgb="FF0070C0"/>
        <rFont val="Calibri"/>
      </rPr>
      <t xml:space="preserve">129870    </t>
    </r>
    <r>
      <rPr>
        <sz val="9"/>
        <color rgb="FF000000"/>
        <rFont val="Calibri"/>
      </rPr>
      <t>0   26    0     0          0        82 362037627  268112    0    5    0     0       0          0</t>
    </r>
  </si>
  <si>
    <r>
      <rPr>
        <sz val="9"/>
        <color rgb="FF000000"/>
        <rFont val="Calibri"/>
        <scheme val="minor"/>
      </rPr>
      <t xml:space="preserve">2026-03-17_EIT: verified and fix in version 4.0.3v1.4
root@prplOS:~# ubus-cli "WiFi.SSID.4.getSSIDStats() UnicastPacketsReceived"? | grep
UnicastPacketsReceived
&gt; WiFi.SSID.4.getSSIDStats() UnicastPacketsReceived?
        UnicastPacketsReceived = </t>
    </r>
    <r>
      <rPr>
        <sz val="9"/>
        <color rgb="FF0070C0"/>
        <rFont val="Calibri"/>
        <scheme val="minor"/>
      </rPr>
      <t>56888191</t>
    </r>
    <r>
      <rPr>
        <sz val="9"/>
        <color rgb="FF000000"/>
        <rFont val="Calibri"/>
        <scheme val="minor"/>
      </rPr>
      <t xml:space="preserve">,
root@prplOS:~# ubus-cli "WiFi.SSID.6.getSSIDStats() UnicastPacketsReceived"? | grep
UnicastPacketsReceived
&gt; WiFi.SSID.6.getSSIDStats() UnicastPacketsReceived?
        UnicastPacketsReceived = </t>
    </r>
    <r>
      <rPr>
        <sz val="9"/>
        <color rgb="FF0070C0"/>
        <rFont val="Calibri"/>
        <scheme val="minor"/>
      </rPr>
      <t>43411281</t>
    </r>
    <r>
      <rPr>
        <sz val="9"/>
        <color rgb="FF000000"/>
        <rFont val="Calibri"/>
        <scheme val="minor"/>
      </rPr>
      <t xml:space="preserve">,
root@prplOS:~#  for i in 0 1 2; do echo "wl$i Rxpckts: $(awk '/ wl'"$i"':/ {print $2
}' /proc/net/dev_extstats)"; done
wl0 Rxpckts: </t>
    </r>
    <r>
      <rPr>
        <sz val="9"/>
        <color rgb="FF0070C0"/>
        <rFont val="Calibri"/>
        <scheme val="minor"/>
      </rPr>
      <t xml:space="preserve">57820352
</t>
    </r>
    <r>
      <rPr>
        <sz val="9"/>
        <color rgb="FF000000"/>
        <rFont val="Calibri"/>
        <scheme val="minor"/>
      </rPr>
      <t xml:space="preserve">wl1 Rxpckts: </t>
    </r>
    <r>
      <rPr>
        <sz val="9"/>
        <color rgb="FF0070C0"/>
        <rFont val="Calibri"/>
        <scheme val="minor"/>
      </rPr>
      <t xml:space="preserve">43411800
</t>
    </r>
    <r>
      <rPr>
        <sz val="9"/>
        <color rgb="FF000000"/>
        <rFont val="Calibri"/>
        <scheme val="minor"/>
      </rPr>
      <t xml:space="preserve">wl2 Rxpckts: 38815919
 --------------------------------------------------------------------------------------------
</t>
    </r>
    <r>
      <rPr>
        <sz val="9"/>
        <color rgb="FFFF0000"/>
        <rFont val="Calibri"/>
        <scheme val="minor"/>
      </rPr>
      <t xml:space="preserve">5G and 6G has big difference between API and /proc/net/dev_extstats
</t>
    </r>
    <r>
      <rPr>
        <sz val="9"/>
        <color rgb="FF000000"/>
        <rFont val="Calibri"/>
        <scheme val="minor"/>
      </rPr>
      <t xml:space="preserve">
##Execute below command before verifying SSID statistic
ubus-cli "WiFi.SSID.4.getSSIDStats()"?
ubus-cli "WiFi.SSID.6.getSSIDStats()"?
ubus-cli "WiFi.SSID.8.getSSIDStats()"?
root@prplOS:~# ubus-cli "WiFi.SSID.4.getSSIDStats() UnicastPacketsReceived"? | grep UnicastPacketsReceived
</t>
    </r>
    <r>
      <rPr>
        <sz val="9"/>
        <color rgb="FFFF0000"/>
        <rFont val="Calibri"/>
        <scheme val="minor"/>
      </rPr>
      <t xml:space="preserve">&gt; WiFi.SSID.4.getSSIDStats() UnicastPacketsReceived?
        UnicastPacketsReceived = 4160515982,
</t>
    </r>
    <r>
      <rPr>
        <sz val="9"/>
        <color rgb="FF000000"/>
        <rFont val="Calibri"/>
        <scheme val="minor"/>
      </rPr>
      <t xml:space="preserve">root@prplOS:~# ubus-cli "WiFi.SSID.6.getSSIDStats() UnicastPacketsReceived"? | grep UnicastPacketsReceived
</t>
    </r>
    <r>
      <rPr>
        <sz val="9"/>
        <color rgb="FFFF0000"/>
        <rFont val="Calibri"/>
        <scheme val="minor"/>
      </rPr>
      <t xml:space="preserve">&gt; WiFi.SSID.6.getSSIDStats() UnicastPacketsReceived?
        UnicastPacketsReceived = 1113491021,
</t>
    </r>
    <r>
      <rPr>
        <sz val="9"/>
        <color rgb="FF000000"/>
        <rFont val="Calibri"/>
        <scheme val="minor"/>
      </rPr>
      <t xml:space="preserve">root@prplOS:~# ubus-cli "WiFi.SSID.8.getSSIDStats() UnicastPacketsReceived"? | grep UnicastPacketsReceived
&gt; WiFi.SSID.8.getSSIDStats() UnicastPacketsReceived?
        UnicastPacketsReceived = 2966612492,
root@prplOS:~# for i in 0 1 2; do echo "wl$i Rxpckts: $(awk '/ wl'"$i"':/ {print $2}' /proc/net/dev_extstats)"; done
</t>
    </r>
    <r>
      <rPr>
        <sz val="9"/>
        <color rgb="FFFF0000"/>
        <rFont val="Calibri"/>
        <scheme val="minor"/>
      </rPr>
      <t xml:space="preserve">wl0 Rxpckts: 8455514895
wl1 Rxpckts: 26883385628
</t>
    </r>
    <r>
      <rPr>
        <sz val="9"/>
        <color rgb="FF000000"/>
        <rFont val="Calibri"/>
        <scheme val="minor"/>
      </rPr>
      <t>wl2 Rxpckts: 2966690118
-------------------------------------------------------------------------------------------------
API always return "0"</t>
    </r>
  </si>
  <si>
    <t>ubus-cli WiFi.SSID.{i}.getSSIDStats() UnicastPacketsSent          : 0,</t>
  </si>
  <si>
    <t xml:space="preserve">1. Connect WiFi Station to GW SSID4, SSID6 and SSID8
2. Run Ping between station's
3. Get stats UnicastPacketsSent
root@prplOS:/# ubus-cli "WiFi.SSID.?" | grep \.UnicastPacketsSent
WiFi.SSID.4.Stats.UnicastPacketsSent=0
WiFi.SSID.6.Stats.UnicastPacketsSent=0
WiFi.SSID.8.Stats.UnicastPacketsSent=0
</t>
  </si>
  <si>
    <r>
      <t xml:space="preserve">cat /proc/net/dev | grep wl0
root@prplOS:/# cat /proc/net/dev
Inter-|   Receive                                                |  Transmit
 face |bytes    packets errs drop fifo frame compressed multicast|bytes    packets errs drop fifo colls carrier compressed
   wl0: 1647695    6411    0   14    0     0          0       196 14562591   </t>
    </r>
    <r>
      <rPr>
        <sz val="9"/>
        <color rgb="FF0070C0"/>
        <rFont val="Calibri"/>
      </rPr>
      <t xml:space="preserve">28431    </t>
    </r>
    <r>
      <rPr>
        <sz val="9"/>
        <color rgb="FF000000"/>
        <rFont val="Calibri"/>
      </rPr>
      <t xml:space="preserve">0   25    0     0       0          0
   wl1:  888851    3263    0   17    0     0          0       133 14228411   </t>
    </r>
    <r>
      <rPr>
        <sz val="9"/>
        <color rgb="FF0070C0"/>
        <rFont val="Calibri"/>
      </rPr>
      <t>27091</t>
    </r>
    <r>
      <rPr>
        <sz val="9"/>
        <color rgb="FF000000"/>
        <rFont val="Calibri"/>
      </rPr>
      <t xml:space="preserve">    0    8    0     0       0          0
   wl2: 14071959  133391    0   26    0     0          0        83 371094033  </t>
    </r>
    <r>
      <rPr>
        <sz val="9"/>
        <color rgb="FF0070C0"/>
        <rFont val="Calibri"/>
      </rPr>
      <t xml:space="preserve">274347    </t>
    </r>
    <r>
      <rPr>
        <sz val="9"/>
        <color rgb="FF000000"/>
        <rFont val="Calibri"/>
      </rPr>
      <t xml:space="preserve">0    5    0     0       0          0
</t>
    </r>
  </si>
  <si>
    <r>
      <rPr>
        <sz val="9"/>
        <color rgb="FF000000"/>
        <rFont val="Calibri"/>
        <scheme val="minor"/>
      </rPr>
      <t xml:space="preserve">2026-03-17_EIT: verified and fix in version 4.0.3v1.4
root@prplOS:~# ubus-cli "WiFi.SSID.6.getSSIDStats() UnicastPacketsSent"? | grep Unic
astPacketsSent
&gt; WiFi.SSID.6.getSSIDStats() UnicastPacketsSent?
        UnicastPacketsSent = </t>
    </r>
    <r>
      <rPr>
        <sz val="9"/>
        <color rgb="FF0070C0"/>
        <rFont val="Calibri"/>
        <scheme val="minor"/>
      </rPr>
      <t>143704168</t>
    </r>
    <r>
      <rPr>
        <sz val="9"/>
        <color rgb="FF000000"/>
        <rFont val="Calibri"/>
        <scheme val="minor"/>
      </rPr>
      <t xml:space="preserve">,
root@prplOS:~#  for i in 0 1 2; do echo "wl$i Txpckts: $(awk '/ wl'"$i"':/ {print $1
0}' /proc/net/dev_extstats)"; done
wl0 Txpckts: 86309402
wl1 Txpckts: </t>
    </r>
    <r>
      <rPr>
        <sz val="9"/>
        <color rgb="FF0070C0"/>
        <rFont val="Calibri"/>
        <scheme val="minor"/>
      </rPr>
      <t xml:space="preserve">143740862
</t>
    </r>
    <r>
      <rPr>
        <sz val="9"/>
        <color rgb="FF000000"/>
        <rFont val="Calibri"/>
        <scheme val="minor"/>
      </rPr>
      <t>wl2 Txpckts: 79446694 
-------------------------------------------------------------------------------------------------
6G has big difference between API and /proc/net/dev_extstats
##Execute below command before verifying SSID statistic
ubus-cli "WiFi.SSID.4.getSSIDStats()"?
ubus-cli "WiFi.SSID.6.getSSIDStats()"?
ubus-cli "WiFi.SSID.8.getSSIDStats()"?
root@prplOS:~# ubus-cli "WiFi.SSID.4.getSSIDStats() UnicastPacketsSent"? | grep UnicastPacketsSent
&gt; WiFi.SSID.4.getSSIDStats() UnicastPacketsSent?
        UnicastPacketsSent = 1936011838,
root@prplOS:~# ubus-cli "WiFi.SSID.6.getSSIDStats() UnicastPacketsSent"? | grep UnicastPacketsSent
&gt; WiFi.SSID.6.getSSIDStats() UnicastPacketsSent?
        UnicastPacketsSent = 614388820,
root@prplOS:~# ubus-cli "WiFi.SSID.8.getSSIDStats() UnicastPacketsSent"? | grep UnicastPacketsSent
&gt; WiFi.SSID.8.getSSIDStats() UnicastPacketsSent?
        UnicastPacketsSent = 1616208997,
root@prplOS:~# for i in 0 1 2; do echo "wl$i Txpckts: $(awk '/ wl'"$i"':/ {print $10}' /proc/net/dev_extstats)"; done
wl0 Txpckts: 1944553259
wl1 Txpckts: 4919355177
wl2 Txpckts: 1626172684</t>
    </r>
  </si>
  <si>
    <t>ubus-cli WiFi.SSID.{i}.getSSIDStats() UnknownProtoPacketsReceived : 0,</t>
  </si>
  <si>
    <t>BRCM: Only per Radio 
ARC: In our test environment, no Wi-Fi station capable of generating manipulated 802.11 frame, and Scapy could not be used to generate such frames due to WiFi station limitations.</t>
  </si>
  <si>
    <t>BSSID</t>
  </si>
  <si>
    <t>ubus-cli WiFi.SSID.{i}.BSSID=98:42:65:2d:0f:e4</t>
  </si>
  <si>
    <t xml:space="preserve">1. get SSID BSSID
root@prplOS:/# ubus-cli WiFi.SSID.? | grep .\BSSID
WiFi.SSID.4.BSSID="6c:15:db:74:c0:b5"
WiFi.SSID.6.BSSID="6c:15:db:74:c0:b6"
WiFi.SSID.8.BSSID="6c:15:db:74:c0:c7"
2. Capture Beacon packet and verify the BSSID
</t>
  </si>
  <si>
    <t>root@prplOS:/# iw dev wl0 info | grep addr
        addr 6c:15:db:74:c0:b5
root@prplOS:/# iw dev wl1 info | grep addr
        addr 6c:15:db:74:c0:b6
root@prplOS:/# iw dev wl2 info | grep addr
        addr 6c:15:db:74:c0:c7</t>
  </si>
  <si>
    <t>ubus-cli WiFi.SSID.{i}.Enable=1</t>
  </si>
  <si>
    <t>wl -i wl0 bss</t>
  </si>
  <si>
    <t>ubus-cli WiFi.SSID.{i}.MACAddress=98:42:65:2D:0F:E4</t>
  </si>
  <si>
    <t>1. get SSID BSSID
 root@prplOS:/# ubus-cli WiFi.SSID.? | grep .MACAddress=
WiFi.SSID.4.MACAddress="6C:15:DB:74:C0:B5"
WiFi.SSID.6.MACAddress="6C:15:DB:74:C0:B6"
WiFi.SSID.8.MACAddress="6C:15:DB:74:C0:C7"
2. Check interface "ifconfig" and verify the MAC Address</t>
  </si>
  <si>
    <t>root@prplOS:/# ifconfig | grep HWaddr
wl0        HWaddr 6C:15:DB:74:C0:B5
wl1        HWaddr 6C:15:DB:74:C0:B6
wl2        HWaddr 6C:15:DB:74:C0:C7</t>
  </si>
  <si>
    <t>ubus-cli WiFi.SSID.{i}.SSID=InternetBox_DK</t>
  </si>
  <si>
    <t>1. get SSID BSSID
root@prplOS:/# ubus-cli WiFi.SSID.? | grep \.SSID=
WiFi.SSID.4.SSID="!!5OpenWrt_1"
WiFi.SSID.6.SSID="6G_Primary-BE"
WiFi.SSID.8.SSID="!!24OpenWrt_1"
2. Use WiFi analyzer to verify the SSID broadcast from GW</t>
  </si>
  <si>
    <t xml:space="preserve">root@prplOS:/# iw dev wl0 info | grep ssid
        ssid !!5OpenWrt_1
root@prplOS:/# iw dev wl1 info | grep ssid
        ssid 6OpenWrt_1
root@prplOS:/# iw dev wl2 info | grep ssid
        ssid !!24OpenWrt_1
</t>
  </si>
  <si>
    <t>WiFi.SSID.{i}.Stats.</t>
  </si>
  <si>
    <t>ubus-cli WiFi.SSID.{i}.Stats.BroadcastPacketsReceived=0</t>
  </si>
  <si>
    <t xml:space="preserve">
1. Connect WiFi Station to SSID4, SSID6 and SSID8
2. Run Ping between Station and check BroadcastPacketsSent.
3. Disconnect WiFi Station and clear ARP then run Ping again.
root@prplOS:/# ubus-cli WiFi.SSID.? | grep .Stats.BroadcastPacketsReceived
WiFi.SSID.4.Stats.BroadcastPacketsReceived=0
WiFi.SSID.6.Stats.BroadcastPacketsReceived=0
WiFi.SSID.8.Stats.BroadcastPacketsReceived=0</t>
  </si>
  <si>
    <t xml:space="preserve"> root@prplOS:~# ubus-cli WiFi.SSID.4.Stats.BroadcastPacketsReceived? | grep BroadcastPacketsReceived
&gt; WiFi.SSID.4.Stats.BroadcastPacketsReceived?
WiFi.SSID.4.Stats.BroadcastPacketsReceived=55
root@prplOS:~# ubus-cli WiFi.SSID.6.Stats.BroadcastPacketsReceived? | grep BroadcastPacketsReceived
&gt; WiFi.SSID.6.Stats.BroadcastPacketsReceived?
WiFi.SSID.6.Stats.BroadcastPacketsReceived=168
root@prplOS:~# ubus-cli WiFi.SSID.8.Stats.BroadcastPacketsReceived? | grep BroadcastPacketsReceived
&gt; WiFi.SSID.8.Stats.BroadcastPacketsReceived?
WiFi.SSID.8.Stats.BroadcastPacketsReceived=77
root@prplOS:~# for i in 0 1 2; do echo "wl$i RxBroadcast: $(awk '/ wl'"$i"':/ {print $22}' /proc/net/dev_extstats)"; done
wl0 RxBroadcast: 55
wl1 RxBroadcast: 168
wl2 RxBroadcast: 77
------------------------------------------------------------------------------------------------
API always return "0"</t>
  </si>
  <si>
    <t>ubus-cli WiFi.SSID.{i}.Stats.BroadcastPacketsSent=0</t>
  </si>
  <si>
    <t xml:space="preserve">1. Connect WiFi Station to SSID4, SSID6 and SSID8
2. Run Ping between Station and check BroadcastPacketsSent.
3. Disconnect WiFi Station and clear ARP then run Ping again.
root@prplOS:/# ubus-cli WiFi.SSID.? | grep .Stats.BroadcastPacketsSent
WiFi.SSID.4.Stats.BroadcastPacketsSent=0
WiFi.SSID.6.Stats.BroadcastPacketsSent=0
WiFi.SSID.8.Stats.BroadcastPacketsSent=0
</t>
  </si>
  <si>
    <t>root@prplOS:~# ubus-cli WiFi.SSID.4.Stats.BroadcastPacketsSent? | grep BroadcastPacketsSent
&gt; WiFi.SSID.4.Stats.BroadcastPacketsSent?
WiFi.SSID.4.Stats.BroadcastPacketsSent=188875
root@prplOS:~# ubus-cli WiFi.SSID.6.Stats.BroadcastPacketsSent? | grep BroadcastPacketsSent
&gt; WiFi.SSID.6.Stats.BroadcastPacketsSent?
WiFi.SSID.6.Stats.BroadcastPacketsSent=207042
root@prplOS:~# ubus-cli WiFi.SSID.8.Stats.BroadcastPacketsSent? | grep BroadcastPacketsSent
&gt; WiFi.SSID.8.Stats.BroadcastPacketsSent?
WiFi.SSID.8.Stats.BroadcastPacketsSent=207083
root@prplOS:~# for i in 0 1 2; do echo "wl$i TxBroadcast: $(awk '/ wl'"$i"':/ {print $23}' /proc/net/dev_extstats)"; done
wl0 TxBroadcast: 184770
wl1 TxBroadcast: 202937
wl2 TxBroadcast: 202974
-----------------------------------------------------------------------
API always return "0"</t>
  </si>
  <si>
    <t>BytesReceived</t>
  </si>
  <si>
    <t>ubus-cli WiFi.SSID.{i}.Stats.BytesReceived=0</t>
  </si>
  <si>
    <t>1. Connect WiFi Station to GW SSID4, SSID6 and SSID8
2. Run Ping between station's
3. Get stats BytesReceived
root@prplOS:/# ubus-cli WiFi.SSID.*.Stats.BytesReceived?
&gt; WiFi.SSID.*.Stats.BytesReceived?
WiFi.SSID.4.Stats.BytesReceived=6395774
WiFi.SSID.6.Stats.BytesReceived=1606747084
WiFi.SSID.8.Stats.BytesReceived=903667</t>
  </si>
  <si>
    <t xml:space="preserve">cat /proc/net/dev | grep wl0
root@prplOS:/# cat /proc/net/dev
Inter-|   Receive                                                |  Transmit
 face |bytes    packets errs drop fifo frame compressed multicast|bytes    packets errs drop fifo colls carrier compressed
   wl0: 6395774   33265    0   27    0     0          0      1207 153744631  225100    0  102    0     0       0          0
   wl1: 1606749304 1091082    0   10    0     0          0     13511 156618564  251946    0   83    0     0       0          0
   wl2:  903667    2955    0   41    0     0          0        56 52065676  146033    0  180    0     0       0          0
</t>
  </si>
  <si>
    <t>BytesSent</t>
  </si>
  <si>
    <t>ubus-cli WiFi.SSID.{i}.Stats.BytesSent=0</t>
  </si>
  <si>
    <t xml:space="preserve">1. Connect WiFi Station to GW SSID4, SSID6 and SSID8
2. Run Ping between station's
3. Get stats BytesSent
root@prplOS:/# ubus-cli WiFi.SSID.*.Stats.BytesSent?
&gt; WiFi.SSID.*.Stats.BytesSent?
WiFi.SSID.4.Stats.BytesSent=153672313
WiFi.SSID.6.Stats.BytesSent=156545772
WiFi.SSID.8.Stats.BytesSent=51993358
</t>
  </si>
  <si>
    <t>ubus-cli WiFi.SSID.{i}.Stats.DiscardPacketsReceived=0</t>
  </si>
  <si>
    <t>root@prplOS:~# ubus-cli WiFi.SSID.4.Stats.DiscardPacketsReceived? | grep DiscardPacketsReceived
&gt; WiFi.SSID.4.Stats.DiscardPacketsReceived?
WiFi.SSID.4.Stats.DiscardPacketsReceived=311817
root@prplOS:~# ubus-cli WiFi.SSID.6.Stats.DiscardPacketsReceived? | grep DiscardPacketsReceived
&gt; WiFi.SSID.6.Stats.DiscardPacketsReceived?
WiFi.SSID.6.Stats.DiscardPacketsReceived=466
root@prplOS:~# ubus-cli WiFi.SSID.8.Stats.DiscardPacketsReceived? | grep DiscardPacketsReceived
&gt; WiFi.SSID.8.Stats.DiscardPacketsReceived?
WiFi.SSID.8.Stats.DiscardPacketsReceived=894
root@prplOS:~# for i in 0 1 2; do echo "wl$i RxDrop: $(awk '/ wl'"$i"':/ {print $4}' /proc/net/dev_extstats)"; done
wl0 RxDrop: 311817
wl1 RxDrop: 466
wl2 RxDrop: 894</t>
  </si>
  <si>
    <t>ubus-cli WiFi.SSID.{i}.Stats.DiscardPacketsSent=0</t>
  </si>
  <si>
    <t>root@prplOS:~# ubus-cli WiFi.SSID.4.Stats.DiscardPacketsSent? | grep DiscardPacketsSent
&gt; WiFi.SSID.4.Stats.DiscardPacketsSent?
WiFi.SSID.4.Stats.DiscardPacketsSent=149822
root@prplOS:~# ubus-cli WiFi.SSID.6.Stats.DiscardPacketsSent? | grep DiscardPacketsSent
&gt; WiFi.SSID.6.Stats.DiscardPacketsSent?
WiFi.SSID.6.Stats.DiscardPacketsSent=156127
root@prplOS:~# ubus-cli WiFi.SSID.8.Stats.DiscardPacketsSent? | grep DiscardPacketsSent
&gt; WiFi.SSID.8.Stats.DiscardPacketsSent?
WiFi.SSID.8.Stats.DiscardPacketsSent=156343
root@prplOS:~# for i in 0 1 2; do echo "wl$i TxDrop: $(awk '/ wl'"$i"':/ {print $12}' /proc/net/dev_extstats)"; done
wl0 TxDrop: 141002
wl1 TxDrop: 147308
wl2 TxDrop: 147522</t>
  </si>
  <si>
    <t>ErrorsReceived</t>
  </si>
  <si>
    <t>ubus-cli WiFi.SSID.{i}.Stats.ErrorsReceived=0</t>
  </si>
  <si>
    <t>Not Easy to reporduce Error counters
root@prplOS:~# ubus-cli WiFi.SSID.4.Stats.ErrorsReceived? | grep ErrorsReceived
&gt; WiFi.SSID.4.Stats.ErrorsReceived?
WiFi.SSID.4.Stats.ErrorsReceived=0
root@prplOS:~# ubus-cli WiFi.SSID.6.Stats.ErrorsReceived? | grep ErrorsReceived
&gt; WiFi.SSID.6.Stats.ErrorsReceived?
WiFi.SSID.6.Stats.ErrorsReceived=0
root@prplOS:~# ubus-cli WiFi.SSID.8.Stats.ErrorsReceived? | grep ErrorsReceived
&gt; WiFi.SSID.8.Stats.ErrorsReceived?
WiFi.SSID.8.Stats.ErrorsReceived=0
root@prplOS:~#
root@prplOS:~# for i in 0 1 2; do echo "wl$i RxError: $(awk '/ wl'"$i"':/ {print $3}' /proc/net/dev_extstats)"; done
wl0 RxError: 0
wl1 RxError: 0
wl2 RxError: 0</t>
  </si>
  <si>
    <t>ErrorsSent</t>
  </si>
  <si>
    <t>ubus-cli WiFi.SSID.{i}.Stats.ErrorsSent=0</t>
  </si>
  <si>
    <t>Not Easy to reporduce Error counters
root@prplOS:~# ubus-cli WiFi.SSID.4.Stats.ErrorsSent? | grep ErrorsSent
&gt; WiFi.SSID.4.Stats.ErrorsSent?
WiFi.SSID.4.Stats.ErrorsSent=0
root@prplOS:~# ubus-cli WiFi.SSID.6.Stats.ErrorsSent? | grep ErrorsSent
&gt; WiFi.SSID.6.Stats.ErrorsSent?
WiFi.SSID.6.Stats.ErrorsSent=0
root@prplOS:~# ubus-cli WiFi.SSID.8.Stats.ErrorsSent? | grep ErrorsSent
&gt; WiFi.SSID.8.Stats.ErrorsSent?
WiFi.SSID.8.Stats.ErrorsSent=0
root@prplOS:~# for i in 0 1 2; do echo "wl$i TxError: $(awk '/ wl'"$i"':/ {print $11}' /proc/net/dev_extstats)"; done
wl0 TxError: 0
wl1 TxError: 0
wl2 TxError: 0</t>
  </si>
  <si>
    <t>FailedRetransCount</t>
  </si>
  <si>
    <t>ubus-cli WiFi.SSID.{i}.Stats.FailedRetransCount=0</t>
  </si>
  <si>
    <r>
      <rPr>
        <sz val="9"/>
        <color rgb="FFFF0000"/>
        <rFont val="Calibri"/>
        <scheme val="minor"/>
      </rPr>
      <t xml:space="preserve">[0325] BRCM will check why WiFi.SSID.X.Stats.FailedRetransCount is always 0?
</t>
    </r>
    <r>
      <rPr>
        <sz val="9"/>
        <color rgb="FF000000"/>
        <rFont val="Calibri"/>
        <scheme val="minor"/>
      </rPr>
      <t xml:space="preserve">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then Retries fail because frame is not successfully transmitted.
5. Execute below command 
ubus-cli "WiFi.SSID.4.getSSIDStats()"?
ubus-cli "WiFi.SSID.6.getSSIDStats()"?
ubus-cli "WiFi.SSID.8.getSSIDStats()"?
6. Verify FailedRetransCount
root@prplOS:~# ubus-cli WiFi.SSID.4.Stats.FailedRetransCount?
&gt; WiFi.SSID.4.Stats.FailedRetransCount?
WiFi.SSID.4.Stats.FailedRetransCount=0
root@prplOS:~# ubus-cli WiFi.SSID.6.Stats.FailedRetransCount?
&gt; WiFi.SSID.6.Stats.FailedRetransCount?
WiFi.SSID.6.Stats.FailedRetransCount=0
root@prplOS:~# ubus-cli WiFi.SSID.8.Stats.FailedRetransCount?
&gt; WiFi.SSID.8.Stats.FailedRetransCount?
WiFi.SSID.8.Stats.FailedRetransCount=0
Note: Radio counter increase
root@prplOS:~# ubus-cli WiFi.? | grep FailedRetransCount
WiFi.Radio.1.Stats.FailedRetransCount=313
WiFi.Radio.2.Stats.FailedRetransCount=0
WiFi.Radio.3.Stats.FailedRetransCount=2938
WiFi.SSID.4.Stats.FailedRetransCount=0
WiFi.SSID.6.Stats.FailedRetransCount=0
WiFi.SSID.8.Stats.FailedRetransCount
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then Retries fail because frame is not successfully transmitted.
5. Execute below command 
ubus-cli "WiFi.SSID.4.getSSIDStats()"?
ubus-cli "WiFi.SSID.6.getSSIDStats()"?
ubus-cli "WiFi.SSID.8.getSSIDStats()"?
6. Verify FailedRetransCount
root@prplOS:~# ubus-cli WiFi.SSID.4.Stats.FailedRetransCount?
&gt; WiFi.SSID.4.Stats.FailedRetransCount?
WiFi.SSID.4.Stats.FailedRetransCount=0
root@prplOS:~# ubus-cli WiFi.SSID.6.Stats.FailedRetransCount?
&gt; WiFi.SSID.6.Stats.FailedRetransCount?
WiFi.SSID.6.Stats.FailedRetransCount=0
root@prplOS:~# ubus-cli WiFi.SSID.8.Stats.FailedRetransCount?
&gt; WiFi.SSID.8.Stats.FailedRetransCount?
WiFi.SSID.8.Stats.FailedRetransCount=0
Note: Radio counter increase
root@prplOS:~# ubus-cli WiFi.? | grep FailedRetransCount
</t>
    </r>
    <r>
      <rPr>
        <sz val="9"/>
        <color rgb="FF0070C0"/>
        <rFont val="Calibri"/>
        <scheme val="minor"/>
      </rPr>
      <t xml:space="preserve">WiFi.Radio.1.Stats.FailedRetransCount=313
</t>
    </r>
    <r>
      <rPr>
        <sz val="9"/>
        <color rgb="FF000000"/>
        <rFont val="Calibri"/>
        <scheme val="minor"/>
      </rPr>
      <t xml:space="preserve">WiFi.Radio.2.Stats.FailedRetransCount=0
</t>
    </r>
    <r>
      <rPr>
        <sz val="9"/>
        <color rgb="FF0070C0"/>
        <rFont val="Calibri"/>
        <scheme val="minor"/>
      </rPr>
      <t xml:space="preserve">WiFi.Radio.3.Stats.FailedRetransCount=2938
</t>
    </r>
    <r>
      <rPr>
        <sz val="9"/>
        <color rgb="FFFF0000"/>
        <rFont val="Calibri"/>
        <scheme val="minor"/>
      </rPr>
      <t>WiFi.SSID.4.Stats.FailedRetransCount=0
WiFi.SSID.6.Stats.FailedRetransCount=0
WiFi.SSID.8.Stats.FailedRetransCount=0</t>
    </r>
  </si>
  <si>
    <t>ubus-cli WiFi.SSID.{i}.Stats.MulticastPacketsReceived=0</t>
  </si>
  <si>
    <t>1. Connect WiFi station to GW
2. Create Multicast group and send Multicast Data between station's and GW
Station server = iperf -s -u -B 239.1.2.3%br0 -i 1
Station Joiner = iperf -c 239.1.2.3 -u -t 10 -b 20M -i 1 -t 100
3. Check MulticastPacketsReceived
root@prplOS:/# ubus-cli WiFi.SSID.*.Stats.MulticastPacketsReceived?
&gt; WiFi.SSID.*.Stats.MulticastPacketsReceived?
WiFi.SSID.4.Stats.MulticastPacketsReceived=1207
WiFi.SSID.6.Stats.MulticastPacketsReceived=13518
WiFi.SSID.8.Stats.MulticastPacketsReceived=56</t>
  </si>
  <si>
    <r>
      <rPr>
        <sz val="9"/>
        <color rgb="FF000000"/>
        <rFont val="Calibri"/>
        <scheme val="minor"/>
      </rPr>
      <t xml:space="preserve">cat /proc/net/dev | grep wl0
root@prplOS:/# cat /proc/net/dev
Inter-|   Receive                                                |  Transmit
 face |bytes    packets errs drop fifo frame compressed multicast|bytes    packets errs drop fifo colls carrier compressed
   wl0: 6395774   33265    0   27    0     0          0      </t>
    </r>
    <r>
      <rPr>
        <sz val="9"/>
        <color rgb="FF0070C0"/>
        <rFont val="Calibri"/>
        <scheme val="minor"/>
      </rPr>
      <t xml:space="preserve">1207 </t>
    </r>
    <r>
      <rPr>
        <sz val="9"/>
        <color rgb="FF000000"/>
        <rFont val="Calibri"/>
        <scheme val="minor"/>
      </rPr>
      <t xml:space="preserve">153744631  225100    0  102    0     0       0          0
   wl1: 1606749304 1091082    0   10    0     0          0     </t>
    </r>
    <r>
      <rPr>
        <sz val="9"/>
        <color rgb="FF0070C0"/>
        <rFont val="Calibri"/>
        <scheme val="minor"/>
      </rPr>
      <t xml:space="preserve">13511 </t>
    </r>
    <r>
      <rPr>
        <sz val="9"/>
        <color rgb="FF000000"/>
        <rFont val="Calibri"/>
        <scheme val="minor"/>
      </rPr>
      <t xml:space="preserve">156618564  251946    0   83    0     0       0          0
   wl2:  903667    2955    0   41    0     0          0        </t>
    </r>
    <r>
      <rPr>
        <sz val="9"/>
        <color rgb="FF0070C0"/>
        <rFont val="Calibri"/>
        <scheme val="minor"/>
      </rPr>
      <t xml:space="preserve">56 </t>
    </r>
    <r>
      <rPr>
        <sz val="9"/>
        <color rgb="FF000000"/>
        <rFont val="Calibri"/>
        <scheme val="minor"/>
      </rPr>
      <t xml:space="preserve">52065676  146033    0  180    0     0       0          0
</t>
    </r>
  </si>
  <si>
    <t>root@prplOS:~# ubus-cli WiFi.SSID.4.Stats.MulticastPacketsReceived? | grep MulticastPacketsReceived
&gt; WiFi.SSID.4.Stats.MulticastPacketsReceived?
WiFi.SSID.4.Stats.MulticastPacketsReceived=31562
root@prplOS:~# ubus-cli WiFi.SSID.6.Stats.MulticastPacketsReceived? | grep MulticastPacketsReceived
&gt; WiFi.SSID.6.Stats.MulticastPacketsReceived?
WiFi.SSID.6.Stats.MulticastPacketsReceived=90903
root@prplOS:~# ubus-cli WiFi.SSID.8.Stats.MulticastPacketsReceived? | grep MulticastPacketsReceived
&gt; WiFi.SSID.8.Stats.MulticastPacketsReceived?
WiFi.SSID.8.Stats.MulticastPacketsReceived=77549
root@prplOS:~# for i in 0 1 2; do echo "wl$i RxMcast: $(awk '/ wl'"$i"':/ {print $8}' /proc/net/dev_extstats)"; done
wl0 RxMcast: 31562
wl1 RxMcast: 90914
wl2 RxMcast: 77549</t>
  </si>
  <si>
    <t>ubus-cli WiFi.SSID.{i}.Stats.MulticastPacketsSent=0</t>
  </si>
  <si>
    <t>1. Connect WiFi station to GW
2. Execute following command in GW
 iptables -I INPUT -p tcp --dport 5201 -j ACCEPT
 iptables -I INPUT -p udp --dport 5201 -j ACCEPT
3. Create Multicast group and send Multicast Data between station's
  - Station server = iperf -s -u -B 239.1.2.3%br0 -i 1
  - Station Joiner = iperf -c 239.1.2.3 -u -t 10 -b 20M -i 1 -t 100
4. Execute following command to refresh counter and check multicast statistic
  - ubus-cli "WiFi.Radio.*.getRadioStats()"?
  - root@prplOS:/# ubus-cli "WiFi.Radio.*.getRadioStats()"? | grep Multicast
        MulticastPacketsReceived = 26060,
        MulticastPacketsSent = 0,
        MulticastPacketsReceived = 51483,
        MulticastPacketsSent = 0,
        MulticastPacketsReceived = 9437,
        MulticastPacketsSent = 0,
5. Check MulticastPacketsSent in ubus
root@prplOS:/# ubus-cli WiFi.SSID.*.Stats.MulticastPacketsSent?
&gt; WiFi.SSID.*.Stats.MulticastPacketsSent?
WiFi.SSID.4.Stats.MulticastPacketsSent=0
WiFi.SSID.6.Stats.MulticastPacketsSent=0
WiFi.SSID.8.Stats.MulticastPacketsSent=0
Note: Wireshark can capture Multicast packet from GW.</t>
  </si>
  <si>
    <t>check cat proc/net/dev_extstats. But netlink can't get full ext stats</t>
  </si>
  <si>
    <t>root@prplOS:~# ubus-cli WiFi.SSID.4.Stats.MulticastPacketsSent? | grep MulticastPacketsSent
&gt; WiFi.SSID.4.Stats.MulticastPacketsSent?
WiFi.SSID.4.Stats.MulticastPacketsSent=8612400
root@prplOS:~# ubus-cli WiFi.SSID.6.Stats.MulticastPacketsSent? | grep MulticastPacketsSent
&gt; WiFi.SSID.6.Stats.MulticastPacketsSent?
WiFi.SSID.6.Stats.MulticastPacketsSent=10052651
root@prplOS:~# ubus-cli WiFi.SSID.8.Stats.MulticastPacketsSent? | grep MulticastPacketsSent
&gt; WiFi.SSID.8.Stats.MulticastPacketsSent?
WiFi.SSID.8.Stats.MulticastPacketsSent=10016398
root@prplOS:~# for i in 0 1 2; do echo "wl$i TxMcast: $(awk '/ wl'"$i"':/ {print $17}' /proc/net/dev_extstats)"; done
wl0 TxMcast: 8373585
wl1 TxMcast: 9813891
wl2 TxMcast: 9777644
-----------------------------------------------------------------------------------------------------------
BCM:  check cat proc/net/dev_extstats. But netlink can't get full ext stats
BRCM: CSP  CS00012439197
2025-12-16 need to check cat proc/net/dev_extstats. But netlink can't get full ext stats
2026-01-06 CS00012439197_20260106.tgz fixed
--
 - cat /proc/net/dev don't have multicast under Transmit stats
 - API return 0</t>
  </si>
  <si>
    <t>ubus-cli WiFi.SSID.{i}.Stats.PacketsReceived=0</t>
  </si>
  <si>
    <t>1. Connect WiFi Station to GW SSID4, SSID6 and SSID8
2. Run Ping between station's
3. Get stats PacketsReceived
root@prplOS:/# ubus-cli WiFi.SSID.*.Stats.PacketsReceived?
&gt; WiFi.SSID.*.Stats.PacketsReceived?
WiFi.SSID.4.Stats.PacketsReceived=33265
WiFi.SSID.6.Stats.PacketsReceived=1091165
WiFi.SSID.8.Stats.PacketsReceived=2955</t>
  </si>
  <si>
    <t>root@prplOS:~# ubus-cli WiFi.SSID.4.Stats.PacketsReceived? | grep PacketsReceived
&gt; WiFi.SSID.4.Stats.PacketsReceived?
WiFi.SSID.4.Stats.PacketsReceived=8455514895
root@prplOS:~# ubus-cli WiFi.SSID.6.Stats.PacketsReceived? | grep PacketsReceived
&gt; WiFi.SSID.6.Stats.PacketsReceived?
WiFi.SSID.6.Stats.PacketsReceived=26883386432
root@prplOS:~# ubus-cli WiFi.SSID.8.Stats.PacketsReceived? | grep PacketsReceived
&gt; WiFi.SSID.8.Stats.PacketsReceived?
WiFi.SSID.8.Stats.PacketsReceived=2966690118
root@prplOS:~# for i in 0 1 2; do echo "wl$i RxPktsRcv: $(awk '/ wl'"$i"':/ {print $2}' /proc/net/dev_extstats)"; done
wl0 RxPktsRcv: 8455514895
wl1 RxPktsRcv: 26883386432
wl2 RxPktsRcv: 2966690118</t>
  </si>
  <si>
    <t>ubus-cli WiFi.SSID.{i}.Stats.PacketsSent=0</t>
  </si>
  <si>
    <t>1. Connect WiFi Station to GW SSID4, SSID6 and SSID8
2. Run Ping between station's
3. Get stats PacketsSent
root@prplOS:/# ubus-cli WiFi.SSID.*.Stats.PacketsSent?
&gt; WiFi.SSID.*.Stats.PacketsSent?
WiFi.SSID.4.Stats.PacketsSent=225745
WiFi.SSID.6.Stats.PacketsSent=252681
WiFi.SSID.8.Stats.PacketsSent=146678</t>
  </si>
  <si>
    <t>RetransCount</t>
  </si>
  <si>
    <t>ubus-cli WiFi.SSID.{i}.Stats.RetransCount=0</t>
  </si>
  <si>
    <t>1. Connect one WiFi station to SSID4, SSID6 and SSID8 of the GW (DUT)
2. Run Iperf from Station to GW and between Station
3. Setup neighbour GW near the GW (DUT)
4. Place Neighbor GW nearby
5. Set same channel + bandwidth
6. Connect STA(s) to Neighbor GW
7. Run Iperf simultaneously 
8. Check Stats.RetransCount in DUT
root@prplOS:/# ubus-cli WiFi.SSID.*.Stats.RetransCount?
&gt; WiFi.SSID.*.Stats.RetransCount?
WiFi.SSID.4.Stats.RetransCount=0
WiFi.SSID.6.Stats.RetransCount=0
WiFi.SSID.8.Stats.RetransCount=0
Note: run the test overnight</t>
  </si>
  <si>
    <r>
      <rPr>
        <sz val="9"/>
        <color rgb="FFFF0000"/>
        <rFont val="Calibri"/>
        <scheme val="minor"/>
      </rPr>
      <t xml:space="preserve">[0325] BRCM will check why SSID.FailedRetryCount is always 0?
</t>
    </r>
    <r>
      <rPr>
        <sz val="9"/>
        <color rgb="FF000000"/>
        <rFont val="Calibri"/>
        <scheme val="minor"/>
      </rPr>
      <t xml:space="preserve">API counter always 0
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then Retries fail because frame is not successfully transmitted.
5. Execute below command 
ubus-cli "WiFi.SSID.4.getSSIDStats()"?
ubus-cli "WiFi.SSID.6.getSSIDStats()"?
ubus-cli "WiFi.SSID.8.getSSIDStats()"?
6. Verify Stats.RetransCount
root@prplOS:~# ubus-cli WiFi.SSID.4.Stats.RetransCount?
&gt; WiFi.SSID.4.Stats.RetransCount?
WiFi.SSID.4.Stats.RetransCount=0
root@prplOS:~# ubus-cli WiFi.SSID.6.Stats.RetransCount?
&gt; WiFi.SSID.6.Stats.RetransCount?
WiFi.SSID.6.Stats.RetransCount=0
root@prplOS:~# ubus-cli WiFi.SSID.8.Stats.RetransCount?
&gt; WiFi.SSID.8.Stats.RetransCount?
WiFi.SSID.8.Stats.RetransCount=0
Also try using Noise generator
Note: Radio counters increase
root@prplOS:~# ubus-cli WiFi.? | grep RetransCount
</t>
    </r>
    <r>
      <rPr>
        <sz val="9"/>
        <color rgb="FF0070C0"/>
        <rFont val="Calibri"/>
        <scheme val="minor"/>
      </rPr>
      <t xml:space="preserve">WiFi.Radio.1.Stats.RetransCount=154734
WiFi.Radio.2.Stats.RetransCount=170320
WiFi.Radio.3.Stats.RetransCount=108927
</t>
    </r>
    <r>
      <rPr>
        <sz val="9"/>
        <color rgb="FFFF0000"/>
        <rFont val="Calibri"/>
        <scheme val="minor"/>
      </rPr>
      <t xml:space="preserve">WiFi.SSID.4.Stats.RetransCount=0
WiFi.SSID.6.Stats.RetransCount=0
WiFi.SSID.8.Stats.RetransCount=0
</t>
    </r>
    <r>
      <rPr>
        <sz val="9"/>
        <color rgb="FF000000"/>
        <rFont val="Calibri"/>
        <scheme val="minor"/>
      </rPr>
      <t xml:space="preserve">
</t>
    </r>
  </si>
  <si>
    <t>ubus-cli WiFi.SSID.{i}.Stats.UnicastPacketsReceived=0</t>
  </si>
  <si>
    <t xml:space="preserve">1. Connect WiFi Station to GW SSID4, SSID6 and SSID8
2. Run Ping between station's
3. Get stats UnicastPacketsReceived
root@prplOS:/# ubus-cli WiFi.SSID.*.Stats.UnicastPacketsReceived?
&gt; WiFi.SSID.*.Stats.UnicastPacketsReceived?
WiFi.SSID.4.Stats.UnicastPacketsReceived=0
WiFi.SSID.6.Stats.UnicastPacketsReceived=0
WiFi.SSID.8.Stats.UnicastPacketsReceived=0
</t>
  </si>
  <si>
    <t>cat /proc/net/dev | grep wl0
root@prplOS:/# cat /proc/net/dev
Inter-|   Receive                                                |  Transmit
 face |bytes    packets errs drop fifo frame compressed multicast|bytes    packets errs drop fifo colls carrier compressed
   wl0: 6395774   33265    0   27    0     0          0      1207 154082581  225886    0  102    0     0       0          0
   wl1: 1606778340 1091400    0   10    0     0          0     13561 156978782  252974    0   83    0     0       0          0
   wl2:  903667    2955    0   41    0     0          0        56 52403626  146819    0  180    0     0       0          0</t>
  </si>
  <si>
    <r>
      <rPr>
        <sz val="9"/>
        <color rgb="FF000000"/>
        <rFont val="Calibri"/>
        <scheme val="minor"/>
      </rPr>
      <t>2026-03-17_EIT: verified and found Fix in version 4.0.3v1.4
root@prplOS:~# ubus-cli WiFi.SSID.4.Stats.UnicastPacketsReceived? | grep UnicastPacketsReceived
 &gt; WiFi.SSID.4.Stats.UnicastPacketsReceived?
WiFi.SSID.4.Stats.UnicastPacketsReceived=</t>
    </r>
    <r>
      <rPr>
        <sz val="9"/>
        <color rgb="FF0070C0"/>
        <rFont val="Calibri"/>
        <scheme val="minor"/>
      </rPr>
      <t xml:space="preserve">47477606
</t>
    </r>
    <r>
      <rPr>
        <sz val="9"/>
        <color rgb="FF000000"/>
        <rFont val="Calibri"/>
        <scheme val="minor"/>
      </rPr>
      <t>root@prplOS:~# ubus-cli WiFi.SSID.6.Stats.UnicastPacketsReceived? | grep UnicastPacketsReceived
&gt; WiFi.SSID.6.Stats.UnicastPacketsReceived?
WiFi.SSID.6.Stats.UnicastPacketsReceived</t>
    </r>
    <r>
      <rPr>
        <sz val="9"/>
        <color rgb="FF0070C0"/>
        <rFont val="Calibri"/>
        <scheme val="minor"/>
      </rPr>
      <t xml:space="preserve">=43326347
</t>
    </r>
    <r>
      <rPr>
        <sz val="9"/>
        <color rgb="FF000000"/>
        <rFont val="Calibri"/>
        <scheme val="minor"/>
      </rPr>
      <t>root@prplOS:~#  for i in 0 1 2; do echo "wl$i ExtUcastRx: $(awk '/ wl'"$i"':/ {print
 $20}' /proc/net/dev_extstats)"; done
wl0 ExtUcastRx:</t>
    </r>
    <r>
      <rPr>
        <sz val="9"/>
        <color rgb="FF0070C0"/>
        <rFont val="Calibri"/>
        <scheme val="minor"/>
      </rPr>
      <t xml:space="preserve"> 48801982
</t>
    </r>
    <r>
      <rPr>
        <sz val="9"/>
        <color rgb="FF000000"/>
        <rFont val="Calibri"/>
        <scheme val="minor"/>
      </rPr>
      <t xml:space="preserve">wl1 ExtUcastRx: </t>
    </r>
    <r>
      <rPr>
        <sz val="9"/>
        <color rgb="FF0070C0"/>
        <rFont val="Calibri"/>
        <scheme val="minor"/>
      </rPr>
      <t xml:space="preserve">43326349
</t>
    </r>
    <r>
      <rPr>
        <sz val="9"/>
        <color rgb="FF000000"/>
        <rFont val="Calibri"/>
        <scheme val="minor"/>
      </rPr>
      <t xml:space="preserve">wl2 ExtUcastRx: 36568932
</t>
    </r>
    <r>
      <rPr>
        <sz val="9"/>
        <color rgb="FFFF0000"/>
        <rFont val="Calibri"/>
        <scheme val="minor"/>
      </rPr>
      <t xml:space="preserve"> -----------------------------------------------------------------------------------------------------------------------
5G and 6G have big diffrence 
</t>
    </r>
    <r>
      <rPr>
        <sz val="9"/>
        <color rgb="FF000000"/>
        <rFont val="Calibri"/>
        <scheme val="minor"/>
      </rPr>
      <t xml:space="preserve">
root@prplOS:~# ubus-cli WiFi.SSID.4.Stats.UnicastPacketsReceived? | grep UnicastPacketsReceived
&gt; WiFi.SSID.4.Stats.UnicastPacketsReceived?
WiFi.SSID.4.Stats.UnicastPacketsReceived=4160515982
root@prplOS:~# ubus-cli WiFi.SSID.6.Stats.UnicastPacketsReceived? | grep UnicastPacketsReceived
&gt; WiFi.SSID.6.Stats.UnicastPacketsReceived?
WiFi.SSID.6.Stats.UnicastPacketsReceived=1113491391
root@prplOS:~# ubus-cli WiFi.SSID.8.Stats.UnicastPacketsReceived? | grep UnicastPacketsReceived
&gt; WiFi.SSID.8.Stats.UnicastPacketsReceived?
WiFi.SSID.8.Stats.UnicastPacketsReceived=2966612492
root@prplOS:~# for i in 0 1 2; do echo "wl$i ExtUcastRx: $(awk '/ wl'"$i"':/ {print $20}' /proc/net/dev_extstats)"; done
wl0 ExtUcastRx: 8455483278
wl1 ExtUcastRx: 26883295167
wl2 ExtUcastRx: 2966612492 
----------------------------------------------------------------------------------------
- API return 0</t>
    </r>
  </si>
  <si>
    <t>ubus-cli WiFi.SSID.{i}.Stats.UnicastPacketsSent=0</t>
  </si>
  <si>
    <t xml:space="preserve">1. Connect WiFi Station to GW SSID4, SSID6 and SSID8
2. Run Ping between station's
3. Get stats Unicast packet sent
root@prplOS:/# ubus-cli WiFi.SSID.*.Stats.UnicastPacketsSent?
&gt; WiFi.SSID.*.Stats.UnicastPacketsSent?
WiFi.SSID.1.Stats.UnicastPacketsSent=0
WiFi.SSID.3.Stats.UnicastPacketsSent=0
WiFi.SSID.5.Stats.UnicastPacketsSent=0
</t>
  </si>
  <si>
    <r>
      <rPr>
        <sz val="9"/>
        <color rgb="FF000000"/>
        <rFont val="Calibri"/>
        <scheme val="minor"/>
      </rPr>
      <t xml:space="preserve">cat /proc/net/dev | grep wl0
root@prplOS:/# cat /proc/net/dev
Inter-|   Receive                                                |  Transmit
 face |bytes    packets errs drop fifo frame compressed multicast|bytes    packets errs drop fifo colls carrier compressed
   wl0: 99866942  866493    0   20    0     0          0      2868 3712561892 </t>
    </r>
    <r>
      <rPr>
        <sz val="9"/>
        <color rgb="FF0070C0"/>
        <rFont val="Calibri"/>
        <scheme val="minor"/>
      </rPr>
      <t xml:space="preserve">2791288    </t>
    </r>
    <r>
      <rPr>
        <sz val="9"/>
        <color rgb="FF000000"/>
        <rFont val="Calibri"/>
        <scheme val="minor"/>
      </rPr>
      <t xml:space="preserve">0   27    0     0       0          0
   wl1:       0       0    0   10    0     0          0         0  6767195   </t>
    </r>
    <r>
      <rPr>
        <sz val="9"/>
        <color rgb="FF0070C0"/>
        <rFont val="Calibri"/>
        <scheme val="minor"/>
      </rPr>
      <t xml:space="preserve">23823    </t>
    </r>
    <r>
      <rPr>
        <sz val="9"/>
        <color rgb="FF000000"/>
        <rFont val="Calibri"/>
        <scheme val="minor"/>
      </rPr>
      <t xml:space="preserve">0   10    0     0       0          0
   wl2:       0       0    0   23    0     0          0         0  6765565   </t>
    </r>
    <r>
      <rPr>
        <sz val="9"/>
        <color rgb="FF0070C0"/>
        <rFont val="Calibri"/>
        <scheme val="minor"/>
      </rPr>
      <t xml:space="preserve">23804    </t>
    </r>
    <r>
      <rPr>
        <sz val="9"/>
        <color rgb="FF000000"/>
        <rFont val="Calibri"/>
        <scheme val="minor"/>
      </rPr>
      <t xml:space="preserve">0   14    0     0       0          0
</t>
    </r>
  </si>
  <si>
    <r>
      <rPr>
        <sz val="9"/>
        <color rgb="FF0070C0"/>
        <rFont val="Calibri"/>
        <scheme val="minor"/>
      </rPr>
      <t xml:space="preserve">
</t>
    </r>
    <r>
      <rPr>
        <sz val="9"/>
        <color rgb="FF000000"/>
        <rFont val="Calibri"/>
        <scheme val="minor"/>
      </rPr>
      <t xml:space="preserve">2026-03-17_EIT: verified and found Fix in version 4.0.3v1.4
root@prplOS:~# for i in 0 1 2; do echo "wl$i ExtUcastTx: $(awk '/ wl'"$i"':/ {print
$21}' /proc/net/dev_extstats)"; done
wl0 ExtUcastTx: 81248959
wl1 ExtUcastTx: </t>
    </r>
    <r>
      <rPr>
        <sz val="9"/>
        <color rgb="FF0070C0"/>
        <rFont val="Calibri"/>
        <scheme val="minor"/>
      </rPr>
      <t xml:space="preserve">143692801
</t>
    </r>
    <r>
      <rPr>
        <sz val="9"/>
        <color rgb="FF000000"/>
        <rFont val="Calibri"/>
        <scheme val="minor"/>
      </rPr>
      <t>wl2 ExtUcastTx: 77483153
root@prplOS:~# ubus-cli WiFi.SSID.6.Stats.UnicastPacketsSent? | grep nicastPacketsSe
nt
&gt; WiFi.SSID.6.Stats.UnicastPacketsSent?
WiFi.SSID.6.Stats.UnicastPacketsSent=</t>
    </r>
    <r>
      <rPr>
        <sz val="9"/>
        <color rgb="FF0070C0"/>
        <rFont val="Calibri"/>
        <scheme val="minor"/>
      </rPr>
      <t xml:space="preserve">143693187
</t>
    </r>
    <r>
      <rPr>
        <sz val="9"/>
        <color rgb="FFFF0000"/>
        <rFont val="Calibri"/>
        <scheme val="minor"/>
      </rPr>
      <t xml:space="preserve">
 ------------------------------------------------------------------------------------------------------------
6G have big difference
root@prplOS:~# ubus-cli WiFi.SSID.4.Stats.UnicastPacketsSent? | grep nicastPacketsSent
&gt; WiFi.SSID.4.Stats.UnicastPacketsSent?
WiFi.SSID.4.Stats.UnicastPacketsSent=1936011233
root@prplOS:~# ubus-cli WiFi.SSID.6.Stats.UnicastPacketsSent? | grep nicastPacketsSent
&gt; WiFi.SSID.6.Stats.UnicastPacketsSent?
WiFi.SSID.6.Stats.UnicastPacketsSent=614388371
root@prplOS:~# ubus-cli WiFi.SSID.8.Stats.UnicastPacketsSent? | grep nicastPacketsSent
&gt; WiFi.SSID.8.Stats.UnicastPacketsSent?
WiFi.SSID.8.Stats.UnicastPacketsSent=1616208395
root@prplOS:~# for i in 0 1 2; do echo "wl$i ExtUcastTx: $(awk '/ wl'"$i"':/ {print $21}' /proc/net/dev_extstats)"; done
wl0 ExtUcastTx: 1936011230
wl1 ExtUcastTx: 4909355664
wl2 ExtUcastTx: 1616208392
--------------------------------------------------------------------------------------
 - API return 0</t>
    </r>
  </si>
  <si>
    <t>UnknownProtoPacketsReceived</t>
  </si>
  <si>
    <t>ubus-cli WiFi.SSID.{i}.Stats.UnknownProtoPacketsReceived=0</t>
  </si>
  <si>
    <t>Not Easy to reporduce UnknownProtoPackets
root@prplOS:~# ubus-cli WiFi.SSID.4.Stats.UnknownProtoPacketsReceived? | grep UnknownProtoPacketsReceived
&gt; WiFi.SSID.4.Stats.UnknownProtoPacketsReceived?
WiFi.SSID.4.Stats.UnknownProtoPacketsReceived=0
root@prplOS:~# ubus-cli WiFi.SSID.6.Stats.UnknownProtoPacketsReceived? | grep UnknownProtoPacketsReceived
&gt; WiFi.SSID.6.Stats.UnknownProtoPacketsReceived?
WiFi.SSID.6.Stats.UnknownProtoPacketsReceived=0
root@prplOS:~# ubus-cli WiFi.SSID.8.Stats.UnknownProtoPacketsReceived? | grep UnknownProtoPacketsReceived
&gt; WiFi.SSID.8.Stats.UnknownProtoPacketsReceived?
WiFi.SSID.8.Stats.UnknownProtoPacketsReceived=0
root@prplOS:~# for i in 0 1 2; do echo "wl$i ExtUnkwnProto: $(awk '/ wl'"$i"':/ {print $24}' /proc/net/dev_extstats)"; done
wl0 ExtUnkwnProto: 0
wl1 ExtUnkwnProto: 0
wl2 ExtUnkwnProto: 0</t>
  </si>
  <si>
    <t>ubus-cli WiFi.SSID.{i}.Status=Up</t>
  </si>
  <si>
    <t>WiFi.wps_DefParam.</t>
  </si>
  <si>
    <t>DefaultPin</t>
  </si>
  <si>
    <t>ubus-cli WiFi.wps_DefParam.DefaultPin=81898336</t>
  </si>
  <si>
    <t>DevName</t>
  </si>
  <si>
    <t>ubus-cli WiFi.wps_DefParam.DevName=prplOSHGW</t>
  </si>
  <si>
    <t>FriendlyName</t>
  </si>
  <si>
    <t>ubus-cli WiFi.wps_DefParam.FriendlyName=</t>
  </si>
  <si>
    <t>Manufacturer</t>
  </si>
  <si>
    <t>ubus-cli WiFi.wps_DefParam.Manufacturer=OEM</t>
  </si>
  <si>
    <t>ManufacturerUrl</t>
  </si>
  <si>
    <t>ubus-cli WiFi.wps_DefParam.ManufacturerUrl=http://www.oem.com/</t>
  </si>
  <si>
    <t>ModelDescription</t>
  </si>
  <si>
    <t>ubus-cli WiFi.wps_DefParam.ModelDescription=prplOS_HGW_OEM</t>
  </si>
  <si>
    <t>ModelName</t>
  </si>
  <si>
    <t>ubus-cli WiFi.wps_DefParam.ModelName=prplOS_HGW_OEM</t>
  </si>
  <si>
    <t>ModelNumber</t>
  </si>
  <si>
    <t>ubus-cli WiFi.wps_DefParam.ModelNumber=prpl_OS_HGW_OEM_44</t>
  </si>
  <si>
    <t>ModelUrl</t>
  </si>
  <si>
    <t>ubus-cli WiFi.wps_DefParam.ModelUrl=</t>
  </si>
  <si>
    <t>OsVersion</t>
  </si>
  <si>
    <t>ubus-cli WiFi.wps_DefParam.OsVersion=prplMesh_1.3.4</t>
  </si>
  <si>
    <t>OUI</t>
  </si>
  <si>
    <t>ubus-cli WiFi.wps_DefParam.OUI=112233</t>
  </si>
  <si>
    <t>SerialNumber</t>
  </si>
  <si>
    <t>ubus-cli WiFi.wps_DefParam.SerialNumber=SN123456</t>
  </si>
  <si>
    <t>ubus-cli WiFi.wps_DefParam.UUID=39383432-3635-f244-f046-453039383432</t>
  </si>
  <si>
    <t>startBgDfsClear()</t>
  </si>
  <si>
    <t>ubus-cli "WiFi.Radio.{i}.ChannelMgt.BgDfs.startBgDfsClear(channel:int, bandwidth:int):void"</t>
  </si>
  <si>
    <r>
      <rPr>
        <sz val="9"/>
        <color rgb="FFFF0000"/>
        <rFont val="Calibri"/>
        <scheme val="minor"/>
      </rPr>
      <t xml:space="preserve">[0325] ARC will update the CSP for BRCM to review
[0323] Tim: Update the path of data model
function will return status 7 - invalid function argument because WiFi.Radio.1.ChannelMgt.BgDfs.Available always 0 that need broadcom's support
</t>
    </r>
    <r>
      <rPr>
        <sz val="9"/>
        <color rgb="FF000000"/>
        <rFont val="Calibri"/>
        <scheme val="minor"/>
      </rPr>
      <t xml:space="preserve">
root@prplOS:~# ubus-cli "WiFi.wps_DefParam.startBgDfsClear(channel=100,bandwidth=
80)"
&gt; WiFi.wps_DefParam.startBgDfsClear(channel=100,bandwidth=80)
</t>
    </r>
    <r>
      <rPr>
        <sz val="9"/>
        <color rgb="FFFF0000"/>
        <rFont val="Calibri"/>
        <scheme val="minor"/>
      </rPr>
      <t xml:space="preserve">ERROR: call (null) failed with status 3 - function not found
</t>
    </r>
    <r>
      <rPr>
        <sz val="9"/>
        <color rgb="FF000000"/>
        <rFont val="Calibri"/>
        <scheme val="minor"/>
      </rPr>
      <t>WiFi.wps_DefParam.startBgDfsClear() returned
[
    "",
    {
        args = {
            bandwidth = 80,
            channel = 100
        }
    }
]</t>
    </r>
  </si>
  <si>
    <t>stopBgDfsClear()</t>
  </si>
  <si>
    <t>ubus-cli "WiFi.Radio.{i}.ChannelMgt.BgDfs.stopBgDfsClear()"</t>
  </si>
  <si>
    <r>
      <rPr>
        <sz val="9"/>
        <color rgb="FFFF0000"/>
        <rFont val="Calibri"/>
        <scheme val="minor"/>
      </rPr>
      <t xml:space="preserve">[0325] ARC will update the CSP for BRCM to review
</t>
    </r>
    <r>
      <rPr>
        <sz val="9"/>
        <color rgb="FF000000"/>
        <rFont val="Calibri"/>
        <scheme val="minor"/>
      </rPr>
      <t>[0323] Tim: Update the path of data model
function will return status 7 - invalid function argument because WiFi.Radio.1.ChannelMgt.BgDfs.Available always 0 that need broadcom's support
root@prplOS:~# ubus-cli "WiFi.wps_DefParam.startBgDfsClear(channel=100,bandwidth=
80)"
&gt; WiFi.wps_DefParam.startBgDfsClear(channel=100,bandwidth=80)
ERROR: call (null) failed with status 3 - function not found
WiFi.wps_DefParam.startBgDfsClear() returned
[
    "",
    {
        args = {
            bandwidth = 80,
            channel = 100
        }
    }
]
[0323] Tim: Update the path of data model
function will return status 7 - invalid function argument because WiFi.Radio.1.ChannelMgt.BgDfs.Available always 0 that need broadcom's support
root@prplOS:~# ubus-cli "WiFi.wps_DefParam.stopBgDfsClear()"
&gt; WiFi.wps_DefParam.stopBgDfsClear()
ERROR: call (null) failed with status 3 - function not found
WiFi.wps_DefParam.stopBgDfsClear() returned
[
    ""
]</t>
    </r>
  </si>
  <si>
    <t>WiFi.Radio.{i}.Sensing.</t>
  </si>
  <si>
    <t>Sensing</t>
  </si>
  <si>
    <t>ubus-cli WiFi.Radio.{i}.Sensing.Enable</t>
  </si>
  <si>
    <t>1. Check API default value:
root@prplOS:/# ubus-cli WiFi.Radio.*.Sensing.Enable?
&gt; WiFi.Radio.*.Sensing.Enable?
WiFi.Radio.1.Sensing.Enable=1
WiFi.Radio.2.Sensing.Enable=1
WiFi.Radio.3.Sensing.Enable=1
2. Modify the value to 0:
ubus-cli WiFi.Radio.*.Sensing.Enable=0
3. Check the API value again, make sure it is correctly set:
root@prplOS:/# ubus-cli WiFi.Radio.*.Sensing.Enable?
&gt; WiFi.Radio.*.Sensing.Enable?
WiFi.Radio.1.Sensing.Enable=0
WiFi.Radio.2.Sensing.Enable=0
WiFi.Radio.3.Sensing.Enable=0</t>
  </si>
  <si>
    <t>addClient()</t>
  </si>
  <si>
    <t>ubus-cli WiFi.Radio.{i}.Sensing.addClient(MACAddress )</t>
  </si>
  <si>
    <t xml:space="preserve">1. Try add a sensing client by API:
(5G)
ubus-cli "WiFi.Radio.1.Sensing.addClient(MACAddress='A0:29:42:60:23:BD', MonitorInterval=100)"
ubus-cli "WiFi.Radio.1.Sensing.addClient(MACAddress='14:85:7F:20:18:44', MonitorInterval=10)"
(6G)
ubus-cli "WiFi.Radio.2.Sensing.addClient(MACAddress='00:90:4C:55:20:A8', MonitorInterval=1000)"
ubus-cli "WiFi.Radio.2.Sensing.addClient(MACAddress='64:75:DA:4E:51:76', MonitorInterval=100)"
ubus-cli "WiFi.Radio.2.Sensing.addClient(MACAddress='18:60:41:00:2B:AE', MonitorInterval=10)"
(2.4G)
ubus-cli "WiFi.Radio.3.Sensing.addClient(MACAddress='8A:10:18:1E:D9:14', MonitorInterval=1000)"
ubus-cli "WiFi.Radio.3.Sensing.addClient(MACAddress='70:97:41:29:FD:9E', MonitorInterval=100)"
ubus-cli "WiFi.Radio.3.Sensing.addClient(MACAddress='6E:15:DB:33:D7:D8', MonitorInterval=10)"
</t>
  </si>
  <si>
    <t>delClient()</t>
  </si>
  <si>
    <t>ubus-cli WiFi.Radio.{i}.Sensing.delClient(MACAddress )</t>
  </si>
  <si>
    <t>1. Try delete an added client:
root@prplOS:/# ubus-cli "WiFi.Radio.*.Sensing.delClient(MACAddress='a0:29:42:60:23:be')"
&gt; WiFi.Radio.*.Sensing.delClient(MACAddress='a0:29:42:60:23:be')
WiFi.Radio.1.Sensing.delClient() returned
[
    ""
]
WiFi.Radio.3.Sensing.delClient() returned
[
    ""
]
WiFi.Radio.2.Sensing.delClient() returned
[
    ""
]
2. Try delete non-existing client:
root@prplOS:/# ubus-cli "WiFi.Radio.*.Sensing.delClient(MACAddress='00:00:00:00:
00:00')"
&gt; WiFi.Radio.*.Sensing.delClient(MACAddress='00:00:00:00:00:00')
WiFi.Radio.1.Sensing.delClient() returned
[
    ""
]
WiFi.Radio.3.Sensing.delClient() returned
[
    ""
]
WiFi.Radio.2.Sensing.delClient() returned
[
    ""
]</t>
  </si>
  <si>
    <t>Delete a non-added client is also optional so this API should be verified with csiStats().
The step will be:
1. Add one client for each radio.
2. Verify the client will make csiStats()'s counters increasing.
3. Delete each client.
4. The csiStats()'s counters should stop increasing.</t>
  </si>
  <si>
    <t>csiStats()</t>
  </si>
  <si>
    <t>ubus-cli WiFi.Radio.{i}.Sensing.csiStats()</t>
  </si>
  <si>
    <t xml:space="preserve">1. Record the API counters in the beginning:
root@prplOS:/# ubus-cli "WiFi.Radio.*.Sensing.csiStats()"
&gt; WiFi.Radio.*.Sensing.csiStats()
WiFi.Radio.1.Sensing.csiStats() returned
[
    {
        M2MTransmitCounter = 0,
        NullFrameAckFailCounter = 0,
        NullFrameCounter = 0,
        ReceivedOverflowCounter = 0,
        TransmitFailCounter = 0,
        UserTransmitCounter = 0,
        UserTransmitFailCounter = 0,
        VendorCounters = {
        }
    }
]
WiFi.Radio.3.Sensing.csiStats() returned
[
    {
        M2MTransmitCounter = 0,
        NullFrameAckFailCounter = 0,
        NullFrameCounter = 0,
        ReceivedOverflowCounter = 0,
        TransmitFailCounter = 0,
        UserTransmitCounter = 0,
        UserTransmitFailCounter = 0,
        VendorCounters = {
        }
    }
]
WiFi.Radio.2.Sensing.csiStats() returned
[
    {
        M2MTransmitCounter = 0,
        NullFrameAckFailCounter = 0,
        NullFrameCounter = 0,
        ReceivedOverflowCounter = 0,
        TransmitFailCounter = 0,
        UserTransmitCounter = 0,
        UserTransmitFailCounter = 0,
        VendorCounters = {
        }
    }
]
2. Add a few scanable STAs for each radio with .Sensing.addClient():
(5G)
ubus-cli "WiFi.Radio.1.Sensing.addClient(MACAddress='A0:29:42:60:23:BD', MonitorInterval=100)"
ubus-cli "WiFi.Radio.1.Sensing.addClient(MACAddress='14:85:7F:20:18:44', MonitorInterval=10)"
(6G)
ubus-cli "WiFi.Radio.2.Sensing.addClient(MACAddress='00:90:4C:55:20:A8', MonitorInterval=1000)"
ubus-cli "WiFi.Radio.2.Sensing.addClient(MACAddress='64:75:DA:4E:51:76', MonitorInterval=100)"
ubus-cli "WiFi.Radio.2.Sensing.addClient(MACAddress='18:60:41:00:2B:AE', MonitorInterval=10)"
(2.4G)
ubus-cli "WiFi.Radio.3.Sensing.addClient(MACAddress='8A:10:18:1E:D9:14', MonitorInterval=1000)"
ubus-cli "WiFi.Radio.3.Sensing.addClient(MACAddress='70:97:41:29:FD:9E', MonitorInterval=100)"
ubus-cli "WiFi.Radio.3.Sensing.addClient(MACAddress='6E:15:DB:33:D7:D8', MonitorInterval=10)"
3. Wait for some time(10~20 minutes), check if counters in csiStats() increase:
root@prplOS:/# ubus-cli "WiFi.Radio.*.Sensing.csiStats()"
&gt; WiFi.Radio.*.Sensing.csiStats()
WiFi.Radio.1.Sensing.csiStats() returned
[
    {
        M2MTransmitCounter = 0,
        NullFrameAckFailCounter = 0,
        NullFrameCounter = 0,
        ReceivedOverflowCounter = 0,
        TransmitFailCounter = 0,
        UserTransmitCounter = 0,
        UserTransmitFailCounter = 0,
        VendorCounters = {
        }
    }
]
WiFi.Radio.3.Sensing.csiStats() returned
[
    {
        M2MTransmitCounter = 0,
        NullFrameAckFailCounter = 0,
        NullFrameCounter = 0,
        ReceivedOverflowCounter = 0,
        TransmitFailCounter = 0,
        UserTransmitCounter = 0,
        UserTransmitFailCounter = 0,
        VendorCounters = {
        }
    }
]
WiFi.Radio.2.Sensing.csiStats() returned
[
    {
        M2MTransmitCounter = 0,
        NullFrameAckFailCounter = 0,
        NullFrameCounter = 0,
        ReceivedOverflowCounter = 0,
        TransmitFailCounter = 0,
        UserTransmitCounter = 0,
        UserTransmitFailCounter = 0,
        VendorCounters = {
        }
    }
]
</t>
  </si>
  <si>
    <t xml:space="preserve">
2026-03-04_EIT: verified and found fix in version 4.0.3
ubus-cli "WiFi.Radio.1.Sensing.resetStats()"
ubus-cli "WiFi.Radio.1.Sensing.addClient (MACAddress='34:19:4D:A4:B5:09',  MonitorInterval=100)"
ubus-cli WiFi.Radio.1.Sensing.Enable=true
sleep 5
ubus-cli "WiFi.Radio.2.Sensing.resetStats()"
ubus-cli "WiFi.Radio.2.Sensing.addClient (MACAddress='38:06:E6:92:B0:4A',  MonitorInterval=100)"
ubus-cli WiFi.Radio.2.Sensing.Enable=true
sleep 5
ubus-cli "WiFi.Radio.3.Sensing.resetStats()"
ubus-cli "WiFi.Radio.3.Sensing.addClient (MACAddress='34:19:4D:A4:B4:33',  MonitorInterval=100)"
ubus-cli WiFi.Radio.3.Sensing.Enable=true
sleep 5
root@prplOS:~# ubus-cli "WiFi.Radio.*.Sensing.csiStats()"
&gt; WiFi.Radio.*.Sensing.csiStats()
WiFi.Radio.1.Sensing.csiStats() returned
[
    {
        M2MTransmitCounter = 1647,
        NullFrameAckFailCounter = 379,
        NullFrameCounter = 2027,
        ReceivedOverflowCounter = 0,
        TransmitFailCounter = 0,
        UserTransmitCounter = 0,
        UserTransmitFailCounter = 0,
        VendorCounters = {
        }
    }
]
WiFi.Radio.3.Sensing.csiStats() returned
[
    {
        M2MTransmitCounter = 984,
        NullFrameAckFailCounter = 0,
        NullFrameCounter = 1012,
        ReceivedOverflowCounter = 12,
        TransmitFailCounter = 0,
        UserTransmitCounter = 0,
        UserTransmitFailCounter = 0,
        VendorCounters = {
        }
    }
]
WiFi.Radio.2.Sensing.csiStats() returned
[
    {
        M2MTransmitCounter = 244,
        NullFrameAckFailCounter = 0,
        NullFrameCounter = 244,
        ReceivedOverflowCounter = 0,
        TransmitFailCounter = 0,
        UserTransmitCounter = 0,
        UserTransmitFailCounter = 0,
        VendorCounters = {
        }
    }
]
Note: run IPERF traffic between Station and GW
2026-02-26_ARC:
C358 ubus-cli WiFi.Radio.{i}.Sensing.csiStats()
			ubus-cli "WiFi.Radio.1.Sensing.resetStats()"
			ubus-cli "WiFi.Radio.1.Sensing.addClient MACAddress='A2:D3:12:A8:71:DE'  MonitorInterval=100"
			ubus-cli WiFi.Radio.1.Sensing.Enable=true
			sleep 5
			ubus-cli WiFi.Radio.1.Sensing.Enable=false
			ubus-cli WiFi.Radio.1.Sensing.delClient MACAddress=A2:D3:12:A8:71:DE
			ubus-cli "WiFi.Radio.*.Sensing.csiStats()"
BRCM: CSP  CS00012439197
2026-01-08 support; skip netlink erro in console
1) Sensing.Enable; invoke whm_brcm_csi_setup_withclk(), enable csi
2) csiStats(); invoke whm_brcm_radcsi_updateStats-&gt;whm_brcm_csi_update_stats
root@prplOS:/# wl -i wl1 assoclist; wl -i wl1 csimon reset_cnts;wl -i wl1 csimon
add 00:90:4C:4C:94:31; wl -i wl1 csimon enable; sleep 5; wl -i wl1 csimon disab
le; wl -i wl1 csimon del 00:90:4C:4C:94:31; wl -i wl1 csimon state;ubus call WiF
i.Radio.2.Sensing csiStats
assoclist 00:90:4C:53:25:00
assoclist 00:90:4C:4C:94:31
CSI Monitor: Enabled: 0
CSI record transfer (to DDR) count: 99
Ack fail count: 0
CSI record overflow count: 0
{
"M2MTransmitCounter": 99,
"VendorCounters": {
},
"UserTransmitCounter": 0,
"ReceivedOverflowCounter": 0,
"NullFrameCounter": 99,
"TransmitFailCounter": 0,
"NullFrameAckFailCounter": 0,
"UserTransmitFailCounter": 0
}
{
}
{
"amxd-error-code": 0
}
root@prplOS:/#
--
The counters recorded in this API are always 0.</t>
  </si>
  <si>
    <t>debug()</t>
  </si>
  <si>
    <t>ubus-cli WiFi.Radio.{i}.Sensing.debug()</t>
  </si>
  <si>
    <t>IsolationEnable</t>
  </si>
  <si>
    <t>ubus-cli WiFi.AccessPoint.{i}.IsolationEnable=0</t>
  </si>
  <si>
    <t>1. Connect two WiFi station to the Radio
2. Run ping between Station - by default isolation = disable so ping is OK
 -Enable Isolation
   ubus-cli WiFi.AccessPoint.5.IsolationEnable=1
    --Ping between station should failed after enable Isolation
 -Disable Isolation
    ubus-cli WiFi.AccessPoint.5.IsolationEnable=0
    --Ping between station success after disable Isolation</t>
  </si>
  <si>
    <t>MBOAssocDisallowReason</t>
  </si>
  <si>
    <t>ubus-cli WiFi.AccessPoint.{i}.MBOAssocDisallowReason="Off"</t>
  </si>
  <si>
    <t>BCRM: no test steps
ARC-RD: This item should be Failed because hostapd didn't support mbo_assoc_disallow</t>
  </si>
  <si>
    <t>sendPublicAction()</t>
  </si>
  <si>
    <t>ubus-cli WiFi.AccessPoint.{i}.sendPublicAction()</t>
  </si>
  <si>
    <t>FirmwareVersion</t>
  </si>
  <si>
    <t>ubus-cli WiFi.Radio.{i}.FirmwareVersion=""</t>
  </si>
  <si>
    <t>WiFi.Radio.{i}.IEEE80211ax.</t>
  </si>
  <si>
    <t>BssColorPartial</t>
  </si>
  <si>
    <t>ubus-cli WiFi.Radio.{i}.IEEE80211ax.BssColorPartial=0</t>
  </si>
  <si>
    <r>
      <rPr>
        <sz val="9"/>
        <color rgb="FFFF0000"/>
        <rFont val="Calibri"/>
        <scheme val="minor"/>
      </rPr>
      <t xml:space="preserve">[0325] ARC will create a CSP for BSS Color issue
</t>
    </r>
    <r>
      <rPr>
        <sz val="9"/>
        <color rgb="FF000000"/>
        <rFont val="Calibri"/>
        <scheme val="minor"/>
      </rPr>
      <t>Verified in version 4.0.3v1.4: The tag value in beacon does not match the API.
EIT: Verified using Wireshark "IEEE 802.11 → HE Operation → BSS Color Information</t>
    </r>
  </si>
  <si>
    <t>NonSRGOBSSPDMaxOffset</t>
  </si>
  <si>
    <t>ubus-cli WiFi.Radio.{i}.IEEE80211ax.NonSRGOBSSPDMaxOffset=0</t>
  </si>
  <si>
    <t>wl -i wl0 he nsrg_pdmax</t>
  </si>
  <si>
    <t>root@prplOS:~# ubus-cli WiFi.Radio.*.IEEE80211ax.NonSRGOBSSPDMaxOffset=70
&gt; WiFi.Radio.*.IEEE80211ax.NonSRGOBSSPDMaxOffset=70
WiFi.Radio.1.IEEE80211ax.
WiFi.Radio.1.IEEE80211ax.NonSRGOBSSPDMaxOffset=70
WiFi.Radio.2.IEEE80211ax.
WiFi.Radio.2.IEEE80211ax.NonSRGOBSSPDMaxOffset=70
WiFi.Radio.3.IEEE80211ax.
WiFi.Radio.3.IEEE80211ax.NonSRGOBSSPDMaxOffset=70
root@prplOS:~# wl -i wl0 sr_config nsrg_pdmax
nsrg_pdmax -70 dBm
root@prplOS:~# wl -i wl1 sr_config nsrg_pdmax
nsrg_pdmax -70 dBm
root@prplOS:~# wl -i wl2 sr_config nsrg_pdmax
nsrg_pdmax -70 dBm</t>
  </si>
  <si>
    <t>PSRDisallowed</t>
  </si>
  <si>
    <t>ubus-cli WiFi.Radio.{i}.IEEE80211ax.PSRDisallowed=0</t>
  </si>
  <si>
    <t>1. Check API default value:
root@prplOS:/# ubus-cli WiFi.Radio.*.IEEE80211ax.PSRDisallowed?
&gt; WiFi.Radio.*.IEEE80211ax.PSRDisallowed?
WiFi.Radio.1.IEEE80211ax.PSRDisallowed=0
WiFi.Radio.2.IEEE80211ax.PSRDisallowed=0
WiFi.Radio.3.IEEE80211ax.PSRDisallowed=0
2. Modify the API value to 1:
ubus-cli WiFi.Radio.*.IEEE80211ax.PSRDisallowed=1
3. Check the API value again, compare with driver return and beacon tagged capability- Spatial Reuse Parameter Set - SR Control - SRP Disallowed
root@prplOS:/# ubus-cli WiFi.Radio.*.IEEE80211ax.PSRDisallowed?
&gt; WiFi.Radio.*.IEEE80211ax.PSRDisallowed?
WiFi.Radio.1.IEEE80211ax.PSRDisallowed=1
WiFi.Radio.2.IEEE80211ax.PSRDisallowed=1
WiFi.Radio.3.IEEE80211ax.PSRDisallowed=1</t>
  </si>
  <si>
    <t>(PSRDisallowed=0)
root@prplOS:/# wl -i wl0 he sr
        HE Spatial Reuse Parameter Set element:
                &lt;Enabled&gt;
        SR Control:
                - HESIGA_Spatial_reuse_value15_allowed (is SET)
root@prplOS:/# wl -i wl1 he sr
        HE Spatial Reuse Parameter Set element:
                &lt;Enabled&gt;
        SR Control:
                - HESIGA_Spatial_reuse_value15_allowed (is SET)
root@prplOS:/# wl -i wl2 he sr
        HE Spatial Reuse Parameter Set element:
                &lt;Enabled&gt;
        SR Control:
                - HESIGA_Spatial_reuse_value15_allowed (is SET)
(PSRDisallowed=1)
root@prplOS:/# wl -i wl0 he sr
        HE Spatial Reuse Parameter Set element:
                &lt;Enabled&gt;
        SR Control:
                - PSR Disallowed (is SET)
                - HESIGA_Spatial_reuse_value15_allowed (is SET)
root@prplOS:/# wl -i wl1 he sr
        HE Spatial Reuse Parameter Set element:
                &lt;Enabled&gt;
        SR Control:
                - PSR Disallowed (is SET)
                - HESIGA_Spatial_reuse_value15_allowed (is SET)
root@prplOS:/# wl -i wl2 he sr
        HE Spatial Reuse Parameter Set element:
                &lt;Enabled&gt;
        SR Control:
                - PSR Disallowed (is SET)
                - HESIGA_Spatial_reuse_value15_allowed (is SET)</t>
  </si>
  <si>
    <t>pass</t>
  </si>
  <si>
    <t>Verified in version 4.0.3v1.4</t>
  </si>
  <si>
    <t>SRGBSSColorBitmap</t>
  </si>
  <si>
    <t>ubus-cli WiFi.Radio.{i}.IEEE80211ax.SRGBSSColorBitmap=""</t>
  </si>
  <si>
    <t xml:space="preserve">
[0325] ARC will create a CSP for BSS Color issue
RD suggest to mark it as fail because broadcom didn't implement it</t>
  </si>
  <si>
    <t>SRGOBSSPDMaxOffset</t>
  </si>
  <si>
    <t>ubus-cli WiFi.Radio.{i}.IEEE80211ax.SRGOBSSPDMaxOffset=0</t>
  </si>
  <si>
    <t>wl -i wl0 he srg_pdmax</t>
  </si>
  <si>
    <t>root@prplOS:~# ubus-cli WiFi.Radio.*.IEEE80211ax.SRGOBSSPDMaxOffset?
&gt; WiFi.Radio.*.IEEE80211ax.SRGOBSSPDMaxOffset?
WiFi.Radio.1.IEEE80211ax.SRGOBSSPDMaxOffset=65
WiFi.Radio.2.IEEE80211ax.SRGOBSSPDMaxOffset=65
WiFi.Radio.3.IEEE80211ax.SRGOBSSPDMaxOffset=65
root@prplOS:~# wl -i wl0 sr_config srg_pdmax
srg_pdmax -65 dBm
root@prplOS:~# wl -i wl1 sr_config srg_pdmax
srg_pdmax -65 dBm
root@prplOS:~# wl -i wl2 sr_config srg_pdmax
srg_pdmax -65 dBm</t>
  </si>
  <si>
    <t>SRGOBSSPDMinOffset</t>
  </si>
  <si>
    <t>ubus-cli WiFi.Radio.{i}.IEEE80211ax.SRGOBSSPDMinOffset=0</t>
  </si>
  <si>
    <t>wl -i wl0 he srg_pdmin</t>
  </si>
  <si>
    <t>root@prplOS:~# ubus-cli WiFi.Radio.*.IEEE80211ax.SRGOBSSPDMinOffset=85
&gt; WiFi.Radio.*.IEEE80211ax.SRGOBSSPDMinOffset=85
WiFi.Radio.1.IEEE80211ax.
WiFi.Radio.1.IEEE80211ax.SRGOBSSPDMinOffset=85
WiFi.Radio.2.IEEE80211ax.
WiFi.Radio.2.IEEE80211ax.SRGOBSSPDMinOffset=85
WiFi.Radio.3.IEEE80211ax.
WiFi.Radio.3.IEEE80211ax.SRGOBSSPDMinOffset=85
root@prplOS:~# ubus-cli WiFi.Radio.*.IEEE80211ax.SRGOBSSPDMinOffset?
&gt; WiFi.Radio.*.IEEE80211ax.SRGOBSSPDMinOffset?
WiFi.Radio.1.IEEE80211ax.SRGOBSSPDMinOffset=85
WiFi.Radio.2.IEEE80211ax.SRGOBSSPDMinOffset=85
WiFi.Radio.3.IEEE80211ax.SRGOBSSPDMinOffset=85
root@prplOS:~# wl -i wl0 sr_config srg_pdmin
srg_pdmin -85 dBm
root@prplOS:~# wl -i wl1 sr_config srg_pdmin
srg_pdmin -85 dBm
root@prplOS:~# wl -i wl2 sr_config srg_pdmin
srg_pdmin -85 dBm</t>
  </si>
  <si>
    <t>SRGPartialBSSIDBitmap</t>
  </si>
  <si>
    <t>ubus-cli WiFi.Radio.{i}.IEEE80211ax.SRGPartialBSSIDBitmap=""</t>
  </si>
  <si>
    <r>
      <rPr>
        <sz val="9"/>
        <color rgb="FF000000"/>
        <rFont val="Calibri"/>
        <scheme val="minor"/>
      </rPr>
      <t xml:space="preserve">
</t>
    </r>
    <r>
      <rPr>
        <sz val="9"/>
        <color rgb="FFFF0000"/>
        <rFont val="Calibri"/>
        <scheme val="minor"/>
      </rPr>
      <t xml:space="preserve">[0325] ARC will create a CSP
</t>
    </r>
    <r>
      <rPr>
        <sz val="9"/>
        <color rgb="FF000000"/>
        <rFont val="Calibri"/>
        <scheme val="minor"/>
      </rPr>
      <t xml:space="preserve">
RD suggest to mark it as fail because broadcom didn't implement it</t>
    </r>
  </si>
  <si>
    <t>Active</t>
  </si>
  <si>
    <t>ubus-cli WiFi.AccessPoint.{i}.AssociatedDevice.{i}.Active=1</t>
  </si>
  <si>
    <t>1. Connect WiFi station to GW
2. Check Associated Device Status
root@prplOS:/# ubus-cli WiFi.AccessPoint.*.AssociatedDevice.*.? | grep -E 'Activ
e|MAC'
WiFi.AccessPoint.1.AssociatedDevice.11.Active=1
WiFi.AccessPoint.1.AssociatedDevice.11.MACAddress="34:19:4D:A4:B5:09"
WiFi.AccessPoint.1.AssociatedDevice.12.Active=1
WiFi.AccessPoint.1.AssociatedDevice.12.MACAddress="42:B7:35:6A:17:8E"
WiFi.AccessPoint.1.AssociatedDevice.13.Active=1
WiFi.AccessPoint.1.AssociatedDevice.13.MACAddress="12:E3:C4:78:7B:6F"
WiFi.AccessPoint.3.AssociatedDevice.1.Active=1
WiFi.AccessPoint.3.AssociatedDevice.1.MACAddress="38:06:E6:92:B0:4A"
WiFi.AccessPoint.5.AssociatedDevice.3.Active=1
WiFi.AccessPoint.5.AssociatedDevice.3.MACAddress="E4:60:17:EB:A9:83"</t>
  </si>
  <si>
    <t>root@prplOS:/# wl -i wl0 assoclist
assoclist 34:19:4D:A4:B5:09
assoclist 12:E3:C4:78:7B:6F
assoclist 42:B7:35:6A:17:8E
root@prplOS:/# wl -i wl1 assoclist
assoclist 38:06:E6:92:B0:4A
root@prplOS:/# wl -i wl2 assoclist
assoclist E4:60:17:EB:A9:83</t>
  </si>
  <si>
    <t>DisassociationTime</t>
  </si>
  <si>
    <t>ubus-cli WiFi.AccessPoint.{i}.AssociatedDevice.{i}.DisassociationTime="1970-01-01T00:00:00Z"</t>
  </si>
  <si>
    <t>1. Connect WiFi station to GW
2. Check Associated Device Status
3. Disconnect Wifi Station from GW
4. Check Associated Device DisassociationTime
root@prplOS:/# ubus-cli WiFi.AccessPoint.*.AssociatedDevice.*.? | grep -E 'Activ
root@prplOS:/# ubus-cli WiFi.AccessPoint.*.AssociatedDevice.*.DisassociationTime
?
&gt; WiFi.AccessPoint.*.AssociatedDevice.*.DisassociationTime?
WiFi.AccessPoint.1.AssociatedDevice.11.DisassociationTime="2025-12-12T09:13:12Z"
WiFi.AccessPoint.1.AssociatedDevice.12.DisassociationTime="0001-01-01T00:00:00Z"
WiFi.AccessPoint.1.AssociatedDevice.13.DisassociationTime="0001-01-01T00:00:00Z"
WiFi.AccessPoint.3.AssociatedDevice.1.DisassociationTime="2025-12-12T09:13:12Z"
WiFi.AccessPoint.5.AssociatedDevice.3.DisassociationTime="2025-12-12T09:12:43Z"
root@prplOS:/# date
Fri Dec 12 09:14:01 UTC 2025
root@prplOS:/#
root@prplOS:/# ubus-cli WiFi.AccessPoint.*.AssociatedDevice.*.? | grep -E 'Activ
e|MAC'
WiFi.AccessPoint.1.AssociatedDevice.11.Active=0
WiFi.AccessPoint.1.AssociatedDevice.11.ActiveNumberOfAffiliatedSta=0
WiFi.AccessPoint.1.AssociatedDevice.11.MACAddress="34:19:4D:A4:B5:09"
WiFi.AccessPoint.1.AssociatedDevice.11.AffiliatedSta.1.Active=0
WiFi.AccessPoint.1.AssociatedDevice.11.AffiliatedSta.1.MACAddress="34:19:4D:A4:B5:09"
WiFi.AccessPoint.1.AssociatedDevice.12.Active=1
WiFi.AccessPoint.1.AssociatedDevice.12.ActiveNumberOfAffiliatedSta=0
WiFi.AccessPoint.1.AssociatedDevice.12.MACAddress="42:B7:35:6A:17:8E"
WiFi.AccessPoint.1.AssociatedDevice.13.Active=1
WiFi.AccessPoint.1.AssociatedDevice.13.ActiveNumberOfAffiliatedSta=0
WiFi.AccessPoint.1.AssociatedDevice.13.MACAddress="12:E3:C4:78:7B:6F"
WiFi.AccessPoint.3.AssociatedDevice.1.Active=0
WiFi.AccessPoint.3.AssociatedDevice.1.ActiveNumberOfAffiliatedSta=0
WiFi.AccessPoint.3.AssociatedDevice.1.MACAddress="38:06:E6:92:B0:4A"
WiFi.AccessPoint.3.AssociatedDevice.1.AffiliatedSta.1.Active=0
WiFi.AccessPoint.3.AssociatedDevice.1.AffiliatedSta.1.MACAddress="38:06:E6:92:B0:4A"
WiFi.AccessPoint.5.AssociatedDevice.3.Active=0
WiFi.AccessPoint.5.AssociatedDevice.3.ActiveNumberOfAffiliatedSta=0
WiFi.AccessPoint.5.AssociatedDevice.3.MACAddress="E4:60:17:EB:A9:83"
root@prplOS:/#</t>
  </si>
  <si>
    <t xml:space="preserve">
root@prplOS:/# wl -i wl0 assoclist
root@prplOS:/# wl -i wl1 assoclist
root@prplOS:/# wl -i wl2 assoclist</t>
  </si>
  <si>
    <t>BroadcastMaxBwCapability</t>
  </si>
  <si>
    <t>ubus-cli WiFi.Radio.{i}.DriverConfig.BroadcastMaxBwCapability=-1</t>
  </si>
  <si>
    <t>TxBeamforming</t>
  </si>
  <si>
    <t>ubus-cli WiFi.Radio.{i}.DriverConfig.TxBeamforming=-1</t>
  </si>
  <si>
    <t>1. Enable TxBeamforming
root@prplOS:/# ubus-cli WiFi.Radio.*.DriverConfig.TxBeamforming=1
2. Verify TxBeamforming set to 1 "Enable"
root@prplOS:/# ubus-cli WiFi.Radio.? | grep .DriverConfig.TxBeamforming
WiFi.Radio.1.DriverConfig.TxBeamforming=1
WiFi.Radio.2.DriverConfig.TxBeamforming=1
WiFi.Radio.3.DriverConfig.TxBeamforming=1
3. Capture Beacon packet and check for Tx Beamforming Indicators</t>
  </si>
  <si>
    <t xml:space="preserve">
root@prplOS:/# wl -i wl0 txbf
1
root@prplOS:/# wl -i wl1 txbf
1
root@prplOS:/# wl -i wl2 txbf
1
wl -i wlx txbf 1   # enable
wl -i wlx txbf 0   # disable
</t>
  </si>
  <si>
    <t xml:space="preserve">
Beacon packet does not include Tx Beamforming Indicators:
HT Capabilities (for 802.11n) — look for Bit 7 "Tx Beamforming Support" in the Capabilities field.
VHT Capabilities (for 802.11ac) — look for VHT TXBF Supported.
HE Capabilities (for 802.11ax) — look for MU Beamforming Supported and Sounding Supported.</t>
  </si>
  <si>
    <t>TxBurst</t>
  </si>
  <si>
    <t>ubus-cli WiFi.Radio.{i}.DriverConfig.TxBurst=-1</t>
  </si>
  <si>
    <t>1. Enable TxBurst
root@prplOS:/# ubus-cli WiFi.Radio.{i}.DriverConfig.TxBurst=1
&gt; WiFi.Radio.{i}.DriverConfig.TxBurst=1
WiFi.Radio.{i}.DriverConfig.
WiFi.Radio.{i}.DriverConfig.TxBurst=1
2. Get TxBurst status
root@prplOS:/# ubus-cli WiFi.Radio.? | grep .DriverConfig.TxBurst
WiFi.Radio.1.DriverConfig.TxBurst=1
WiFi.Radio.2.DriverConfig.TxBurst=1
WiFi.Radio.3.DriverConfig.TxBurst=1
1=enable
0=disable</t>
  </si>
  <si>
    <t xml:space="preserve">
root@prplOS:/# wl -i wl0 frameburst
1
root@prplOS:/# wl -i wl1 frameburst
1
root@prplOS:/# wl -i wl2 frameburst
1</t>
  </si>
  <si>
    <t>wl -i wlx framebusrt always return "1=enable" after execute command to disable TxBurst=0</t>
  </si>
  <si>
    <t>VhtOmnEnabled</t>
  </si>
  <si>
    <t>ubus-cli WiFi.Radio.{i}.DriverConfig.VhtOmnEnabled=1</t>
  </si>
  <si>
    <t>LongRetryLimit</t>
  </si>
  <si>
    <t>ubus-cli WiFi.Radio.{i}.LongRetryLimit=6</t>
  </si>
  <si>
    <t>1. Check API default value:
root@prplOS:/# ubus-cli WiFi.Radio.*.LongRetryLimit?
&gt; WiFi.Radio.*.LongRetryLimit?
WiFi.Radio.1.LongRetryLimit=6
WiFi.Radio.2.LongRetryLimit=6
WiFi.Radio.3.LongRetryLimit=6
2. Try modify the API to any other value:
ubus-cli WiFi.Radio.*.LongRetryLimit=10
3. Check API value again and compare with driver return value:
root@prplOS:/# ubus-cli WiFi.Radio.*.LongRetryLimit?
&gt; WiFi.Radio.*.LongRetryLimit?
WiFi.Radio.1.LongRetryLimit=10
WiFi.Radio.2.LongRetryLimit=10
WiFi.Radio.3.LongRetryLimit=10</t>
  </si>
  <si>
    <t>(BRCM comment)
wl -i wl0 lrl
wl -i wl1 lrl
wl -i wl2 lrl
(default)
root@prplOS:/# iw phy phy0 info | grep "Retry long limit"
        Retry long limit: 4
root@prplOS:/# iw phy phy1 info | grep "Retry long limit"
        Retry long limit: 4
root@prplOS:/# iw phy phy2 info | grep "Retry long limit"
        Retry long limit: 4
(LongRetryLimit=10)
root@prplOS:/# iw phy phy0 info | grep "Retry long limit"
        Retry long limit: 4
root@prplOS:/# iw phy phy1 info | grep "Retry long limit"
        Retry long limit: 4
root@prplOS:/# iw phy phy2 info | grep "Retry long limit"
        Retry long limit: 4</t>
  </si>
  <si>
    <t>wl -i wl0 lrl</t>
  </si>
  <si>
    <t xml:space="preserve">[0320]Verified in version 4.0.3v1.4. Try out command in BCM comment: wl -i wl* lrl
(default)
root@prplOS:/# wl -i wl0 lrl
6
root@prplOS:/# wl -i wl1 lrl
6
root@prplOS:/# wl -i wl2 lrl
6
(LongRetryLimit=10)
root@prplOS:/# wl -i wl0 lrl
10
root@prplOS:/# wl -i wl1 lrl
10
root@prplOS:/# wl -i wl2 lrl
10
</t>
  </si>
  <si>
    <t>MaxBitRate</t>
  </si>
  <si>
    <t>ubus-cli WiFi.Radio.{i}.MaxBitRate=0</t>
  </si>
  <si>
    <t>1. Read-only API, defines max bitrate for each radio:
ubus-cli WiFi.Radio.*.MaxBitRate?
&gt; WiFi.Radio.*.MaxBitRate?
WiFi.Radio.1.MaxBitRate=0
WiFi.Radio.2.MaxBitRate=0
WiFi.Radio.3.MaxBitRate=0</t>
  </si>
  <si>
    <t>whm_brcm_rad_get_maxbitrate has been implemented. Need pwhm to run</t>
  </si>
  <si>
    <t>This API should not be 0?</t>
  </si>
  <si>
    <t>MaxSupportedSSIDs</t>
  </si>
  <si>
    <t>ubus-cli WiFi.Radio.{i}.MaxSupportedSSIDs=16</t>
  </si>
  <si>
    <t xml:space="preserve">1. Get SSID list
root@prplOS:/# ubus-cli WiFi.SSID.*.SSID?
&gt; WiFi.SSID.*.SSID?
WiFi.SSID.1.SSID="OpenWrt_fake"
WiFi.SSID.2.SSID="OpenWrt_fake"
WiFi.SSID.3.SSID="OpenWrt_fake"
WiFi.SSID.4.SSID="TEST-5G-123"
WiFi.SSID.5.SSID="OpenWrt_2"
WiFi.SSID.6.SSID="TEST-6G-123"
WiFi.SSID.7.SSID="OpenWrt_2"
WiFi.SSID.8.SSID="TEST-24G-123"
WiFi.SSID.9.SSID="OpenWrt_2"
</t>
  </si>
  <si>
    <t>What is the Maximum SSID/BSSID for this Project?
Test only Primary SSID4, 6 and 8.</t>
  </si>
  <si>
    <t>MCS</t>
  </si>
  <si>
    <t>ubus-cli WiFi.Radio.{i}.MCS=11</t>
  </si>
  <si>
    <t>1. Verify MCS of the Radio
root@prplOS:/# ubus-cli WiFi.Radio.*.MCS?
&gt; WiFi.Radio.*.MCS?
WiFi.Radio.1.MCS=0
WiFi.Radio.2.MCS=0
WiFi.Radio.3.MCS=0</t>
  </si>
  <si>
    <t>root@prplOS:/# wl -i wl0 status
SSID: "5G-123"
Mode: Managed   RSSI: 0 dBm     SNR: 0 dB       noise: -92 dBm  Channel: 48/160
BSSID: 64:75:DA:4E:51:75        Capability: ESS RRM
Beacon Interval: 100 msecs
Supported Rates: [ 6(b) 9 12 18 24(b) 36 48 54 ]
Extended Capabilities: Not_Available
MLO: MLD Address: 64:75:DA:4E:51:75
EHT Capable:
        Chanspec: 5GHz channel 50 160MHz (0xeb32)
        Primary channel: 48
        HT Capabilities: 40MHz SGI20 SGI40
        Supported HT MCS : 0-31
        Supported VHT MCS:
                NSS1 Tx: 0-11        Rx: 0-11
                NSS2 Tx: 0-11        Rx: 0-11
                NSS3 Tx: 0-11        Rx: 0-11
                NSS4 Tx: 0-11        Rx: 0-11
        Supported HE MCS:
            20/40/80 MHz:
                NSS1 Tx: 0-11        Rx: 0-11
                NSS2 Tx: 0-11        Rx: 0-11
                NSS3 Tx: 0-11        Rx: 0-11
                NSS4 Tx: 0-11        Rx: 0-11
            160 MHz:
                NSS1 Tx: 0-11        Rx: 0-11
                NSS2 Tx: 0-11        Rx: 0-11
                NSS3 Tx: 0-11        Rx: 0-11
                NSS4 Tx: 0-11        Rx: 0-11
        BSS Color: 0x0          Partial BSS Color: false
        BSS Color Disabled: false
        Supported EHT MCS:
            20/40/80 MHz:
                NSS1 Tx: 0-13        Rx: 0-13
                NSS2 Tx: 0-13        Rx: 0-13
                NSS3 Tx: 0-13        Rx: 0-13
                NSS4 Tx: 0-13        Rx: 0-13
            160 MHz:
                NSS1 Tx: 0-13        Rx: 0-13
                NSS2 Tx: 0-13        Rx: 0-13
                NSS3 Tx: 0-13        Rx: 0-13
                NSS4 Tx: 0-13        Rx: 0-13
root@prplOS:/# wl -i wl1 status
SSID: "6G-123"
Mode: Managed   RSSI: 0 dBm     SNR: 0 dB       noise: -88 dBm  Channel: 6g1/160
BSSID: 64:75:DA:4E:51:76        Capability: ESS RRM
Beacon Interval: 100 msecs
Supported Rates: [ 6(b) 9 12 18 24(b) 36 48 54 ]
Extended Capabilities: Not_Available
MLO: MLD Address: 64:75:DA:4E:51:76
EHT Capable:
        Chanspec: 6GHz channel 15 160MHz (0x680f)
        Primary channel: 1
        Supported HE MCS:
            20/40/80 MHz:
                NSS1 Tx: 0-11        Rx: 0-11
                NSS2 Tx: 0-11        Rx: 0-11
                NSS3 Tx: 0-11        Rx: 0-11
                NSS4 Tx: 0-11        Rx: 0-11
            160 MHz:
                NSS1 Tx: 0-11        Rx: 0-11
                NSS2 Tx: 0-11        Rx: 0-11
                NSS3 Tx: 0-11        Rx: 0-11
                NSS4 Tx: 0-11        Rx: 0-11
        BSS Color: 0x0          Partial BSS Color: false
        BSS Color Disabled: false
        Supported EHT MCS:
            20/40/80 MHz:
                NSS1 Tx: 0-13        Rx: 0-13
                NSS2 Tx: 0-13        Rx: 0-13
                NSS3 Tx: 0-13        Rx: 0-13
                NSS4 Tx: 0-13        Rx: 0-13
            160 MHz:
                NSS1 Tx: 0-13        Rx: 0-13
                NSS2 Tx: 0-13        Rx: 0-13
                NSS3 Tx: 0-13        Rx: 0-13
                NSS4 Tx: 0-13        Rx: 0-13
            320 MHz:
                NSS1 Tx: 0-13        Rx: 0-13
                NSS2 Tx: 0-13        Rx: 0-13
                NSS3 Tx: 0-13        Rx: 0-13
                NSS4 Tx: 0-13        Rx: 0-13
root@prplOS:/# wl -i wl2 status
SSID: "24G-123"
Mode: Managed   RSSI: 0 dBm     SNR: 0 dB       noise: -82 dBm  Channel: 1
BSSID: 64:75:DA:4E:51:87        Capability: ESS ShortSlot RRM
Beacon Interval: 100 msecs
Supported Rates: [ 1(b) 2(b) 5.5(b) 6 9 11(b) 12 18 24 36 48 54 ]
Extended Capabilities: Not_Available
MLO: MLD Address: 64:75:DA:4E:51:87
EHT Capable:
        Chanspec: 2.4GHz channel 1 20MHz (0x1001)
        Primary channel: 1
        HT Capabilities: 40MHz SGI20 SGI40
        Supported HT MCS : 0-7
        Supported HE MCS:
            20/40/80 MHz:
                NSS1 Tx: 0-11        Rx: 0-11
                NSS2 Tx: 0-11        Rx: ---
                NSS3 Tx: 0-11        Rx: ---
                NSS4 Tx: 0-11        Rx: ---
        BSS Color: 0x0          Partial BSS Color: false
        BSS Color Disabled: false
        Supported EHT MCS:
            20/40/80 MHz:
                NSS1 Tx: 0-13        Rx: 0-13
                NSS2 Tx: 0-13        Rx: ---
                NSS3 Tx: 0-13        Rx: ---
                NSS4 Tx: 0-13        Rx: ---</t>
  </si>
  <si>
    <t>Keep auto, too many factors on rate setting, not only rely on mcs, easy to boken wireless</t>
  </si>
  <si>
    <t xml:space="preserve">  - API return 0</t>
  </si>
  <si>
    <t>MultiAPTypesSupported</t>
  </si>
  <si>
    <t>ubus-cli WiFi.Radio.{i}.MultiAPTypesSupported="FronthaulBSS,BackhaulBSS,BackhaulSTA"</t>
  </si>
  <si>
    <t>1. Get MultiAP type Supported mode 
root@prplOS:/# ubus-cli WiFi.Radio.*.MultiAPTypesSupported?
&gt; WiFi.Radio.*.MultiAPTypesSupported?
WiFi.Radio.1.MultiAPTypesSupported="FronthaulBSS,BackhaulBSS,BackhaulSTA"
WiFi.Radio.2.MultiAPTypesSupported="FronthaulBSS,BackhaulBSS,BackhaulSTA"
WiFi.Radio.3.MultiAPTypesSupported="FronthaulBSS,BackhaulBSS,BackhaulSTA"
2. Try set to one of the supported type.
  root@prplOS:/# ubus-cli WiFi.Radio.*.MultiAPTypesSupported="BackhaulBSS"
&gt; WiFi.Radio.*.MultiAPTypesSupported=BackhaulBSS
ERROR: set WiFi.Radio.*.MultiAPTypesSupported failed (15 - is read only)
root@prplOS:/# ubus-cli WiFi.Radio.1.MultiAPTypesSupported="BackhaulBSS"
&gt; WiFi.Radio.1.MultiAPTypesSupported=BackhaulBSS
ERROR: set WiFi.Radio.1.MultiAPTypesSupported failed (15 - is read only)</t>
  </si>
  <si>
    <t>this parameter is a prpl-specific extension (custom parameter) and hardcoding in pwhm</t>
  </si>
  <si>
    <t xml:space="preserve">Could not set base on the supported mode
</t>
  </si>
  <si>
    <t>ubus-cli WiFi.Radio.{i}.Noise=-91</t>
  </si>
  <si>
    <t>1. power ON GW in the LAB with many GW's.
2. Verify the Noise level
root@prplOS:/# ubus-cli WiFi.Radio.*.Noise?
&gt; WiFi.Radio.*.Noise?
WiFi.Radio.1.Noise=0
WiFi.Radio.2.Noise=0
WiFi.Radio.3.Noise=0</t>
  </si>
  <si>
    <t>root@prplOS:/# wl -i wl0 noise
-92
root@prplOS:/# wl -i wl1 noise
-88
root@prplOS:/# wl -i wl2 noise
-81
root@p</t>
  </si>
  <si>
    <t> need to support survey in driver level(not only in  wl_cfg80211)</t>
  </si>
  <si>
    <t>1. Execute command  ubus-cli "WiFi.Radio.{i}.getRadioAirStats()"?
root@prplOS:~# ubus-cli "WiFi.Radio.1.getRadioAirStats()"?
&gt; WiFi.Radio.1.getRadioAirStats()?
WiFi.Radio.1.getRadioAirStats() returned
[
    {
        FreeTime = 9,
        IntTime = 25,
        Load = 73,
        LongPreambleErrorPercentage = 0,
        Noise = -97,
        NoiseTime = 24,
        ObssTime = 1,
        RxTime = 0,
        ShortPreambleErrorPercentage = 0,
        Timestamp = 170781536,
        TotalTime = 34,
        TxTime = 0,
        VendorStats = {
        }
    }
]
root@prplOS:~# ubus-cli "WiFi.Radio.2.getRadioAirStats()"?
&gt; WiFi.Radio.2.getRadioAirStats()?
WiFi.Radio.2.getRadioAirStats() returned
[
    {
        FreeTime = 0,
        IntTime = 2,
        Load = 100,
        LongPreambleErrorPercentage = 0,
        Noise = -89,
        NoiseTime = 2,
        ObssTime = 0,
        RxTime = 0,
        ShortPreambleErrorPercentage = 0,
        Timestamp = 170786978,
        TotalTime = 2,
        TxTime = 0,
        VendorStats = {
        }
    }
]
root@prplOS:~# ubus-cli "WiFi.Radio.3.getRadioAirStats()"?
&gt; WiFi.Radio.3.getRadioAirStats()?
WiFi.Radio.3.getRadioAirStats() returned
[
    {
        FreeTime = 3,
        IntTime = 31,
        Load = 91,
        LongPreambleErrorPercentage = 0,
        Noise = -95,
        NoiseTime = 25,
        ObssTime = 6,
        RxTime = 0,
        ShortPreambleErrorPercentage = 0,
        Timestamp = 170786455,
        TotalTime = 34,
        TxTime = 0,
        VendorStats = {
        }
    }
]
2.  Get Radio Noise
root@prplOS:~# ubus-cli WiFi.Radio.1.Noise?
&gt; WiFi.Radio.1.Noise?
WiFi.Radio.1.Noise=-97
root@prplOS:~# ubus-cli WiFi.Radio.2.Noise?
&gt; WiFi.Radio.2.Noise?
WiFi.Radio.2.Noise=-89
root@prplOS:~# ubus-cli WiFi.Radio.3.Noise?
&gt; WiFi.Radio.3.Noise?
WiFi.Radio.3.Noise=-95 
------------------------------------------------------------------------------------- 
 - API return 0
root@prplOS:~# ubus-cli WiFi.Radio.*.Noise?
&gt; WiFi.Radio.*.Noise?
WiFi.Radio.1.Noise=0
WiFi.Radio.2.Noise=0
WiFi.Radio.3.Noise=0</t>
  </si>
  <si>
    <t>OperatingFrequencyBand</t>
  </si>
  <si>
    <t>ubus-cli WiFi.Radio.{i}.OperatingFrequencyBand="2.4GHz"</t>
  </si>
  <si>
    <t>1. get OperatingFrequencyBand
root@prplOS:/# ubus-cli WiFi.Radio.*.OperatingFrequencyBand?
&gt; WiFi.Radio.*.OperatingFrequencyBand?
WiFi.Radio.1.OperatingFrequencyBand="5GHz"
WiFi.Radio.2.OperatingFrequencyBand="6GHz"
WiFi.Radio.3.OperatingFrequencyBand="2.4GHz"</t>
  </si>
  <si>
    <t>root@prplOS:/# wl -i wl0 band
a
root@prplOS:/# wl -i wl1 band
6g
root@prplOS:/# wl -i wl2 band
b</t>
  </si>
  <si>
    <t>RadCapabilitiesHePhysStr</t>
  </si>
  <si>
    <t>ubus-cli WiFi.Radio.{i}.RadCapabilitiesHePhysStr="40MHZ_2_4GHZ"</t>
  </si>
  <si>
    <t xml:space="preserve">1. get RadCapabilitiesHePhysStr
root@prplOS:/# ubus-cli WiFi.Radio.*.RadCapabilitiesHePhysStr?
&gt; WiFi.Radio.*.RadCapabilitiesHePhysStr?
WiFi.Radio.1.RadCapabilitiesHePhysStr="40_80MHZ_5GHZ,160MHZ_5GHZ,FULL_UL_MU_MIMO,SU_BEAMFORMER,MU_BEAMFORMER"
WiFi.Radio.2.RadCapabilitiesHePhysStr="40_80MHZ_5GHZ,160MHZ_5GHZ,FULL_UL_MU_MIMO,SU_BEAMFORMER,MU_BEAMFORMER"
WiFi.Radio.3.RadCapabilitiesHePhysStr="40MHZ_2_4GHZ,FULL_UL_MU_MIMO,SU_BEAMFORMER,MU_BEAMFORMER"
2. Verify Beacon packet supprt HE
     </t>
  </si>
  <si>
    <t>RadCapabilitiesHTStr</t>
  </si>
  <si>
    <t>ubus-cli WiFi.Radio.{i}.RadCapabilitiesHTStr="LPDC,CAP_40,POWER_SAVE,GREEN_FIELD,SHORT_GI_20,SHORT_GI_40,TX_STBC,MAX_AMSDU"</t>
  </si>
  <si>
    <t xml:space="preserve">
1. get RadCapabilitiesHTStr
root@prplOS:/# ubus-cli WiFi.Radio.*.RadCapabilitiesHTStr?
&gt; WiFi.Radio.*.RadCapabilitiesHTStr?
WiFi.Radio.1.RadCapabilitiesHTStr="CAP_40,SHORT_GI_20,SHORT_GI_40,MODE_40"
WiFi.Radio.2.RadCapabilitiesHTStr=""
WiFi.Radio.3.RadCapabilitiesHTStr="CAP_40,SHORT_GI_20,SHORT_GI_40,MODE_40"
2. Verify beacon packet supprt HT.</t>
  </si>
  <si>
    <t>pBand-&gt;htCapabilities is from nl80211 to pwhm</t>
  </si>
  <si>
    <t>6 GHz (radio2) does not support HT (802.11n)</t>
  </si>
  <si>
    <t>RadCapabilitiesVHTStr</t>
  </si>
  <si>
    <t>ubus-cli WiFi.Radio.{i}.RadCapabilitiesVHTStr=""</t>
  </si>
  <si>
    <t>1. get RadCapabilitiesVHTStr
root@prplOS:/# ubus-cli WiFi.Radio.*.RadCapabilitiesVHTStr?
&gt; WiFi.Radio.*.RadCapabilitiesVHTStr?
WiFi.Radio.1.RadCapabilitiesVHTStr="RX_LDPC,SGI_80,SGI_160,SU_BFR,SU_BFE,LINK_ADAPT_CAP"
WiFi.Radio.2.RadCapabilitiesVHTStr=""
WiFi.Radio.3.RadCapabilitiesVHTStr=""
2. Verify beacon packet supprt VHT.</t>
  </si>
  <si>
    <t>Not a issue, vhtCap is from nl80211 to pwhm</t>
  </si>
  <si>
    <t xml:space="preserve"> root@prplOS:~# ubus-cli WiFi.Radio.*.RadCapabilitiesVHTStr?
&gt; WiFi.Radio.*.RadCapabilitiesVHTStr?
WiFi.Radio.1.RadCapabilitiesVHTStr="RX_LDPC,SGI_80,SGI_160,SU_BFR,SU_BFE,LINK_ADAPT_CAP"
WiFi.Radio.2.RadCapabilitiesVHTStr=""
WiFi.Radio.3.RadCapabilitiesVHTStr=""
 ------------------------------------------------------------------------------------
BCM:  Not a issue, vhtCap is from nl80211 to pwhm
 - "Keep the 4.0.1 test result?"
EIT: 6 GHz (radio2) and 2.4GHz (Radio3) not support VHT (802.11ac), </t>
  </si>
  <si>
    <t>WiFi.Radio.{i}.RadCaps.</t>
  </si>
  <si>
    <t>Available</t>
  </si>
  <si>
    <t>ubus-cli WiFi.Radio.{i}.RadCaps.Available=""</t>
  </si>
  <si>
    <t>Enabled</t>
  </si>
  <si>
    <t>ubus-cli WiFi.Radio.{i}.RadCaps.Enabled=""</t>
  </si>
  <si>
    <t>ubus-cli WiFi.Radio.{i}.RadCaps.Status=""</t>
  </si>
  <si>
    <t>MaxChannelsPerScan</t>
  </si>
  <si>
    <t>ubus-cli WiFi.Radio.{i}.ScanConfig.MaxChannelsPerScan=-1</t>
  </si>
  <si>
    <t>ActiveChannelTime</t>
  </si>
  <si>
    <t>ubus-cli WiFi.Radio.{i}.ScanConfig.ActiveChannelTime=-1</t>
  </si>
  <si>
    <t>PassiveChannelTime</t>
  </si>
  <si>
    <t>ubus-cli WiFi.Radio.{i}.ScanConfig.PassiveChannelTime=-1</t>
  </si>
  <si>
    <t>ScanChannelCount</t>
  </si>
  <si>
    <t>ubus-cli WiFi.Radio.{i}.ScanConfig.ScanChannelCount=-1</t>
  </si>
  <si>
    <t>ScanRequestInterval</t>
  </si>
  <si>
    <t>ubus-cli WiFi.Radio.{i}.ScanConfig.ScanRequestInterval=-1</t>
  </si>
  <si>
    <t>ubus-cli WiFi.Radio.{i}.Stats.BytesReceived=18167</t>
  </si>
  <si>
    <t>1. Compare with 'ubus-cli "WiFi.Radio.*.getRadioStats()"'. Follow the test results of getRadioStats().
WiFi.Radio.1.Stats.BroadcastPacketsReceived=0
WiFi.Radio.1.Stats.BroadcastPacketsSent=0
WiFi.Radio.1.Stats.BytesReceived=4001870242
WiFi.Radio.1.Stats.BytesSent=27387731
WiFi.Radio.1.Stats.DiscardPacketsReceived=11
WiFi.Radio.1.Stats.DiscardPacketsSent=23
WiFi.Radio.1.Stats.ErrorsReceived=0
WiFi.Radio.1.Stats.ErrorsSent=0
WiFi.Radio.1.Stats.FailedRetransCount=0
WiFi.Radio.1.Stats.MulticastPacketsReceived=14665
WiFi.Radio.1.Stats.MulticastPacketsSent=0
WiFi.Radio.1.Stats.MultipleRetryCount=0
WiFi.Radio.1.Stats.Noise=0
WiFi.Radio.1.Stats.PacketsReceived=3012612
WiFi.Radio.1.Stats.PacketsSent=180701
WiFi.Radio.1.Stats.RetransCount=0
WiFi.Radio.1.Stats.RetryCount=0
WiFi.Radio.1.Stats.Temperature=81
WiFi.Radio.1.Stats.UnicastPacketsReceived=0
WiFi.Radio.1.Stats.UnicastPacketsSent=0
WiFi.Radio.1.Stats.UnknownProtoPacketsReceived=0
WiFi.Radio.2.Stats.BroadcastPacketsReceived=0
WiFi.Radio.2.Stats.BroadcastPacketsSent=0
WiFi.Radio.2.Stats.BytesReceived=0
WiFi.Radio.2.Stats.BytesSent=19261966
WiFi.Radio.2.Stats.DiscardPacketsReceived=16
WiFi.Radio.2.Stats.DiscardPacketsSent=13
WiFi.Radio.2.Stats.ErrorsReceived=0
WiFi.Radio.2.Stats.ErrorsSent=0
WiFi.Radio.2.Stats.FailedRetransCount=0
WiFi.Radio.2.Stats.MulticastPacketsReceived=0
WiFi.Radio.2.Stats.MulticastPacketsSent=0
WiFi.Radio.2.Stats.MultipleRetryCount=0
WiFi.Radio.2.Stats.Noise=0
WiFi.Radio.2.Stats.PacketsReceived=0
WiFi.Radio.2.Stats.PacketsSent=65306
WiFi.Radio.2.Stats.RetransCount=0
WiFi.Radio.2.Stats.RetryCount=0
WiFi.Radio.2.Stats.Temperature=82
WiFi.Radio.2.Stats.UnicastPacketsReceived=0
WiFi.Radio.2.Stats.UnicastPacketsSent=0
WiFi.Radio.2.Stats.UnknownProtoPacketsReceived=0
WiFi.Radio.3.Stats.BroadcastPacketsReceived=0
WiFi.Radio.3.Stats.BroadcastPacketsSent=0
WiFi.Radio.3.Stats.BytesReceived=1813299
WiFi.Radio.3.Stats.BytesSent=4011747628
WiFi.Radio.3.Stats.DiscardPacketsReceived=23
WiFi.Radio.3.Stats.DiscardPacketsSent=4
WiFi.Radio.3.Stats.ErrorsReceived=0
WiFi.Radio.3.Stats.ErrorsSent=0
WiFi.Radio.3.Stats.FailedRetransCount=0
WiFi.Radio.3.Stats.MulticastPacketsReceived=1064
WiFi.Radio.3.Stats.MulticastPacketsSent=0
WiFi.Radio.3.Stats.MultipleRetryCount=0
WiFi.Radio.3.Stats.Noise=0
WiFi.Radio.3.Stats.PacketsReceived=17331
WiFi.Radio.3.Stats.PacketsSent=2929609
WiFi.Radio.3.Stats.RetransCount=0
WiFi.Radio.3.Stats.RetryCount=0
WiFi.Radio.3.Stats.Temperature=78
WiFi.Radio.3.Stats.UnicastPacketsReceived=0
WiFi.Radio.3.Stats.UnicastPacketsSent=0
WiFi.Radio.3.Stats.UnknownProtoPacketsReceived=0</t>
  </si>
  <si>
    <t>cat /proc/net/dev |grep wl0</t>
  </si>
  <si>
    <t>##Execute below command before getting Radio statistic
ubus-cli "WiFi.Radio.1.getRadioStats()"?
ubus-cli "WiFi.Radio.2.getRadioStats()"?
ubus-cli "WiFi.Radio.3.getRadioStats()"?
root@prplOS:~# ubus-cli WiFi.Radio.1.Stats.BytesReceived?
&gt; WiFi.Radio.1.Stats.BytesReceived?
WiFi.Radio.1.Stats.BytesReceived=1357902265
root@prplOS:~# ubus-cli WiFi.Radio.2.Stats.BytesReceived?
&gt; WiFi.Radio.2.Stats.BytesReceived?
WiFi.Radio.2.Stats.BytesReceived=3039975051
root@prplOS:~# ubus-cli WiFi.Radio.3.Stats.BytesReceived?
&gt; WiFi.Radio.3.Stats.BytesReceived?
WiFi.Radio.3.Stats.BytesReceived=863742279
root@prplOS:~# for i in 0 1 2; do wl -i wl$i counters | awk -v r="wl$i" '{for(i=1;i&lt;=NF;i++) if($i
=="rxbyte") print r,"rxbyte =",$(i+1)}'; done
wl0 rxbyte = 1357902681
wl1 rxbyte = 3039975325
wl2 rxbyte = 863749855</t>
  </si>
  <si>
    <t>ubus-cli WiFi.Radio.{i}.Stats.BytesSent=687094</t>
  </si>
  <si>
    <t>root@prplOS:~# ubus-cli WiFi.Radio.1.Stats.BytesSent?
&gt; WiFi.Radio.1.Stats.BytesSent?
WiFi.Radio.1.Stats.BytesSent=832551573
root@prplOS:~# ubus-cli WiFi.Radio.2.Stats.BytesSent?
&gt; WiFi.Radio.2.Stats.BytesSent?
WiFi.Radio.2.Stats.BytesSent=2534778274
root@prplOS:~# ubus-cli WiFi.Radio.3.Stats.BytesSent?
&gt; WiFi.Radio.3.Stats.BytesSent?
WiFi.Radio.3.Stats.BytesSent=2069910184
root@prplOS:~# for i in 0 1 2; do wl -i wl$i counters | awk -v r="wl$i" '{for(i=1;i&lt;=NF;i++) if($i
=="txbyte") print r,"txbyte =",$(i+1)}'; done
wl0 txbyte = 832603421
wl1 txbyte = 2534781228
wl2 txbyte = 2069912702</t>
  </si>
  <si>
    <t>ubus-cli WiFi.Radio.{i}.Stats.ErrorsReceived=0</t>
  </si>
  <si>
    <t>root@prplOS:~# ubus-cli WiFi.Radio.1.Stats.ErrorsReceived?
&gt; WiFi.Radio.1.Stats.ErrorsReceived?
WiFi.Radio.1.Stats.ErrorsReceived=8
root@prplOS:~# ubus-cli WiFi.Radio.2.Stats.ErrorsReceived?
&gt; WiFi.Radio.2.Stats.ErrorsReceived?
WiFi.Radio.2.Stats.ErrorsReceived=8
root@prplOS:~# ubus-cli WiFi.Radio.3.Stats.ErrorsReceived?
&gt; WiFi.Radio.3.Stats.ErrorsReceived?
WiFi.Radio.3.Stats.ErrorsReceived=8
root@prplOS:~# for i in 0 1 2; do wl -i wl$i counters | awk -v r="wl$i" '{for(i=1;i&lt;=NF;i++) if($i
=="rxerror") print r,"rxerror =",$(i+1)}'; done
wl0 rxerror = 8
wl1 rxerror = 8
wl2 rxerror = 8</t>
  </si>
  <si>
    <t>ubus-cli WiFi.Radio.{i}.Stats.ErrorsSent=0</t>
  </si>
  <si>
    <t>root@prplOS:~# ubus-cli WiFi.Radio.1.Stats.ErrorsSent?
&gt; WiFi.Radio.1.Stats.ErrorsSent?
WiFi.Radio.1.Stats.ErrorsSent=2
root@prplOS:~# ubus-cli WiFi.Radio.2.Stats.ErrorsSent?
&gt; WiFi.Radio.2.Stats.ErrorsSent?
WiFi.Radio.2.Stats.ErrorsSent=1
root@prplOS:~# ubus-cli WiFi.Radio.3.Stats.ErrorsSent?
&gt; WiFi.Radio.3.Stats.ErrorsSent?
WiFi.Radio.3.Stats.ErrorsSent=1
root@prplOS:~# for i in 0 1 2; do wl -i wl$i counters | awk -v r="wl$i" '{for(i=1;i&lt;=NF;i++) if($i
=="txerror") print r,"txerror =",$(i+1)}'; done
wl0 txerror = 2
wl1 txerror = 1
wl2 txerror = 1</t>
  </si>
  <si>
    <t>ubus-cli WiFi.Radio.{i}.Stats.FailedRetransCount=0</t>
  </si>
  <si>
    <t>root@prplOS:~# ubus-cli WiFi.Radio.1.Stats.FailedRetransCount?
&gt; WiFi.Radio.1.Stats.FailedRetransCount?
WiFi.Radio.1.Stats.FailedRetransCount=177863
root@prplOS:~# ubus-cli WiFi.Radio.2.Stats.FailedRetransCount?
&gt; WiFi.Radio.2.Stats.FailedRetransCount?
WiFi.Radio.2.Stats.FailedRetransCount=17011
root@prplOS:~# ubus-cli WiFi.Radio.3.Stats.FailedRetransCount?
&gt; WiFi.Radio.3.Stats.FailedRetransCount?
WiFi.Radio.3.Stats.FailedRetransCount=625464
root@prplOS:~# for i in 0 1 2; do wl -i wl$i counters | awk -v r="wl$i" '{for(i=1;i&lt;=NF;i++) if($i
=="txfail") print r,"txfail =",$(i+1)}'; done
wl0 txfail = 177863
wl1 txfail = 17011
wl2 txfail = 625464</t>
  </si>
  <si>
    <t>MultipleRetryCount</t>
  </si>
  <si>
    <t>ubus-cli WiFi.Radio.{i}.Stats.MultipleRetryCount=0</t>
  </si>
  <si>
    <t>2026-03-23_EIT: As per RD this should be mark as pass because d11_txretrie is also "0" and currently we are verifying BRCM's LLAPI workable or not.
 --------------------------------------------------------------------------------------------------------------------------------
 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5. Execute below command 
ubus-cli "WiFi.Radio.1.getRadioStats()"?
ubus-cli "WiFi.Radio.2.getRadioStats()"?
ubus-cli "WiFi.Radio.3.getRadioStats()"?
6. Verify retyr Count
  root@prplOS:~# ubus-cli WiFi.Radio.*.Stats.MultipleRetryCount?
&gt; WiFi.Radio.*.Stats.MultipleRetryCount?
WiFi.Radio.1.Stats.MultipleRetryCount=0
WiFi.Radio.2.Stats.MultipleRetryCount=0
WiFi.Radio.3.Stats.MultipleRetryCount=0
root@prplOS:~# for i in 0 1 2; do wl -i wl$i counters | awk -v r="wl$i" '{for(i=1;i&lt;=NF;i++) if($i=="d11_txretrie") print r,"d11_txretrie =",$(i+1)}'; done
wl0 d11_txretrie = 0
wl1 d11_txretrie = 0
wl2 d11_txretrie = 0
Also try using Noise generator</t>
  </si>
  <si>
    <t>ubus-cli WiFi.Radio.{i}.Stats.Noise=-90</t>
  </si>
  <si>
    <t>wl -i wl0 noise</t>
  </si>
  <si>
    <t>root@prplOS:~# ubus-cli WiFi.Radio.1.Stats.Noise?
&gt; WiFi.Radio.1.Stats.Noise?
WiFi.Radio.1.Stats.Noise=-96
root@prplOS:~# ubus-cli WiFi.Radio.2.Stats.Noise?
&gt; WiFi.Radio.2.Stats.Noise?
WiFi.Radio.2.Stats.Noise=-88
root@prplOS:~# ubus-cli WiFi.Radio.3.Stats.Noise?
&gt; WiFi.Radio.3.Stats.Noise?
WiFi.Radio.3.Stats.Noise=-100
root@prplOS:~# wl -i wl0 phy_noise
-96
root@prplOS:~# wl -i wl1 phy_noise
-88
root@prplOS:~# wl -i wl2 phy_noise
-99</t>
  </si>
  <si>
    <t>ubus-cli WiFi.Radio.{i}.Stats.RetransCount=0</t>
  </si>
  <si>
    <t>root@prplOS:~# ubus-cli WiFi.Radio.1.Stats.RetransCount?
&gt; WiFi.Radio.1.Stats.RetransCount?
WiFi.Radio.1.Stats.RetransCount=5929482
root@prplOS:~# ubus-cli WiFi.Radio.2.Stats.RetransCount?
&gt; WiFi.Radio.2.Stats.RetransCount?
WiFi.Radio.2.Stats.RetransCount=593873
root@prplOS:~# ubus-cli WiFi.Radio.3.Stats.RetransCount?
&gt; WiFi.Radio.3.Stats.RetransCount?
WiFi.Radio.3.Stats.RetransCount=46539454
root@prplOS:~# for i in 0 1 2; do wl -i wl$i counters | awk -v r="wl$i" '{for(i=1;i&lt;=NF;i++) if($i
=="txretrans") print r,"txretrans =",$(i+1)}'; done
wl0 txretrans = 5929485
wl1 txretrans = 593873
wl2 txretrans = 46539458</t>
  </si>
  <si>
    <t>RetryCount</t>
  </si>
  <si>
    <t>ubus-cli WiFi.Radio.{i}.Stats.RetryCount=0</t>
  </si>
  <si>
    <t>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5. Execute below command 
ubus-cli "WiFi.Radio.1.getRadioStats()"?
ubus-cli "WiFi.Radio.2.getRadioStats()"?
ubus-cli "WiFi.Radio.3.getRadioStats()"?
6. Verify retyr Count
root@prplOS:~# ubus-cli WiFi.Radio.*.Stats.RetryCount?
&gt; WiFi.Radio.*.Stats.RetryCount?
WiFi.Radio.1.Stats.RetryCount=0
WiFi.Radio.2.Stats.RetryCount=0
WiFi.Radio.3.Stats.RetryCount=0
Also try using Noise generator</t>
  </si>
  <si>
    <t xml:space="preserve">Ask BRCM how to test RetryCount in WIFI driver? </t>
  </si>
  <si>
    <t>Temperature</t>
  </si>
  <si>
    <t>ubus-cli WiFi.Radio.{i}.Stats.Temperature=0</t>
  </si>
  <si>
    <t>wl -i wl0 phy_tempsense</t>
  </si>
  <si>
    <t>root@prplOS:~# ubus-cli WiFi.Radio.1.Stats.Temperature?
&gt; WiFi.Radio.1.Stats.Temperature?
WiFi.Radio.1.Stats.Temperature=74
root@prplOS:~# ubus-cli WiFi.Radio.2.Stats.Temperature?
&gt; WiFi.Radio.2.Stats.Temperature?
WiFi.Radio.2.Stats.Temperature=73
root@prplOS:~# ubus-cli WiFi.Radio.3.Stats.Temperature?
&gt; WiFi.Radio.3.Stats.Temperature?
WiFi.Radio.3.Stats.Temperature=67
root@prplOS:~# wl -i wl0 phy_tempsense
74 (0x4a)
root@prplOS:~# wl -i wl1 phy_tempsense
73 (0x49)
root@prplOS:~# wl -i wl2 phy_tempsense
67 (0x43)</t>
  </si>
  <si>
    <t>TxBeamformingCapsAvailable</t>
  </si>
  <si>
    <t>ubus-cli WiFi.Radio.{i}.TxBeamformingCapsAvailable="HE_SU_BF,HE_MU_BF"</t>
  </si>
  <si>
    <t>1. Check API value:
root@prplOS:/# ubus-cli WiFi.Radio.*.TxBeamformingCapsAvailable?
&gt; WiFi.Radio.*.TxBeamformingCapsAvailable?
WiFi.Radio.1.TxBeamformingCapsAvailable="VHT_SU_BF,HE_SU_BF,HE_MU_BF,EHT_SU_BF,EHT_MU_80_BF,EHT_MU_160_BF,EHT_MU_320_BF"
WiFi.Radio.2.TxBeamformingCapsAvailable="HE_SU_BF,HE_MU_BF,EHT_SU_BF,EHT_MU_80_BF,EHT_MU_160_BF,EHT_MU_320_BF"
WiFi.Radio.3.TxBeamformingCapsAvailable="HE_SU_BF,HE_MU_BF,EHT_SU_BF,EHT_MU_80_BF,EHT_MU_160_BF,EHT_MU_320_BF"</t>
  </si>
  <si>
    <t>TxBeamformingCapsEnabled</t>
  </si>
  <si>
    <t>ubus-cli WiFi.Radio.{i}.TxBeamformingCapsEnabled="DEFAULT"</t>
  </si>
  <si>
    <t>1. Check API default value:
root@prplOS:/# ubus-cli WiFi.Radio.*.TxBeamformingCapsEnabled?
&gt; WiFi.Radio.*.TxBeamformingCapsEnabled?
WiFi.Radio.1.TxBeamformingCapsEnabled="DEFAULT"
WiFi.Radio.2.TxBeamformingCapsEnabled="DEFAULT"
WiFi.Radio.3.TxBeamformingCapsEnabled="DEFAULT"
2. Modify the API value to "Auto"、"On、"Off"
ubus-cli WiFi.Radio.*.TxBeamformingCapsEnabled="On"
ubus-cli WiFi.Radio.*.TxBeamformingCapsEnabled="Off"
ubus-cli WiFi.Radio.*.TxBeamformingCapsEnabled="Auto"
3. Check API value again, when value="On" it will get 1 and "Off" will be 0.
root@prplOS:/# ubus-cli WiFi.Radio.*.TxBeamformingCapsEnabled?
&gt; WiFi.Radio.*.TxBeamformingCapsEnabled?
WiFi.Radio.1.TxBeamformingCapsEnabled="1"
WiFi.Radio.2.TxBeamformingCapsEnabled="1"
WiFi.Radio.3.TxBeamformingCapsEnabled="1"
root@prplOS:/# ubus-cli WiFi.Radio.*.TxBeamformingCapsEnabled?
&gt; WiFi.Radio.*.TxBeamformingCapsEnabled?
WiFi.Radio.1.TxBeamformingCapsEnabled="0"
WiFi.Radio.2.TxBeamformingCapsEnabled="0"
WiFi.Radio.3.TxBeamformingCapsEnabled="0"
root@prplOS:/# ubus-cli WiFi.Radio.*.TxBeamformingCapsEnabled?
&gt; WiFi.Radio.*.TxBeamformingCapsEnabled?
WiFi.Radio.1.TxBeamformingCapsEnabled="Auto"
WiFi.Radio.2.TxBeamformingCapsEnabled="Auto"
WiFi.Radio.3.TxBeamformingCapsEnabled="Auto"</t>
  </si>
  <si>
    <t>[0319] Verified in version 4.0.3v1.4</t>
  </si>
  <si>
    <t>ubus-cli WiFi.SSID.{i}.Stats.MultipleRetryCount=0</t>
  </si>
  <si>
    <t>ARC 
Verify using noise generator but the counter never increase with noise and without noise</t>
  </si>
  <si>
    <t>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5. Execute below command 
ubus-cli "WiFi.SSID.4.getSSIDStats()"?
ubus-cli "WiFi.SSID.6.getSSIDStats()"?
ubus-cli "WiFi.SSID.8.getSSIDStats()"?
6. Verify retyr Count
root@prplOS:~# ubus-cli WiFi.SSID.*.Stats.MultipleRetryCount?
&gt; WiFi.SSID.*.Stats.MultipleRetryCount?
WiFi.SSID.4.Stats.MultipleRetryCount=0
WiFi.SSID.6.Stats.MultipleRetryCount=0
WiFi.SSID.8.Stats.MultipleRetryCount=0
Also try using Noise generator</t>
  </si>
  <si>
    <t xml:space="preserve">Ask BRCM how to test it in WIFI driver? </t>
  </si>
  <si>
    <t>ubus-cli WiFi.SSID.{i}.Stats.RetryCount=0</t>
  </si>
  <si>
    <t>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5. Execute below command 
ubus-cli "WiFi.SSID.4.getSSIDStats()"?
ubus-cli "WiFi.SSID.6.getSSIDStats()"?
ubus-cli "WiFi.SSID.8.getSSIDStats()"?
6. Verify retry Count
root@prplOS:~# ubus-cli WiFi.SSID.*.Stats.RetryCount?
&gt; WiFi.SSID.*.Stats.RetryCount?
WiFi.SSID.4.Stats.RetryCount=0
WiFi.SSID.6.Stats.RetryCount=0
WiFi.SSID.8.Stats.RetryCount=0
Also try using Noise generator</t>
  </si>
  <si>
    <t>Ask BRCM how to test it in WIFI driver?</t>
  </si>
  <si>
    <t>DownlinkRateSpec</t>
  </si>
  <si>
    <t>ubus-cli WiFi.AccessPoint.{i}.AssociatedDevice.{i}.DownlinkRateSpec="he_11_20_2_1600"</t>
  </si>
  <si>
    <t xml:space="preserve">1. Connect WiFi Station to GW
2. Check DownlinkRateSpec
root@prplOS:~# ubus-cli WiFi.AccessPoint.*.AssociatedDevice.*.DownlinkRateSpec?
&gt; WiFi.AccessPoint.*.AssociatedDevice.*.DownlinkRateSpec?
WiFi.AccessPoint.1.AssociatedDevice.1.DownlinkRateSpec="leg_0_20_1_0"
WiFi.AccessPoint.3.AssociatedDevice.1.DownlinkRateSpec="leg_0_0_1_0"
WiFi.AccessPoint.5.AssociatedDevice.1.DownlinkRateSpec="leg_0_20_1_0"
3. Check Station capabilities
root@prplOS:~# ubus-cli WiFi.AccessPoint.1.AssociatedDevice.1.DownlinkBandwidth?; ub
us-cli WiFi.AccessPoint.1.AssociatedDevice.1.DownlinkShortGuard?; ubus-cli WiFi.Acce
ssPoint.1.AssociatedDevice.1.LinkBandwidth?; ubus-cli WiFi.AccessPoint.1.AssociatedD
evice.1.MaxRxSpatialStreamsSupported?
&gt; WiFi.AccessPoint.1.AssociatedDevice.1.DownlinkBandwidth?
WiFi.AccessPoint.1.AssociatedDevice.1.DownlinkBandwidth=80
&gt; WiFi.AccessPoint.1.AssociatedDevice.1.DownlinkShortGuard?
WiFi.AccessPoint.1.AssociatedDevice.1.DownlinkShortGuard=1
&gt; WiFi.AccessPoint.1.AssociatedDevice.1.LinkBandwidth?
WiFi.AccessPoint.1.AssociatedDevice.1.LinkBandwidth="20MHz"
&gt; WiFi.AccessPoint.1.AssociatedDevice.1.MaxRxSpatialStreamsSupported?
WiFi.AccessPoint.1.AssociatedDevice.1.MaxRxSpatialStreamsSupported=4
root@prplOS:~#
root@prplOS:~# ubus-cli WiFi.AccessPoint.3.AssociatedDevice.1.DownlinkBandwidth?; ub
us-cli WiFi.AccessPoint.3.AssociatedDevice.1.DownlinkShortGuard?; ubus-cli WiFi.Acce
ssPoint.3.AssociatedDevice.1.LinkBandwidth?; ubus-cli WiFi.AccessPoint.3.AssociatedD
evice.1.MaxRxSpatialStreamsSupported?
&gt; WiFi.AccessPoint.3.AssociatedDevice.1.DownlinkBandwidth?
WiFi.AccessPoint.3.AssociatedDevice.1.DownlinkBandwidth=320
&gt; WiFi.AccessPoint.3.AssociatedDevice.1.DownlinkShortGuard?
WiFi.AccessPoint.3.AssociatedDevice.1.DownlinkShortGuard=1
&gt; WiFi.AccessPoint.3.AssociatedDevice.1.LinkBandwidth?
WiFi.AccessPoint.3.AssociatedDevice.1.LinkBandwidth="320MHz"
&gt; WiFi.AccessPoint.3.AssociatedDevice.1.MaxRxSpatialStreamsSupported?
WiFi.AccessPoint.3.AssociatedDevice.1.MaxRxSpatialStreamsSupported=4
root@prplOS:~#
root@prplOS:~# ubus-cli WiFi.AccessPoint.5.AssociatedDevice.1.DownlinkBandwidth?; ub
us-cli WiFi.AccessPoint.5.AssociatedDevice.1.DownlinkShortGuard?; ubus-cli WiFi.Acce
ssPoint.5.AssociatedDevice.1.LinkBandwidth?; ubus-cli WiFi.AccessPoint.5.AssociatedD
evice.1.MaxRxSpatialStreamsSupported?
&gt; WiFi.AccessPoint.5.AssociatedDevice.1.DownlinkBandwidth?
WiFi.AccessPoint.5.AssociatedDevice.1.DownlinkBandwidth=20
&gt; WiFi.AccessPoint.5.AssociatedDevice.1.DownlinkShortGuard?
WiFi.AccessPoint.5.AssociatedDevice.1.DownlinkShortGuard=1
&gt; WiFi.AccessPoint.5.AssociatedDevice.1.LinkBandwidth?
WiFi.AccessPoint.5.AssociatedDevice.1.LinkBandwidth="20MHz"
&gt; WiFi.AccessPoint.5.AssociatedDevice.1.MaxRxSpatialStreamsSupported?
WiFi.AccessPoint.5.AssociatedDevice.1.MaxRxSpatialStreamsSupported=4
</t>
  </si>
  <si>
    <t xml:space="preserve">
root@prplOS:/# iw dev wl0 station dump
Station 00:60:f3:25:aa:59 (on wl0)
        inactive time:  3000 ms
        rx bytes:       9828
        rx packets:     38
        tx bytes:       152
        tx packets:     14
        signal:         -39 [-39] dBm
        signal avg:     -38 [-38] dBm
        tx bitrate:     4899.0 MBit/s 160MHz
        rx bitrate:     5187.1 MBit/s 160MHz
root@prplOS:/# wl -i wl0 sta_info 00:60:f3:25:aa:59
[VER 8] STA 00:60:F3:25:AA:59:
         OMI 0x32c3: 160Mhz rx=4ss tx=4ss ER_SU_DISABLE
rx nrate
eht mcs 12 Nss 4 Tx Exp 0 bw160 ldpc 2xLTF GI 0.8us auto
link bandwidth = 160 MHZ
Frequency Bands Supported: 5G
###6G (11be, 4x4, 320MHz)
root@prplOS:/# iw dev wl1 station dump
Station 00:60:f3:31:97:e4 (on wl1)
        inactive time:  3000 ms
        rx bytes:       43391
        rx packets:     344
        tx bytes:       528
        tx packets:     16
        signal:         -68 [-66] dBm
        signal avg:     -62 [-60] dBm
        tx bitrate:     9074.0 MBit/s
        rx bitrate:     8645.3 MBit/s
root@prplOS:/# wl -i wl1 sta_info 00:60:f3:31:97:e4
[VER 8] STA 00:60:F3:31:97:E4:
         OMI 0x3303: 320Mhz rx=4ss tx=4ss ER_SU_DISABLE
rx nrate
eht mcs 10 Nss 4 Tx Exp 0 bw320 ldpc 2xLTF GI 0.8us auto
link bandwidth = 320 MHZ
Frequency Bands Supported: 6G
###2.4G 6G (11be, 2x2, 40MHz)
root@prplOS:/# iw dev wl2 station dump
Station c8:15:4e:89:fa:e9 (on wl2)
        inactive time:  13000 ms
        rx bytes:       1485
        rx packets:     12
        tx bytes:       0
        tx packets:     6
        signal:         -46 [-47] dBm
        signal avg:     -46 [-48] dBm
        tx bitrate:     1.0 MBit/s
        rx bitrate:     117.0 MBit/s 40MHz
root@prplOS:/# wl -i wl2 sta_info c8:15:4e:89:fa:e9
[VER 8] STA C8:15:4E:89:FA:E9:
         OMI 0x1241: 40Mhz rx=2ss tx=2ss ER_SU_DISABLE
rx nrate
eht mcs 3 Nss 2 Tx Exp 0 bw40 ldpc 4xLTF GI 3.2us auto
link bandwidth = 40 MHZ
Frequency Bands Supported: 2.4G 5G 6G"</t>
  </si>
  <si>
    <r>
      <rPr>
        <sz val="9"/>
        <color rgb="FF000000"/>
        <rFont val="Calibri"/>
        <scheme val="minor"/>
      </rPr>
      <t xml:space="preserve">2026-03-13_EIT: Follow RD instruction  and found Pass
root@prplOS:~# ubus-cli WiFi.AccessPoint.1.? | grep linkRateSpec
WiFi.AccessPoint.1.AssociatedDevice.1.DownlinkRateSpec="he_11_40_4_800"
WiFi.AccessPoint.1.AssociatedDevice.1.UplinkRateSpec="he_11_40_2_800"
root@prplOS:~# ubus-cli WiFi.AccessPoint.3.? | grep linkRateSpec
WiFi.AccessPoint.3.AssociatedDevice.1.DownlinkRateSpec="he_11_160_2_800"
WiFi.AccessPoint.3.AssociatedDevice.1.UplinkRateSpec="he_10_160_2_800"
WiFi.AccessPoint.3.AssociatedDevice.1.AffiliatedSta.1.DownlinkRateSpec="unk_0_0_0_0"
WiFi.AccessPoint.3.AssociatedDevice.1.AffiliatedSta.1.UplinkRateSpec="unk_0_0_0_0"
root@prplOS:~# ubus-cli WiFi.AccessPoint.5.? | grep linkRateSpec
WiFi.AccessPoint.5.AssociatedDevice.1.DownlinkRateSpec="leg_0_20_1_0"
WiFi.AccessPoint.5.AssociatedDevice.1.UplinkRateSpec="vht_11_40_3_800"
-------------------------------------------------------------------------------------
[0313]Tracy : Please use the following commands to read the Data Model for now (getStationStats() needs to be called first for the values to be sync to the Data Model.)
1.ubus call WiFi.AccessPoint.1 getStationStats {} &gt; /dev/null
2.ubus-cli WiFi.AccessPoint.1.? | grep linkRateSpec
------------------------------------------------------------------------------------------
2026-03-03_EIT: verified and found still exist in version 4.0.3
 - In API the DownlinkRateSpec always return </t>
    </r>
    <r>
      <rPr>
        <sz val="9"/>
        <color rgb="FFFF0000"/>
        <rFont val="Calibri"/>
        <scheme val="minor"/>
      </rPr>
      <t xml:space="preserve">leg_0_20_1_0
</t>
    </r>
    <r>
      <rPr>
        <sz val="9"/>
        <color rgb="FF000000"/>
        <rFont val="Calibri"/>
        <scheme val="minor"/>
      </rPr>
      <t xml:space="preserve"> leg → standard Wi-Fi rate (Legacy)
0 → Band: 2.4 GHz
20 → channel width: 20 MHz 
1 → spatial stream: 1 
0 → guard interval: normal
Base on Station Information for example 5G Station:
5G -&gt; BW=160MHz, Spatial Stream=4 , GI=1.6 so the expected result should be  leg_1_160_4_1
Band field (&lt;band&gt;)
Band value	Meaning
0	2.4 GHz
1	5 GHz
2	6 GHz
Channel Width field (&lt;channel_width&gt;)
Value	Channel Width
20	20 MHz
40	40 MHz
80	80 MHz
160	160 MHz
Spatial Streams field (&lt;nSS&gt;)
Value	Meaning
1	1 spatial stream (1×1)
2	2 spatial streams (2×2)
3	3 spatial streams (3×3)
4	4 spatial streams (4×4)
Guard Interval field (&lt;gi&gt;)
GI value	Meaning
0	Normal GI
1	Short GI
0.8 µs	Short GI
1.6 µs	Normal / longer GI
3.2 µs	Extra-long GI (rare, robustness-focused)</t>
    </r>
  </si>
  <si>
    <t>MaxDownlinkRateSupported</t>
  </si>
  <si>
    <t>ubus-cli WiFi.AccessPoint.{i}.AssociatedDevice.{i}.MaxDownlinkRateSupported=300000</t>
  </si>
  <si>
    <t>1. Connect WiFi Station to GW
2. Verify Station MaxDownlinkRateSupported
root@prplOS:/# ubus-cli WiFi.AccessPoint.*.AssociatedDevice.*.MaxDownlinkRateSupported?
&gt; WiFi.AccessPoint.*.AssociatedDevice.*.MaxDownlinkRateSupported?
WiFi.AccessPoint.1.AssociatedDevice.1.MaxDownlinkRateSupported=4803897
WiFi.AccessPoint.3.AssociatedDevice.1.MaxDownlinkRateSupported=4803897
WiFi.AccessPoint.5.AssociatedDevice.1.MaxDownlinkRateSupported=300000</t>
  </si>
  <si>
    <t xml:space="preserve">
root@prplOS:/# wl -i wl0 sta_info 00:60:f3:25:aa:59 | grep -E 'nrate|mcs|Max Rate'
tx nrate
eht mcs 12 Nss 4 Tx Exp 0 bw160 txbf ldpc 2xLTF GI 1.6us auto
rx nrate
eht mcs 8 Nss 4 Tx Exp 0 bw160 ldpc 2xLTF GI 0.8us auto
Max Rate = 4537 Mbps
root@prplOS:/#
root@prplOS:/# wl -i wl1 sta_info 00:60:f3:31:97:e4 | grep -E 'nrate|mcs|Max Rate'
tx nrate
eht mcs 12 Nss 4 Tx Exp 0 bw320 txbf ldpc 2xLTF GI 1.6us auto
rx nrate
eht mcs 8 Nss 4 Tx Exp 0 bw320 ldpc 2xLTF GI 0.8us auto
Max Rate = 9074 Mbps
root@prplOS:/# wl -i wl2 sta_info c8:15:4e:89:fa:e9  | grep -E 'nrate|mcs|Max Rate'
tx nrate
eht mcs 13 Nss 2 Tx Exp 2 bw40 ldpc 2xLTF GI 1.6us auto
rx nrate
eht mcs 3 Nss 2 Tx Exp 0 bw40 ldpc 4xLTF GI 3.2us auto
Max Rate = 573 Mbps</t>
  </si>
  <si>
    <t>| Interface | Band    | BW      | NSS | Max Rate      |
| --------- | ------- | ------- | --- | ------------- |
| wl0 (AP1) | 5 GHz   | 160 MHz | 4   | **4537 Mbps** |
| wl1 (AP3) | 6 GHz   | 320 MHz | 4   | **9074 Mbps** |
| wl2 (AP5) | 2.4 GHz | 40 MHz  | 2   | **573 Mbps**  |</t>
  </si>
  <si>
    <t>MaxRxSpatialStreamsSupported</t>
  </si>
  <si>
    <t>ubus-cli WiFi.AccessPoint.{i}.AssociatedDevice.{i}.MaxRxSpatialStreamsSupported=2</t>
  </si>
  <si>
    <t>1. Connect WiFi Station to GW
2. Verify Station MaxRxSpatialStreamsSupported
root@prplOS:/# ubus-cli WiFi.AccessPoint.*.AssociatedDevice.*.? | grep MaxRxSpatialStreamsSupported
root@prplOS:/# ubus-cli WiFi.AccessPoint.*.AssociatedDevice.*.? | grep MaxRxSpat
ialStreamsSupported
WiFi.AccessPoint.1.AssociatedDevice.1.MaxRxSpatialStreamsSupported=4
WiFi.AccessPoint.3.AssociatedDevice.1.MaxRxSpatialStreamsSupported=4
WiFi.AccessPoint.5.AssociatedDevice.1.MaxRxSpatialStreamsSupported=4</t>
  </si>
  <si>
    <r>
      <rPr>
        <sz val="9"/>
        <color rgb="FF000000"/>
        <rFont val="Calibri"/>
        <scheme val="minor"/>
      </rPr>
      <t xml:space="preserve">root@prplOS:/# wl -i wl0 sta_info 34:19:4D:A4:B5:09 | grep Nss
tx nrate
eht mcs 9 Nss 4 Tx Exp 0 bw20 txbf ldpc 2xLTF GI 0.8us auto
rx nrate
eht mcs 9 Nss 4 Tx Exp 0 bw20 ldpc 2xLTF GI 0.8us auto
root@prplOS:/# wl -i wl1 sta_info 38:06:E6:92:B0:4A | grep Nss
tx nrate
eht mcs 11 Nss 4 Tx Exp 0 bw20 txbf ldpc 2xLTF GI 0.8us auto
rx nrate
eht mcs 12 Nss </t>
    </r>
    <r>
      <rPr>
        <sz val="9"/>
        <color rgb="FFC00000"/>
        <rFont val="Calibri"/>
        <scheme val="minor"/>
      </rPr>
      <t>1</t>
    </r>
    <r>
      <rPr>
        <sz val="9"/>
        <color rgb="FF000000"/>
        <rFont val="Calibri"/>
        <scheme val="minor"/>
      </rPr>
      <t xml:space="preserve"> Tx Exp 0 bw20 ldpc 2xLTF GI 0.8us auto
root@prplOS:/# wl -i wl2 sta_info 34:19:4D:A4:B4:33 | grep Nss
tx nrate
eht mcs 10 Nss 3 Tx Exp 1 bw20 ldpc 2xLTF GI 0.8us auto
rx nrate
eht mcs 13 Nss </t>
    </r>
    <r>
      <rPr>
        <sz val="9"/>
        <color rgb="FFC00000"/>
        <rFont val="Calibri"/>
        <scheme val="minor"/>
      </rPr>
      <t>1</t>
    </r>
    <r>
      <rPr>
        <sz val="9"/>
        <color rgb="FF000000"/>
        <rFont val="Calibri"/>
        <scheme val="minor"/>
      </rPr>
      <t xml:space="preserve"> Tx Exp 0 bw20 txbf ldpc 2xLTF GI 0.8us auto</t>
    </r>
  </si>
  <si>
    <r>
      <rPr>
        <sz val="9"/>
        <color rgb="FF000000"/>
        <rFont val="Calibri"/>
        <scheme val="minor"/>
      </rPr>
      <t xml:space="preserve">2026-03-13_EIT: Follow RD Comment " Data Model may be larger than the value reported by wl sta_info, which is expected"
root@prplOS:~# wl -i wl1 sta_info 38:06:E6:92:B0:4A | grep -E 'Nss|nrate'
tx nrate
he mcs 11 Nss 2 Tx Exp 0 bw160 ldpc 2xLTF GI 1.6us auto
rx nrate
he mcs 10 Nss 2 Tx Exp 0 bw160 txbf ldpc 2xLTF GI 1.6us auto
root@prplOS:~# wl -i wl1 sta_info 38:06:E6:92:B0:4A | grep -E 'Nss|nrate'
tx nrate
he mcs 11 Nss 2 Tx Exp 0 bw160 ldpc 2xLTF GI 1.6us auto
rx nrate
he mcs 10 Nss 2 Tx Exp 0 bw160 txbf ldpc 2xLTF GI 1.6us auto
root@prplOS:~# wl -i wl2 sta_info 34:19:4D:A4:B4:33 | grep -E 'Nss|nrate'
wl: Bad Address
root@prplOS:~# ubus-cli WiFi.AccessPoint.*.AssociatedDevice.*.? | grep MaxRxSpatial
WiFi.AccessPoint.1.AssociatedDevice.1.MaxRxSpatialStreamsSupported=4
WiFi.AccessPoint.3.AssociatedDevice.1.MaxRxSpatialStreamsSupported=4
WiFi.AccessPoint.5.AssociatedDevice.1.MaxRxSpatialStreamsSupported=4
------------------------------------------------------------------------------------------------------------------------
[0313]Tracy : MaxRxSpatialStreamsSupported in the Data Model may be larger than the value reported by wl sta_info, which is expected.
The Data Model records the maximum spatial streams capability observed for the station, while wl sta_info reflects the currently used spatial streams.
--
2026-03-03_EIT: verified and found 2.4G still failed in version 4.0.3
root@prplOS:~#  ubus-cli WiFi.AccessPoint.*.AssociatedDevice.*.? | grep MaxRxSpatial
StreamsSupported
WiFi.AccessPoint.1.AssociatedDevice.1.MaxRxSpatialStreamsSupported=4
WiFi.AccessPoint.3.AssociatedDevice.1.MaxRxSpatialStreamsSupported=4
WiFi.AccessPoint.5.AssociatedDevice.1.MaxRxSpatialStreamsSupported=4
root@prplOS:~#  wl -i wl0 sta_info 34:19:4D:A4:B5:09 | grep -E 'Nss|nrate'
tx nrate
eht mcs 11 Nss 4 Tx Exp 0 bw80 txbf ldpc 2xLTF GI 1.6us auto
rx nrate
eht mcs 11 Nss 4 Tx Exp 0 bw80 ldpc 2xLTF GI 0.8us auto
root@prplOS:~#  wl -i wl1 sta_info 38:06:E6:92:B0:4A | grep -E 'Nss|nrate'
tx nrate
eht mcs 11 Nss 4 Tx Exp 0 bw320 txbf ldpc 2xLTF GI 1.6us auto
rx nrate
eht mcs 10 Nss 4 Tx Exp 0 bw320 ldpc 2xLTF GI 0.8us auto
root@prplOS:~# wl -i wl2 sta_info 34:19:4D:A4:B4:33 | grep -E 'Nss|nrate'
tx nrate
eht mcs 11 Nss 4 Tx Exp 0 bw20 ldpc 2xLTF GI 1.6us auto
rx nrate
eht mcs 10 Nss </t>
    </r>
    <r>
      <rPr>
        <sz val="9"/>
        <color rgb="FFFF0000"/>
        <rFont val="Calibri"/>
        <scheme val="minor"/>
      </rPr>
      <t>1</t>
    </r>
    <r>
      <rPr>
        <sz val="9"/>
        <color rgb="FF000000"/>
        <rFont val="Calibri"/>
        <scheme val="minor"/>
      </rPr>
      <t xml:space="preserve"> Tx Exp 0 bw20 txbf ldpc 2xLTF GI 0.8us auto
root@prplOS:~#
 The station supports 4 spatial streams, but immediately after association, wlx sta_info reported only 1 spatial stream for the 6 GHz and 2.4 GHz stations. After reboot (or full re-association), the reported number of spatial streams matched the station’s actual capability.
</t>
    </r>
  </si>
  <si>
    <t>MaxTxSpatialStreamsSupported</t>
  </si>
  <si>
    <t>ubus-cli WiFi.AccessPoint.{i}.AssociatedDevice.{i}.MaxTxSpatialStreamsSupported=2</t>
  </si>
  <si>
    <t>1. Connect WiFi Station to GW
2. Verify Station MaxTxSpatialStreamsSupported
root@prplOS:/# ubus-cli WiFi.AccessPoint.*.AssociatedDevice.*.? | grep MaxTxSpatialStreamsSupported
WiFi.AccessPoint.1.AssociatedDevice.1.MaxTxSpatialStreamsSupported=4
WiFi.AccessPoint.3.AssociatedDevice.1.MaxTxSpatialStreamsSupported=4
WiFi.AccessPoint.5.AssociatedDevice.1.MaxTxSpatialStreamsSupported=4</t>
  </si>
  <si>
    <r>
      <rPr>
        <sz val="9"/>
        <color rgb="FF000000"/>
        <rFont val="Calibri"/>
        <scheme val="minor"/>
      </rPr>
      <t xml:space="preserve">
root@prplOS:/# wl -i wl0 sta_info 34:19:4D:A4:B5:09 | grep Nss
tx nrate
eht mcs 9 Nss 4 Tx Exp 0 bw20 txbf ldpc 2xLTF GI 0.8us auto
rx nrate
eht mcs 9 Nss 4 Tx Exp 0 bw20 ldpc 2xLTF GI 0.8us auto 
root@prplOS:/# wl -i wl1 sta_info 38:06:E6:92:B0:4A | grep Nss
tx nrate
eht mcs 11 Nss 4 Tx Exp 0 bw20 txbf ldpc 2xLTF GI 0.8us auto
rx nrate
eht mcs 12 Nss 1 Tx Exp 0 bw20 ldpc 2xLTF GI 0.8us auto
root@prplOS:/# wl -i wl2 sta_info 34:19:4D:A4:B4:33 | grep Nss
tx nrate
eht mcs 10 Nss </t>
    </r>
    <r>
      <rPr>
        <sz val="9"/>
        <color rgb="FFC00000"/>
        <rFont val="Calibri"/>
        <scheme val="minor"/>
      </rPr>
      <t>3</t>
    </r>
    <r>
      <rPr>
        <sz val="9"/>
        <color rgb="FF000000"/>
        <rFont val="Calibri"/>
        <scheme val="minor"/>
      </rPr>
      <t xml:space="preserve"> Tx Exp 1 bw20 ldpc 2xLTF GI 0.8us auto
rx nrate
eht mcs 13 Nss 1 Tx Exp 0 bw20 txbf ldpc 2xLTF GI 0.8us auto</t>
    </r>
  </si>
  <si>
    <r>
      <rPr>
        <sz val="9"/>
        <color rgb="FF000000"/>
        <rFont val="Calibri"/>
        <scheme val="minor"/>
      </rPr>
      <t>2026-03-03_EIT: verified and found fix in version 4.0.3
root@prplOS:~#  ubus-cli WiFi.AccessPoint.*.AssociatedDevice.*.? | grep MaxTxSpatial
StreamsSupported
WiFi.AccessPoint.1.AssociatedDevice.1.MaxTxSpatialStreamsSupported=4
WiFi.AccessPoint.3.AssociatedDevice.1.MaxTxSpatialStreamsSupported=4
WiFi.AccessPoint.5.AssociatedDevice.1.MaxTxSpatialStreamsSupported=4
root@prplOS:~#
root@prplOS:~#  wl -i wl0 sta_info 34:19:4D:A4:B5:09 | grep -E 'Nss|nrate'
tx nrate
eht mcs 11</t>
    </r>
    <r>
      <rPr>
        <sz val="9"/>
        <color rgb="FF0070C0"/>
        <rFont val="Calibri"/>
        <scheme val="minor"/>
      </rPr>
      <t xml:space="preserve"> Nss 4 </t>
    </r>
    <r>
      <rPr>
        <sz val="9"/>
        <color rgb="FF000000"/>
        <rFont val="Calibri"/>
        <scheme val="minor"/>
      </rPr>
      <t>Tx Exp 0 bw80 ldpc 2xLTF GI 1.6us auto
rx nrate
eht mcs 11 Nss 4 Tx Exp 0 bw80 ldpc 2xLTF GI 1.6us auto
root@prplOS:~#  wl -i wl1 sta_info 38:06:E6:92:B0:4A | grep -E 'Nss|nrate'
tx nrate
eht mcs 11</t>
    </r>
    <r>
      <rPr>
        <sz val="9"/>
        <color rgb="FF0070C0"/>
        <rFont val="Calibri"/>
        <scheme val="minor"/>
      </rPr>
      <t xml:space="preserve"> Nss 4</t>
    </r>
    <r>
      <rPr>
        <sz val="9"/>
        <color rgb="FF000000"/>
        <rFont val="Calibri"/>
        <scheme val="minor"/>
      </rPr>
      <t xml:space="preserve"> Tx Exp 0 bw320 ldpc 2xLTF GI 1.6us auto
rx nrate
eht mcs 10 Nss 4 Tx Exp 0 bw320 ldpc 2xLTF GI 1.6us auto
root@prplOS:~# wl -i wl2 sta_info 34:19:4D:A4:B4:33 | grep -E 'Nss|nrate'
tx nrate
eht mcs 11 </t>
    </r>
    <r>
      <rPr>
        <sz val="9"/>
        <color rgb="FF0070C0"/>
        <rFont val="Calibri"/>
        <scheme val="minor"/>
      </rPr>
      <t xml:space="preserve">Nss 4 </t>
    </r>
    <r>
      <rPr>
        <sz val="9"/>
        <color rgb="FF000000"/>
        <rFont val="Calibri"/>
        <scheme val="minor"/>
      </rPr>
      <t>Tx Exp 0 bw20 ldpc 2xLTF GI 1.6us auto
rx nrate
eht mcs 11 Nss 1 Tx Exp 0 bw20 txbf ldpc 2xLTF GI 0.8us auto
root@prplOS:~# 
The station supports up to 4 spatial streams, but for 2.4 GHz, wlx sta_info reports 3 spatial streams. After reboot (or full re-association), the reported number of spatial streams matched the station’s actual capability.</t>
    </r>
  </si>
  <si>
    <t>MaxUplinkRateSupported</t>
  </si>
  <si>
    <t>ubus-cli WiFi.AccessPoint.{i}.AssociatedDevice.{i}.MaxUplinkRateSupported=300000</t>
  </si>
  <si>
    <t xml:space="preserve"> 1. Connect WiFi Station to GW
2. Verify Station MaxUplinkRateSupported
root@prplOS:/# ubus-cli WiFi.AccessPoint.*.AssociatedDevice.*.MaxUplinkRateSuppo
rted?
&gt; WiFi.AccessPoint.*.AssociatedDevice.*.MaxUplinkRateSupported?
WiFi.AccessPoint.1.AssociatedDevice.1.MaxUplinkRateSupported=4803897
WiFi.AccessPoint.3.AssociatedDevice.1.MaxUplinkRateSupported=4803897
WiFi.AccessPoint.5.AssociatedDevice.1.MaxUplinkRateSupported=300000</t>
  </si>
  <si>
    <t>RrmCapabilities</t>
  </si>
  <si>
    <t>ubus-cli WiFi.AccessPoint.{i}.AssociatedDevice.{i}.RrmCapabilities="LINK,NEIGHBOR,BEACON_ACTIVE,BEACON_PASSIVE,BEACON_TABLE,LCI,AP_CHANNEL,FTM"</t>
  </si>
  <si>
    <t>1. Connect WiFi Station to GW
2. Verify Station RrmCapabilities
root@prplOS:/# ubus-cli WiFi.AccessPoint.*.AssociatedDevice.*.RrmCapabilities?
&gt; WiFi.AccessPoint.*.AssociatedDevice.*.RrmCapabilities?
WiFi.AccessPoint.1.AssociatedDevice.5.RrmCapabilities="LINK,NEIGHBOR,BEACON_ACTIVE,BEACON_PASSIVE,BEACON_TABLE,STATS,AP_CHANNEL"
WiFi.AccessPoint.3.AssociatedDevice.2.RrmCapabilities="LINK,NEIGHBOR,BEACON_ACTIVE,BEACON_PASSIVE,BEACON_TABLE,STATS,AP_CHANNEL"
WiFi.AccessPoint.5.AssociatedDevice.3.RrmCapabilities="LINK,NEIGHBOR,BEACON_ACTIVE,BEACON_PASSIVE,BEACON_TABLE,STATS,AP_CHANNEL"</t>
  </si>
  <si>
    <t>root@prplOS:/# wl -i wl0 sta_info 56:50:99:6B:A0:89 | grep RRM
RRM capability = 0x10873  Link_Measurement Neighbor_Report Beacon_Passive Beacon_Active Beacon_Table Statistics_Measurement AP_Channel_Report
root@prplOS:/# wl -i wl1 sta_info 56:50:99:6B:A0:89 | grep RRM
RRM capability = 0x10873  Link_Measurement Neighbor_Report Beacon_Passive Beacon_Active Beacon_Table Statistics_Measurement AP_Channel_Report
root@prplOS:/# wl -i wl2 sta_info 56:50:99:6B:A0:89 | grep RRM
RRM capability = 0x10873  Link_Measurement Neighbor_Report Beacon_Passive Beacon_Active Beacon_Table Statistics_Measurement AP_Channel_Report</t>
  </si>
  <si>
    <t>RrmOffChannelMaxDuration</t>
  </si>
  <si>
    <t>ubus-cli WiFi.AccessPoint.{i}.AssociatedDevice.{i}.RrmOffChannelMaxDuration=4</t>
  </si>
  <si>
    <t xml:space="preserve">1. Connect WiFi Station to GW with one station 802.11k Enable and the other one 802.11k Disable.
2. Verify Station station 802.11k Enable 
   Check whether RRM is ON or OFF using: wl sta_info &lt;MAC&gt; | grep -i rrm
 If 802.11k Enable then you will see RRM-related output (flags / capabilities):
 If nothing appears  0x0 then  RRM is Disable/not supported or not advertised
3. Check Station capabilities: wl sta_info &lt;MAC&gt; | grep -i rrm
Using Octoscope as Station 
02:10:5E:BA:A9:00 - 802.11k Enable
02:10:5E:8B:5B:00 - 802.11k Disable
root@prplOS:/# wl sta_info 02:10:5E:BA:A9:00 | grep -i rrm
RRM capability = 0xc0000da73 Link_Measurement Neighbor_Report Beacon_Passive Beacon_Active Beacon_Table Channel_load_Measurement Statistics_Measurement LCI_Measurement Tx_Stream_Category_Measurement Triggered_Tx_stream_Category_Measurement FTM_Range_Reporting Civic_Location_Measurement
root@prplOS:/#
root@prplOS:/# wl sta_info 02:10:5E:8B:5B:00 | grep -i rrm
RRM capability = 0x0
root@prplOS:/#
4. Try to set Station 802.11k from Enable to Disable and Disble to Enable then re-connect station.
02:10:5E:BA:A9:00 - 802.11k Disable
02:10:5E:8B:5B:00 - 802.11k Enable
5. Check Station capabilities: wl sta_info &lt;MAC&gt; | grep -i rrm
root@prplOS:/# wl sta_info 02:10:5E:BA:A9:00 | grep -i rrm
RRM capability = 0x0
root@prplOS:/# wl sta_info 02:10:5E:8B:5B:00 | grep -i rrm
RRM capability = 0xc0000da73 Link_Measurement Neighbor_Report Beacon_Passive Beacon_Active Beacon_Table Channel_load_Measurement Statistics_Measurement LCI_Measurement Tx_Stream_Category_Measurement Triggered_Tx_stream_Category_Measurement FTM_Range_Reporting Civic_Location_Measurement
</t>
  </si>
  <si>
    <t>wl sta_info  02:10:5E:8B:5B:00 | grep -i rrm</t>
  </si>
  <si>
    <t>RrmOnChannelMaxDuration</t>
  </si>
  <si>
    <t>ubus-cli WiFi.AccessPoint.{i}.AssociatedDevice.{i}.RrmOnChannelMaxDuration=4</t>
  </si>
  <si>
    <t>Rx_RetransmissionsFailed</t>
  </si>
  <si>
    <t>ubus-cli WiFi.AccessPoint.{i}.AssociatedDevice.{i}.Rx_RetransmissionsFailed=0</t>
  </si>
  <si>
    <t>RxSupportedHe160MCS</t>
  </si>
  <si>
    <t>ubus-cli WiFi.AccessPoint.{i}.AssociatedDevice.{i}.RxSupportedHe160MCS=""</t>
  </si>
  <si>
    <t>RxSupportedHe80x80MCS</t>
  </si>
  <si>
    <t>ubus-cli WiFi.AccessPoint.{i}.AssociatedDevice.{i}.RxSupportedHe80x80MCS=""</t>
  </si>
  <si>
    <t>RxSupportedHeMCS</t>
  </si>
  <si>
    <t>ubus-cli WiFi.AccessPoint.{i}.AssociatedDevice.{i}.RxSupportedHeMCS=""</t>
  </si>
  <si>
    <t>RxSupportedVhtMCS</t>
  </si>
  <si>
    <t>ubus-cli WiFi.AccessPoint.{i}.AssociatedDevice.{i}.RxSupportedVhtMCS=""</t>
  </si>
  <si>
    <t>SupportedHtMCS</t>
  </si>
  <si>
    <t>ubus-cli WiFi.AccessPoint.{i}.AssociatedDevice.{i}.SupportedHtMCS="0,1,2,3,4,5,6,7,8,9,10,11,12,13,14,15"</t>
  </si>
  <si>
    <t>TxSupportedHe160MCS</t>
  </si>
  <si>
    <t>ubus-cli WiFi.AccessPoint.{i}.AssociatedDevice.{i}.TxSupportedHe160MCS=""</t>
  </si>
  <si>
    <t>TxSupportedHe80x80MCS</t>
  </si>
  <si>
    <t>ubus-cli WiFi.AccessPoint.{i}.AssociatedDevice.{i}.TxSupportedHe80x80MCS=""</t>
  </si>
  <si>
    <t>TxSupportedHeMCS</t>
  </si>
  <si>
    <t>ubus-cli WiFi.AccessPoint.{i}.AssociatedDevice.{i}.TxSupportedHeMCS=""</t>
  </si>
  <si>
    <t>TxSupportedVhtMCS</t>
  </si>
  <si>
    <t>ubus-cli WiFi.AccessPoint.{i}.AssociatedDevice.{i}.TxSupportedVhtMCS=""</t>
  </si>
  <si>
    <t>UplinkRateSpec</t>
  </si>
  <si>
    <t>ubus-cli WiFi.AccessPoint.{i}.AssociatedDevice.{i}.UplinkRateSpec="leg_0_20_1_0"</t>
  </si>
  <si>
    <r>
      <rPr>
        <sz val="9"/>
        <color rgb="FF000000"/>
        <rFont val="Calibri"/>
        <scheme val="minor"/>
      </rPr>
      <t>1. Connect WiFi Station to GW and run Chariot between Station and GW
2. Check Associated Station UplinkRateSpec
###5G (11be, 4x4, 160MHz)###
root@prplOS:/# ubus-cli WiFi.AccessPoint.1.AssociatedDevice.*.UplinkRateSpec?
&gt; WiFi.AccessPoint.1.AssociatedDevice.*.UplinkRateSpec?
WiFi.AccessPoint.1.AssociatedDevice.1.UplinkRateSpec="</t>
    </r>
    <r>
      <rPr>
        <sz val="9"/>
        <color rgb="FFFF0000"/>
        <rFont val="Calibri"/>
        <scheme val="minor"/>
      </rPr>
      <t>leg_0_20_1_0</t>
    </r>
    <r>
      <rPr>
        <sz val="9"/>
        <color rgb="FF000000"/>
        <rFont val="Calibri"/>
        <scheme val="minor"/>
      </rPr>
      <t>"
root@prplOS:/# ubus-cli WiFi.AccessPoint.1.AssociatedDevice.*.? | grep -E 'Band|SpatialStreams|Bandwidth|Guard|EhtCapabilities|OperatingStandard'
WiFi.AccessPoint.1.AssociatedDevice.1.MaxTxSpatialStreamsSupported=4
WiFi.AccessPoint.1.AssociatedDevice.1.UplinkBandwidth=160
WiFi.AccessPoint.1.AssociatedDevice.1.UplinkShortGuard=0
###6G (11be, 4x4, 320MHz)###
root@prplOS:/# ubus-cli WiFi.AccessPoint.3.AssociatedDevice.*.UplinkRateSpec?
&gt; WiFi.AccessPoint.3.AssociatedDevice.*.UplinkRateSpec?
WiFi.AccessPoint.3.AssociatedDevice.1.UplinkRateSpec="</t>
    </r>
    <r>
      <rPr>
        <sz val="9"/>
        <color rgb="FFFF0000"/>
        <rFont val="Calibri"/>
        <scheme val="minor"/>
      </rPr>
      <t>leg_0_20_1_0</t>
    </r>
    <r>
      <rPr>
        <sz val="9"/>
        <color rgb="FF000000"/>
        <rFont val="Calibri"/>
        <scheme val="minor"/>
      </rPr>
      <t>"
root@prplOS:/# ubus-cli WiFi.AccessPoint.3.AssociatedDevice.*.? | grep -E 'Band|SpatialStreams|Bandwidth|Guard|EhtCapabilities|OperatingStandard'
WiFi.AccessPoint.3.AssociatedDevice.1.MaxTxSpatialStreamsSupported=4
WiFi.AccessPoint.3.AssociatedDevice.1.UplinkBandwidth=20
WiFi.AccessPoint.3.AssociatedDevice.1.UplinkShortGuard=0
###2.4G (11be, 2x2, 40MHz)###
root@prplOS:/# ubus-cli WiFi.AccessPoint.5.AssociatedDevice.*.UplinkRateSpec?
&gt; WiFi.AccessPoint.5.AssociatedDevice.*.UplinkRateSpec?
WiFi.AccessPoint.5.AssociatedDevice.1.UplinkRateSpec="</t>
    </r>
    <r>
      <rPr>
        <sz val="9"/>
        <color rgb="FFFF0000"/>
        <rFont val="Calibri"/>
        <scheme val="minor"/>
      </rPr>
      <t>leg_0_20_1_0</t>
    </r>
    <r>
      <rPr>
        <sz val="9"/>
        <color rgb="FF000000"/>
        <rFont val="Calibri"/>
        <scheme val="minor"/>
      </rPr>
      <t xml:space="preserve">"
root@prplOS:/# ubus-cli WiFi.AccessPoint.5.AssociatedDevice.*.? | grep -E 'Band|SpatialStreams|Bandwidth|Guard|EhtCapabilities|OperatingStandard'
WiFi.AccessPoint.5.AssociatedDevice.1.MaxTxSpatialStreamsSupported=2
WiFi.AccessPoint.5.AssociatedDevice.1.UplinkBandwidth=40
</t>
    </r>
  </si>
  <si>
    <t>iw dev wl0 station dump
#####5G#####
root@prplOS:/# iw dev wl0 station dump
Station 00:60:f3:25:aa:59 (on wl0)
        inactive time:  3000 ms
        rx bytes:       9828
        rx packets:     38
        tx bytes:       152
        tx packets:     14
        signal:         -39 [-39] dBm
        signal avg:     -38 [-38] dBm
        tx bitrate:     4899.0 MBit/s 160MHz
        rx bitrate:     5187.1 MBit/s 160MHz
root@prplOS:/# wl -i wl0 sta_info 00:60:f3:25:aa:59 
[VER 8] STA 00:60:F3:25:AA:59:
         chanspec 36/160 (0xe832)
         OMI 0x32c3: 160Mhz rx=4ss tx=4ss ER_SU_DISABLE
tx nrate
eht mcs 12 Nss 4 Tx Exp 0 bw160 txbf ldpc 2xLTF GI 1.6us auto
link bandwidth = 160 MHZ
Frequency Bands Supported: 5G
#####6G#####
root@prplOS:/# iw dev wl1 station dump
Station 00:60:f3:31:97:e4 (on wl1)
        inactive time:  3000 ms
        rx bytes:       43391
        rx packets:     344
        tx bytes:       528
        tx packets:     16
        signal:         -68 [-66] dBm
        signal avg:     -62 [-60] dBm
        tx bitrate:     9074.0 MBit/s
        rx bitrate:     8645.3 MBit/s
root@prplOS:/# wl -i wl1 sta_info 00:60:f3:31:97:e4
[VER 8] STA 00:60:F3:31:97:E4:
         chanspec 6g1/320-1 (0x7000)
         OMI 0x3303: 320Mhz rx=4ss tx=4ss ER_SU_DISABLE
eht mcs 11 Nss 4 Tx Exp 0 bw320 ldpc 2xLTF GI 1.6us auto
link bandwidth = 320 MHZ
Frequency Bands Supported: 6G
#####2.4G#####
root@prplOS:/# iw dev wl2 station dump
Station c8:15:4e:89:fa:e9 (on wl2)
        inactive time:  13000 ms
        rx bytes:       1485
        rx packets:     12
        tx bytes:       0
        tx packets:     6
        signal:         -46 [-47] dBm
        signal avg:     -46 [-48] dBm
        tx bitrate:     1.0 MBit/s
        rx bitrate:     117.0 MBit/s 40MHz
root@prplOS:/# wl -i wl2 sta_info c8:15:4e:89:fa:e9
[VER 8] STA C8:15:4E:89:FA:E9:
         OMI 0x1241: 40Mhz rx=2ss tx=2ss ER_SU_DISABLE
tx nrate
eht mcs 13 Nss 2 Tx Exp 2 bw40 ldpc 2xLTF GI 1.6us auto
link bandwidth = 40 MHZ
Frequency Bands Supported: 2.4G 5G 6G</t>
  </si>
  <si>
    <t>2026-03-13 Tim: The tested bed is broadcom Wi-Fi 7 client.
Broadcom has supported VHT on 2.4G that's for enhance performance. Even if vht is not mandatory  on 2.4G.
2026-03-13_EIT: Follow RD instruction  and found 2.4G failed (it return vht which is for 5G"
root@prplOS:~# ubus-cli WiFi.AccessPoint.*.AssociatedDevice.*.UplinkRateSpec?
&gt; WiFi.AccessPoint.*.AssociatedDevice.*.UplinkRateSpec?
WiFi.AccessPoint.1.AssociatedDevice.1.UplinkRateSpec="he_11_40_2_800"
WiFi.AccessPoint.3.AssociatedDevice.1.UplinkRateSpec="he_10_160_2_800"
WiFi.AccessPoint.5.AssociatedDevice.1.UplinkRateSpec="vht_11_40_3_800"
------------------------------------------------------------------------------------------------------------
[0313]Tracy : Please use the following commands to read the Data Model for now (getStationStats() needs to be called first for the values to be sync to the Data Model.)
1.ubus call WiFi.AccessPoint.1 getStationStats {} &gt; /dev/null
2.ubus-cli WiFi.AccessPoint.1.? | grep linkRateSpec
------------------------------------------------------------------------------------------------------------
2026-02-25_EIT:  verified and found Fail in version 4.0.3 -&gt; sometime after reboot the GW to re-connect the the Station, the AssociatedDevice UplinkRateSpec = leg_0_20_1_0 which is difference from the associated Station info.
root@prplOS:/#  ubus-cli WiFi.AccessPoint.*.AssociatedDevice.*.UplinkRateSpec?
&gt; WiFi.AccessPoint.*.AssociatedDevice.*.UplinkRateSpec?
wl1: dhd_prot_ioctl: status ret value is -23 iov=mlo
wl2: dhd_prot_ioctl: status ret value is -23 iov=mlo
WiFi.AccessPoint.1.AssociatedDevice.1.UplinkRateSpec="eht_11_80_4_1600"
WiFi.AccessPoint.3.AssociatedDevice.1.UplinkRateSpec="leg_0_20_1_0"
WiFi.AccessPoint.5.AssociatedDevice.1.UplinkRateSpec="leg_0_20_1_0"
root@prplOS:/# ubus-cli WiFi.AccessPoint.1.AssociatedDevice.*.? | grep -E 'Band|SpatialStreams|Bandwidth|Guard|EhtCapabilities|OperatingStandard'
WiFi.AccessPoint.1.AssociatedDevice.1.EhtCapabilities="SU-BFR,SU-BFE"
WiFi.AccessPoint.1.AssociatedDevice.1.LinkBandwidth="80MHz"
WiFi.AccessPoint.1.AssociatedDevice.1.MaxBandwidthSupported="160MHz"
WiFi.AccessPoint.1.AssociatedDevice.1.MaxRxSpatialStreamsSupported=4
WiFi.AccessPoint.1.AssociatedDevice.1.MaxTxSpatialStreamsSupported=4
WiFi.AccessPoint.1.AssociatedDevice.1.OperatingStandard="be"
WiFi.AccessPoint.1.AssociatedDevice.1.UplinkBandwidth=80
WiFi.AccessPoint.1.AssociatedDevice.1.UplinkShortGuard=1
root@prplOS:/# ubus-cli WiFi.AccessPoint.3.AssociatedDevice.*.? | grep -E 'Band|SpatialStreams|Bandwidth|Guard|EhtCapabilities|OperatingStandard'
WiFi.AccessPoint.3.AssociatedDevice.1.EhtCapabilities="320MHZ,SU-BFR,SU-BFE"
WiFi.AccessPoint.3.AssociatedDevice.1.LinkBandwidth="160MHz"
WiFi.AccessPoint.3.AssociatedDevice.1.MaxBandwidthSupported="Unknown"
WiFi.AccessPoint.3.AssociatedDevice.1.MaxRxSpatialStreamsSupported=4
WiFi.AccessPoint.3.AssociatedDevice.1.MaxTxSpatialStreamsSupported=4
WiFi.AccessPoint.3.AssociatedDevice.1.OperatingStandard="be"
WiFi.AccessPoint.3.AssociatedDevice.1.UplinkBandwidth=160
WiFi.AccessPoint.3.AssociatedDevice.1.UplinkShortGuard=1
root@prplOS:/# ubus-cli WiFi.AccessPoint.5.AssociatedDevice.*.? | grep -E 'Band|SpatialStreams|Bandwidth|Guard|EhtCapabilities|OperatingStandard'
WiFi.AccessPoint.5.AssociatedDevice.1.EhtCapabilities="SU-BFR,SU-BFE"
WiFi.AccessPoint.5.AssociatedDevice.1.LinkBandwidth="20MHz"
WiFi.AccessPoint.5.AssociatedDevice.1.MaxBandwidthSupported="40MHz"
WiFi.AccessPoint.5.AssociatedDevice.1.MaxRxSpatialStreamsSupported=4
WiFi.AccessPoint.5.AssociatedDevice.1.MaxTxSpatialStreamsSupported=4
WiFi.AccessPoint.5.AssociatedDevice.1.OperatingStandard="be"
WiFi.AccessPoint.5.AssociatedDevice.1.UplinkBandwidth=40
WiFi.AccessPoint.5.AssociatedDevice.1.UplinkShortGuard=1
BRCM: 2025-12-15 need to rework in mod( pfta-&gt;mfn_wvap_get_station_stats, pfta-&gt;mfn_wvap_get_single_station_stats), nl80211 doesn't support in old kernel
2026-01-06 CS00012439197_20260106.tgz fixed
0123-EIT: - 6GHz AssociatedDevice.{i}.UplinkRateSpec keep in leg_0_20_1_0
                  - 2.4GHz show's "vht" but this vht is for is for 5GHz 
 root@prplOS:/# ubus-cli WiFi.AccessPoint.*.AssociatedDevice.*.UplinkRateSpec?
&gt; WiFi.AccessPoint.*.AssociatedDwl0: dhd_prot_ioctl: status ret value is -23 iov=mlo
evice.*.UplinkRateSpec?
wl1: dhd_prot_ioctl: status ret value is -23 iov=mlo
wl2: dhd_prot_ioctl: status ret value is -23 iov=mlo
WiFi.AccessPoint.1.AssociatedDevice.1.UplinkRateSpec="he_11_20_4_1600"
WiFi.AccessPoint.3.AssociatedDevice.1.UplinkRateSpec="leg_0_20_1_0"
WiFi.AccessPoint.5.AssociatedDevice.1.UplinkRateSpec="vht_11_20_1_800"  
---
 - In API the UplinkRateSpec always return leg_0_20_1_0
 leg → standard Wi-Fi rate (Legacy)
0 → Band: 2.4 GHz
20 → channel width: 20 MHz 
1 → spatial stream: 1 
0 → guard interval: normal
Base on Station Information for example 5G Station:
5G -&gt; BW=160MHz, Spatial Stream=4 , GI=1.6 so the expected result should be  leg_1_160_4_1
Band field (&lt;band&gt;)
Band value	Meaning
0	2.4 GHz
1	5 GHz
2	6 GHz
Channel Width field (&lt;channel_width&gt;)
Value	Channel Width
20	20 MHz
40	40 MHz
80	80 MHz
160	160 MHz
Spatial Streams field (&lt;nSS&gt;)
Value	Meaning
1	1 spatial stream (1×1)
2	2 spatial streams (2×2)
3	3 spatial streams (3×3)
4	4 spatial streams (4×4)
Guard Interval field (&lt;gi&gt;)
GI value	Meaning
0	Normal GI
1	Short GI
0.8 µs	Short GI
1.6 µs	Normal / longer GI
3.2 µs	Extra-long GI (rare, robustness-focused)</t>
  </si>
  <si>
    <t>WiFi.AccessPoint.{i}.Neighbour.{i}.</t>
  </si>
  <si>
    <t>ubus-cli WiFi.AccessPoint.{i}.Neighbour.{i}.BSSID="02:aa:bb:01:25:45"</t>
  </si>
  <si>
    <r>
      <rPr>
        <sz val="9"/>
        <color rgb="FF000000"/>
        <rFont val="Calibri"/>
        <scheme val="minor"/>
      </rPr>
      <t>1. Reset GW to Default then check Neighbour entry 
root@prplOS:/# ubus-cli WiFi.AccessPoint.1.? | grep Neighbour
root@prplOS:/#
2. Add Neighbour entry 
root@prplOS:/# ubus-cli "WiFi.AccessPoint.1.setNeighbourAP(BSSID="AA:BB:CC:DD:EE
:01",Channel=36,ColocatedAP=1,Information=0x00000000,NASIdentifier="ap2.example.
net",OperatingClass=128,PhyType=9,R0KHKey="0123456789abcdef0123456789abcdef",SSI
D="MyMeshWiFi")"
&gt; WiFi.AccessPoint.1.setNeighbourAP(BSSID=AA:BB:CC:DD:EE:01,Channel=36,ColocatedAP=1,Information=0x00000000,NASIdentifier=ap2.example.net,OperatingClass=128,PhyType=9,R0KHKey=0123456789abcdef0123456789abcdef,SSID=MyMeshWiFi)
WiFi.AccessPoint.1.setNeighbourAP() returned
[
    "",
    {
        ColocatedAP = 1
    }
]
3. Verify the added Neighbour entry
root@prplOS:/# ubus-cli WiFi.AccessPoint.1.? | grep Neighbour
WiFi.AccessPoint.1.Neighbour.1.
WiFi.AccessPoint.1.Neighbour.1</t>
    </r>
    <r>
      <rPr>
        <sz val="9"/>
        <color rgb="FF0070C0"/>
        <rFont val="Calibri"/>
        <scheme val="minor"/>
      </rPr>
      <t>.</t>
    </r>
    <r>
      <rPr>
        <sz val="9"/>
        <color rgb="FF000000"/>
        <rFont val="Calibri"/>
        <scheme val="minor"/>
      </rPr>
      <t>BSSID="AA:BB:CC:DD:EE:01"
WiFi.AccessPoint.1.Neighbour.1.Channel=36
WiFi.AccessPoint.1.Neighbour.1.ColocatedAP=1
WiFi.AccessPoint.1.Neighbour.1.Information=0
WiFi.AccessPoint.1.Neighbour.1.NASIdentifier="ap2.example.net"
WiFi.AccessPoint.1.Neighbour.1.OperatingClass=128
WiFi.AccessPoint.1.Neighbour.1.PhyType=9
WiFi.AccessPoint.1.Neighbour.1.R0KHKey="0123456789abcdef0123456789abcdef"
WiFi.AccessPoint.1.Neighbour.1.SSID="MyMeshWiFi"
root@prplOS:/#</t>
    </r>
  </si>
  <si>
    <t>ubus-cli WiFi.AccessPoint.{i}.Neighbour.{i}.Channel=36</t>
  </si>
  <si>
    <t>ColocatedAP</t>
  </si>
  <si>
    <t>ubus-cli WiFi.AccessPoint.{i}.Neighbour.{i}.ColocatedAP=0</t>
  </si>
  <si>
    <t>Information</t>
  </si>
  <si>
    <t>ubus-cli WiFi.AccessPoint.{i}.Neighbour.{i}.Information=0</t>
  </si>
  <si>
    <t>ubus-cli WiFi.AccessPoint.{i}.Neighbour.{i}.NASIdentifier="A030A6C9A214ABA6"</t>
  </si>
  <si>
    <t>ubus-cli WiFi.AccessPoint.{i}.Neighbour.{i}.OperatingClass=128</t>
  </si>
  <si>
    <t>PhyType</t>
  </si>
  <si>
    <t>ubus-cli WiFi.AccessPoint.{i}.Neighbour.{i}.PhyType=0</t>
  </si>
  <si>
    <t>ubus-cli WiFi.AccessPoint.{i}.Neighbour.{i}.R0KHKey="21ACD4E82042F9E7BA5B7341D58BE76A"</t>
  </si>
  <si>
    <t>ubus-cli WiFi.AccessPoint.{i}.Neighbour.{i}.SSID="prplOS"</t>
  </si>
  <si>
    <t>OWETransitionInterface</t>
  </si>
  <si>
    <t>ubus-cli WiFi.AccessPoint.{i}.Security.OWETransitionInterface=""</t>
  </si>
  <si>
    <t xml:space="preserve">1. Set OWETransitionInterface 
root@prplOS:~# ubus-cli WiFi.AccessPoint.1.Security.OWETransitionInterface=DEFAULT_W
L1_1
&gt; WiFi.AccessPoint.1.Security.OWETransitionInterface=DEFAULT_WL1_1
WiFi.AccessPoint.1.Security.
WiFi.AccessPoint.1.Security.OWETransitionInterface="DEFAULT_WL1_1"
root@prplOS:~# ubus-cli WiFi.AccessPoint.3.Security.OWETransitionInterface=DEFAULT_W
L0_1
&gt; WiFi.AccessPoint.3.Security.OWETransitionInterface=DEFAULT_WL0_1
WiFi.AccessPoint.3.Security.
WiFi.AccessPoint.3.Security.OWETransitionInterface="DEFAULT_WL0_1"
root@prplOS:~# ubus-cli WiFi.AccessPoint.5.Security.OWETransitionInterface="DEFAULT_
WL0_1"
&gt; WiFi.AccessPoint.5.Security.OWETransitionInterface=DEFAULT_WL0_1
WiFi.AccessPoint.5.Security.
WiFi.AccessPoint.5.Security.OWETransitionInterface="DEFAULT_WL0_1"
2. Verify OWE OWETransitionInterface
root@prplOS:~# ubus-cli WiFi.AccessPoint.? | grep OWETransitionInterface
WiFi.AccessPoint.1.Security.OWETransitionInterface="DEFAULT_WL1_1"
WiFi.AccessPoint.2.Security.OWETransitionInterface=""
WiFi.AccessPoint.3.Security.OWETransitionInterface="DEFAULT_WL0_1"
WiFi.AccessPoint.4.Security.OWETransitionInterface=""
WiFi.AccessPoint.5.Security.OWETransitionInterface="DEFAULT_WL0_1"
WiFi.AccessPoint.6.Security.OWETransitionInterface=""
3. Set Security mode
root@prplOS:~# ubus-cli WiFi.AccessPoint.1.Security.ModeEnabled="OWE"
&gt; WiFi.AccessPoint.1.Security.ModeEnabled=OWE
WiFi.AccessPoint.1.Security.
WiFi.AccessPoint.1.Security.ModeEnabled="OWE"
root@prplOS:~# ubus-cli WiFi.AccessPoint.2.Security.ModeEnabled="None"
&gt; WiFi.AccessPoint.2.Security.ModeEnabled=None
WiFi.AccessPoint.2.Security.
WiFi.AccessPoint.2.Security.ModeEnabled="None"
</t>
  </si>
  <si>
    <t xml:space="preserve">
root@prplOS:~# cat /tmp/wl0_hapd.conf |grep owe_transition_ifname
root@prplOS:~# cat /tmp/wl1_hapd.conf |grep owe_transition_ifname
root@prplOS:~# cat /tmp/wl2_hapd.conf |grep owe_transition_ifname</t>
  </si>
  <si>
    <t>[0122]Tracy:  OWETransitionInterface must be set to the AccessPoint name(DEFAULT_WLx_x).
use command =&gt;WiFi.SSID.{i}.Alias? to check AccessPoint name
0122-EIT: Verify by following RD suggestion "API looks fine but could not find the settings in hostadp"
-- 
in wlx command "owe_transition_ifname" does not return the configured interface name.</t>
  </si>
  <si>
    <t>SAEPassphrase</t>
  </si>
  <si>
    <t>ubus-cli WiFi.AccessPoint.{i}.Security.SAEPassphrase=""</t>
  </si>
  <si>
    <t>1. Set Security ModeEnabled=WPA3-Personal
ubus-cli WiFi.AccessPoint.*.Security.ModeEnabled=WPA3-Personal
2. Set Security SAEPassphrase=1234567890
ubus-cli WiFi.AccessPoint.*.Security.SAEPassphrase=1234567890</t>
  </si>
  <si>
    <t>cat /tmp/wl0_hapd.conf |grep sae_password
root@prplOS:/# cat /tmp/wl0_hapd.conf |grep sae_password
sae_password=1234567890
root@prplOS:/# cat /tmp/wl1_hapd.conf |grep sae_password
sae_password=1234567890
root@prplOS:/# cat /tmp/wl2_hapd.conf |grep sae_password
sae_password=1234567890</t>
  </si>
  <si>
    <t>TransitionDisable</t>
  </si>
  <si>
    <t>ubus-cli WiFi.AccessPoint.{i}.Security.TransitionDisable="0"</t>
  </si>
  <si>
    <t>cat /tmp/wl0_hapd.conf |grep transition_disable</t>
  </si>
  <si>
    <t>Supported options are:
			 *  - WPA3-Personal (i.e., disable WPA2-Personal = WPA-PSK and only allow SAE to be used)
			 *  - SAE-PK (disable SAE without use of SAE-PK)
			 *  - WPA3-Enterprise (move to requiring PMF)
			 *  - Enhanced Open (disable use of open network; require OWE)
			 *  - "" : Default does not include Transition Disable KDE
Check hostapd config (cat wl0_hapd.conf | grep transition_disable)
Bit mapping in hostapd is:
	WPA3-Personal → 0x01
	SAE-PK → 0x02
	WPA3-Enterprise → 0x04
	EnhancedOpen → 0x08
root@prplOS:~# ubus-cli WiFi.AccessPoint.*.Security.TransitionDisable=WPA3-Personal
&gt; WiFi.AccessPoint.*.Security.TransitionDisable=WPA3-Personal
WiFi.AccessPoint.1.Security.
WiFi.AccessPoint.1.Security.TransitionDisable="WPA3-Personal"
WiFi.AccessPoint.2.Security.
WiFi.AccessPoint.2.Security.TransitionDisable="WPA3-Personal"
WiFi.AccessPoint.3.Security.
WiFi.AccessPoint.3.Security.TransitionDisable="WPA3-Personal"
WiFi.AccessPoint.4.Security.
WiFi.AccessPoint.4.Security.TransitionDisable="WPA3-Personal"
WiFi.AccessPoint.5.Security.
WiFi.AccessPoint.5.Security.TransitionDisable="WPA3-Personal"
WiFi.AccessPoint.6.Security.
WiFi.AccessPoint.6.Security.TransitionDisable="WPA3-Personal"
root@prplOS:~# cat /tmp/wl0_hapd.conf | grep transition_disable
transition_disable=1
transition_disable=1
root@prplOS:~# cat /tmp/wl1_hapd.conf | grep transition_disable
transition_disable=1
transition_disable=1
root@prplOS:~# cat /tmp/wl2_hapd.conf | grep transition_disable
transition_disable=1
transition_disable=1
root@prplOS:~# ubus-cli WiFi.AccessPoint.*.Security.TransitionDisable=SAE-PK
&gt; WiFi.AccessPoint.*.Security.TransitionDisable=SAE-PK
WiFi.AccessPoint.1.Security.
WiFi.AccessPoint.1.Security.TransitionDisable="SAE-PK"
WiFi.AccessPoint.2.Security.
WiFi.AccessPoint.2.Security.TransitionDisable="SAE-PK"
WiFi.AccessPoint.3.Security.
WiFi.AccessPoint.3.Security.TransitionDisable="SAE-PK"
WiFi.AccessPoint.4.Security.
WiFi.AccessPoint.4.Security.TransitionDisable="SAE-PK"
WiFi.AccessPoint.5.Security.
WiFi.AccessPoint.5.Security.TransitionDisable="SAE-PK"
WiFi.AccessPoint.6.Security.
WiFi.AccessPoint.6.Security.TransitionDisable="SAE-PK"
root@prplOS:~# cat /tmp/wl0_hapd.conf | grep transition_disable
transition_disable=2
transition_disable=2
root@prplOS:~# cat /tmp/wl1_hapd.conf | grep transition_disable
transition_disable=2
transition_disable=2
root@prplOS:~# cat /tmp/wl2_hapd.conf | grep transition_disable
transition_disable=2
transition_disable=2
root@prplOS:~# ubus-cli WiFi.AccessPoint.*.Security.TransitionDisable=EnhancedOpen
&gt; WiFi.AccessPoint.*.Security.TransitionDisable=EnhancedOpen
WiFi.AccessPoint.1.Security.
WiFi.AccessPoint.1.Security.TransitionDisable="EnhancedOpen"
WiFi.AccessPoint.2.Security.
WiFi.AccessPoint.2.Security.TransitionDisable="EnhancedOpen"
WiFi.AccessPoint.3.Security.
WiFi.AccessPoint.3.Security.TransitionDisable="EnhancedOpen"
WiFi.AccessPoint.4.Security.
WiFi.AccessPoint.4.Security.TransitionDisable="EnhancedOpen"
WiFi.AccessPoint.5.Security.
WiFi.AccessPoint.5.Security.TransitionDisable="EnhancedOpen"
WiFi.AccessPoint.6.Security.
WiFi.AccessPoint.6.Security.TransitionDisable="EnhancedOpen"
root@prplOS:~# cat /tmp/wl0_hapd.conf | grep transition_disable
transition_disable=8
transition_disable=8
root@prplOS:~# cat /tmp/wl1_hapd.conf | grep transition_disable
transition_disable=8
transition_disable=8
root@prplOS:~# cat /tmp/wl2_hapd.conf | grep transition_disable
transition_disable=8
transition_disable=8</t>
  </si>
  <si>
    <t>WiFi.Radio.{i}.ChannelMgt.BgDfs.</t>
  </si>
  <si>
    <t>AllowProvider</t>
  </si>
  <si>
    <t>ubus-cli WiFi.Radio.{i}.ChannelMgt.BgDfs.AllowProvider=1</t>
  </si>
  <si>
    <t>Bandwidth</t>
  </si>
  <si>
    <t>ubus-cli WiFi.Radio.{i}.ChannelMgt.BgDfs.Bandwidth="Auto"</t>
  </si>
  <si>
    <t>ubus-cli WiFi.Radio.{i}.ChannelMgt.BgDfs.Channel=0</t>
  </si>
  <si>
    <t>PreclearEnable</t>
  </si>
  <si>
    <t>ubus-cli WiFi.Radio.{i}.ChannelMgt.BgDfs.PreclearEnable=0</t>
  </si>
  <si>
    <t>ubus-cli WiFi.Radio.{i}.ChannelMgt.BgDfs.Status="Off"</t>
  </si>
  <si>
    <t>WiFi.Radio.{i}.ChannelMgt.</t>
  </si>
  <si>
    <t>ClearedDfsChannels</t>
  </si>
  <si>
    <t>ubus-cli WiFi.Radio.{i}.ChannelMgt.ClearedDfsChannels=""</t>
  </si>
  <si>
    <t>RadarTriggeredDfsChannels</t>
  </si>
  <si>
    <t>ubus-cli WiFi.Radio.{i}.ChannelMgt.RadarTriggeredDfsChannels=""</t>
  </si>
  <si>
    <t>ChannelsInUse</t>
  </si>
  <si>
    <t>ubus-cli WiFi.Radio.{i}.ChannelsInUse=""</t>
  </si>
  <si>
    <t>ubus-cli WiFi.Radio.{i}.getRadioAirStats() IntTime</t>
  </si>
  <si>
    <t>1. Connect 2 STAs to radio, use iperf3 to transmit some data between two STAs.
2. Check  getRadioAirStats():
ubus-cli "WiFi.Radio.*.getRadioAirStats()"
&gt; WiFi.Radio.*.getRadioAirStats()
WiFi.Radio.1.getRadioAirStats() returned
[
    {
        FreeTime = 65535,
        IntTime = 65534,
        Load = 100,
        LongPreambleErrorPercentage = 0,
        Noise = -99,
        NoiseTime = 0,
        ObssTime = 65534,
        RxTime = 0,
        ShortPreambleErrorPercentage = 0,
        Timestamp = 525067995,
        TotalTime = 1,
        TxTime = 0,
        VendorStats = {
        }
    }
]
WiFi.Radio.2.getRadioAirStats() returned
[
    {
        FreeTime = 9,
        IntTime = 17,
        Load = 65,
        LongPreambleErrorPercentage = 0,
        Noise = -96,
        NoiseTime = 17,
        ObssTime = 0,
        RxTime = 0,
        ShortPreambleErrorPercentage = 0,
        Timestamp = 510541264,
        TotalTime = 26,
        TxTime = 0,
        VendorStats = {
        }
    }
]
WiFi.Radio.3.getRadioAirStats() returned
[
    {
        FreeTime = 2,
        IntTime = 37460,
        Load = 85,
        LongPreambleErrorPercentage = 0,
        Noise = -78,
        NoiseTime = 12,
        ObssTime = 37448,
        RxTime = 0,
        ShortPreambleErrorPercentage = 0,
        Timestamp = 525070365,
        TotalTime = 14,
        TxTime = 1,
        VendorStats = {
        }
    }
]</t>
  </si>
  <si>
    <t>wifi driver need to support survey feature in wl_cfg80211</t>
  </si>
  <si>
    <r>
      <rPr>
        <sz val="9"/>
        <color rgb="FFFF0000"/>
        <rFont val="Calibri"/>
        <scheme val="minor"/>
      </rPr>
      <t xml:space="preserve">[0325] ARC will create a CSP
</t>
    </r>
    <r>
      <rPr>
        <sz val="9"/>
        <color rgb="FF000000"/>
        <rFont val="Calibri"/>
        <scheme val="minor"/>
      </rPr>
      <t>[0323] Verified in version 4.0.3v1.4.,  5G: IntTime = 65534, 2.4G: IntTime = 37460
BCM: wifi driver need to support survey feature in wl_cfg80211
EIT: The API value is always 0.</t>
    </r>
  </si>
  <si>
    <t>IntTime in 5G and 2.4G seems abnormal.</t>
  </si>
  <si>
    <t>ubus-cli WiFi.Radio.{i}.getRadioAirStats() LongPreambleErrorPercentage</t>
  </si>
  <si>
    <t>[0323] Verified in version 4.0.3v1.4.,  although 0 makes sense, we cannot manually create error to verify it.
BCM: wifi driver need to support survey feature in wl_cfg80211
EIT: The API value is always 0.</t>
  </si>
  <si>
    <t>ubus-cli WiFi.Radio.{i}.getRadioAirStats() NoiseTime</t>
  </si>
  <si>
    <r>
      <rPr>
        <sz val="9"/>
        <color rgb="FFFF0000"/>
        <rFont val="Calibri"/>
        <scheme val="minor"/>
      </rPr>
      <t xml:space="preserve">[0325] ARC will create a CSP
</t>
    </r>
    <r>
      <rPr>
        <sz val="9"/>
        <color rgb="FF000000"/>
        <rFont val="Calibri"/>
        <scheme val="minor"/>
      </rPr>
      <t>[0323] Verified in version 4.0.3v1.4.,  5G: NoiseTime = 0; 6GHz NoiseTime =  IntTime while STA transmitting traffic; 2.4G: Noise time makes sense but due to  IntTime and ObssTime is strange, it cannot be confirm.
BCM: wifi driver need to support survey feature in wl_cfg80211
EIT: The API value is always 0.</t>
    </r>
  </si>
  <si>
    <t>Need BRCM to confirm if these value are correct?</t>
  </si>
  <si>
    <t>ubus-cli WiFi.Radio.{i}.getRadioAirStats() ObssTime</t>
  </si>
  <si>
    <r>
      <rPr>
        <sz val="9"/>
        <color rgb="FFFF0000"/>
        <rFont val="Calibri"/>
        <scheme val="minor"/>
      </rPr>
      <t xml:space="preserve">[0325] ARC will create a CSP
</t>
    </r>
    <r>
      <rPr>
        <sz val="9"/>
        <color rgb="FF000000"/>
        <rFont val="Calibri"/>
        <scheme val="minor"/>
      </rPr>
      <t>[0323] Verified in version 4.0.3v1.4., 5G: ObssTime = 65534; 6GHz: always ObssTime = 0;  2.4G: ObssTime = 37448
BCM: wifi driver need to support survey feature in wl_cfg80211
EIT: The API value is always 0.</t>
    </r>
  </si>
  <si>
    <t>ubus-cli WiFi.Radio.{i}.getRadioAirStats() ShortPreambleErrorPercentage</t>
  </si>
  <si>
    <t>[0323] Verified in version 4.0.3v1.4.,  although 0 makes sense, we cannot manually create error to verify it.
BCM: wifi driver need to support survey feature in wl_cfg80211
EIT: The API value is always 0.</t>
  </si>
  <si>
    <t xml:space="preserve">ubus-cli WiFi.Radio.{i}.getRadioAirStats() VendorStats Badplcp  </t>
  </si>
  <si>
    <r>
      <rPr>
        <sz val="9"/>
        <color rgb="FFFF0000"/>
        <rFont val="Calibri"/>
        <scheme val="minor"/>
      </rPr>
      <t xml:space="preserve">[0325] ARC will check pwhm code internally
[0323] Verified in version 4.0.3v1.4., this column is always blank.
</t>
    </r>
    <r>
      <rPr>
        <sz val="9"/>
        <color rgb="FF000000"/>
        <rFont val="Calibri"/>
        <scheme val="minor"/>
      </rPr>
      <t xml:space="preserve">
BCM: wifi driver need to support survey feature in wl_cfg80211
EIT: The VendorStats {} is empty.</t>
    </r>
  </si>
  <si>
    <t>ubus-cli WiFi.Radio.{i}.getRadioAirStats() VendorStats glitch</t>
  </si>
  <si>
    <t>ubus-cli WiFi.Radio.{i}.getRadioStats()FailedRetransCount</t>
  </si>
  <si>
    <t xml:space="preserve">1. Record counters at start:
root@prplOS:/# ubus-cli "WiFi.Radio.*.getRadioStats()" | grep MultipleRetryCount
        MultipleRetryCount = 0,
        MultipleRetryCount = 0,
        MultipleRetryCount = 0,
root@prplOS:/# ubus-cli "WiFi.Radio.*.getRadioStats()" | grep FailedRetransCount
        FailedRetransCount = 0,
        FailedRetransCount = 0,
        FailedRetransCount = 0,
2. (Not 100% reliable)Connect STAs to individual radios, try high loading data flow by iperf3 while adding attenuation to signal(Adding distance between STAs and DUT.)
iperf3 command: iperf3 -c [iperf3 server IP] -u -b 200M -P 6 -t 600
3. Check counters again:
root@prplOS:/# ubus-cli "WiFi.Radio.*.getRadioStats()" | grep MultipleRetryCount
        MultipleRetryCount = 0,
        MultipleRetryCount = 0,
        MultipleRetryCount = 0,
root@prplOS:/# ubus-cli "WiFi.Radio.*.getRadioStats()" | grep FailedRetransCount
        FailedRetransCount = 0,
        FailedRetransCount = 0,
        FailedRetransCount = 0,
</t>
  </si>
  <si>
    <t>root@prplOS:~# ubus-cli "WiFi.Radio.1.getRadioStats()FailedRetransCount"? | grep FailedRetransCoun
t
&gt; WiFi.Radio.1.getRadioStats()FailedRetransCount?
        FailedRetransCount = 177863,
root@prplOS:~# ubus-cli "WiFi.Radio.2.getRadioStats()FailedRetransCount"? | grep FailedRetransCoun
t
&gt; WiFi.Radio.2.getRadioStats()FailedRetransCount?
        FailedRetransCount = 17011,
root@prplOS:~# ubus-cli "WiFi.Radio.3.getRadioStats()FailedRetransCount"? | grep FailedRetransCoun
t
&gt; WiFi.Radio.3.getRadioStats()FailedRetransCount?
        FailedRetransCount = 625465,
root@prplOS:~# for i in 0 1 2; do wl -i wl$i counters | awk -v r="wl$i" '{for(i=1;i&lt;=NF;i++) if($i
=="txfail") print r,"txfail =",$(i+1)}'; done
wl0 txfail = 177863
wl1 txfail = 17011
wl2 txfail = 625465</t>
  </si>
  <si>
    <t>ubus-cli WiFi.Radio.{i}.getRadioStats()MultipleRetryCount</t>
  </si>
  <si>
    <t>2026-03-23_EIT: As per RD this should be mark as pass because d11_txretrie is also "0" and currently we are verifying BRCM's LLAPI workable or not.
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5. Execute below command 
ubus-cli "WiFi.Radio.1.getRadioStats()"?
ubus-cli "WiFi.Radio.2.getRadioStats()"?
ubus-cli "WiFi.Radio.3.getRadioStats()"?
6. Verify MultipleRetryCount
root@prplOS:~# ubus-cli "WiFi.Radio.1.getRadioStats()MultipleRetryCount"? | grep Mul
tipleRetryCount
&gt; WiFi.Radio.1.getRadioStats()MultipleRetryCount?
        MultipleRetryCount = 0,
root@prplOS:~# ubus-cli "WiFi.Radio.2.getRadioStats()MultipleRetryCount"? | grep Mul
tipleRetryCount
&gt; WiFi.Radio.2.getRadioStats()MultipleRetryCount?
        MultipleRetryCount = 0,
root@prplOS:~# ubus-cli "WiFi.Radio.3.getRadioStats()MultipleRetryCount"? | grep Mul
tipleRetryCount
&gt; WiFi.Radio.3.getRadioStats()MultipleRetryCount?
        MultipleRetryCount = 0,
Also try using Noise generator</t>
  </si>
  <si>
    <t>ubus-cli WiFi.Radio.{i}.getRadioStats()Noise</t>
  </si>
  <si>
    <t>1. See if the air noise will change through time:
root@prplOS:/# ubus-cli "WiFi.Radio.*.getRadioStats()" | grep Noise
        Noise = 0,
        Noise = 0,
        Noise = 0,</t>
  </si>
  <si>
    <t>2026-02-25_EIT: verified and found fix in version 4.0.3
BRCM: CSP  CS00012439197
--
The noise is always 0.</t>
  </si>
  <si>
    <t>ubus-cli WiFi.Radio.{i}.getRadioStats()RetransCount</t>
  </si>
  <si>
    <t xml:space="preserve">1. Record counters at start:
root@prplOS:/# ubus-cli "WiFi.Radio.*.getRadioStats()" | grep RetransCount
        RetransCount = 0,
        RetransCount = 0,
        RetransCount = 0,
root@prplOS:/# ubus-cli "WiFi.Radio.*.getRadioStats()" | grep RetryCount
        RetryCount = 0,
        RetryCount = 0,
        RetryCount = 0,
2. Connect STAs to individual radios, try high loading data flow by iperf3 while adding attenuation to signal(Adding distance between STAs and DUT.)
iperf3 command: iperf3 -c [iperf3 server IP] -u -b 200M -P 6 -t 600
3. Check counters again:
root@prplOS:/# ubus-cli "WiFi.Radio.*.getRadioStats()" | grep RetransCount
        RetransCount = 0,
        RetransCount = 0,
        RetransCount = 0,
root@prplOS:/# ubus-cli "WiFi.Radio.*.getRadioStats()" | grep RetryCount
        RetryCount = 0,
        RetryCount = 0,
        RetryCount = 0,
</t>
  </si>
  <si>
    <t>2026-02-25_EIT: verified and found fix in version 4.0.3
root@prplOS:/# ubus-cli "WiFi.Radio.*.getRadioStats()" | grep RetransCount
        RetransCount = 31,
        RetransCount = 14,
        RetransCount = 1188,</t>
  </si>
  <si>
    <t>ubus-cli WiFi.Radio.{i}.getRadioStats()RetryCount</t>
  </si>
  <si>
    <t>2026-03-23_EIT: As per RD this should be mark as pass because d11_txretrie is also "0" and currently we are verifying BRCM's LLAPI workable or not.
 --------------------------------------------------------------------------------------------------------------------------
2026-02-25_EIT:  verified and found Fail in version 4.0.3 -&gt; "Both API and wl counters return 0"
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5. Execute below command 
ubus-cli "WiFi.Radio.1.getRadioStats()"?
ubus-cli "WiFi.Radio.2.getRadioStats()"?
ubus-cli "WiFi.Radio.3.getRadioStats()"?
6. Verify retyr Count
root@prplOS:~# ubus-cli "WiFi.Radio.*.getRadioStats()RetryCount"? | grep -w "RetryCount"
&gt; WiFi.Radio.*.getRadioStats()RetryCount?
        RetryCount = 0,
        RetryCount = 0,
        RetryCount = 0,
root@prplOS:~# for i in 0 1 2; do wl -i wl$i counters | awk -v r="wl$i" '{for(i=1;i&lt;=NF;i++) if($i=="d11_txretrie") print r,"d11_txretrie =",$(i+1)}'
; done
wl0 d11_txretrie = 0
wl1 d11_txretrie = 0
wl2 d11_txretrie = 0</t>
  </si>
  <si>
    <t>ubus-cli WiFi.Radio.{i}.getRadioStats()Temperature</t>
  </si>
  <si>
    <t>1. Record counters at start:
2. Check Radio Temperature
root@prplOS:/# ubus-cli "WiFi.Radio.*.getRadioStats()" | grep Temperature
        Temperature = 81,
        Temperature = 82,
        Temperature = 77,
root@prplOS:/# ubus-cli "WiFi.Radio.*.getRadioStats()" | grep Temperature
        Temperature = 56,
        Temperature = 87,
        Temperature = 75,</t>
  </si>
  <si>
    <t>cat /sys/class/thermal/thermal_zone0/temp
77195
root@prplOS:/# for z in /sys/class/thermal/thermal_zone*; do
&gt;   echo "$z: $(cat $z/type 2&gt;/dev/null) $(cat $z/temp 2&gt;/dev/null)"
&gt; done
/sys/class/thermal/thermal_zone0: Broadcom_Thermal 76483
root@prplOS:/# wl -i wl0 phy_tempsense
56 (0x38)
root@prplOS:/# wl -i wl1 phy_tempsense
83 (0x53)
root@prplOS:/# wl -i wl2 phy_tempsense
76 (0x4c)</t>
  </si>
  <si>
    <t>HePhyCapabilities</t>
  </si>
  <si>
    <t>ubus-cli WiFi.Radio.{i}.HePhyCapabilities="AiAMAAAAAAAAgAA="</t>
  </si>
  <si>
    <t>raw values, in base64 as per the Tr181 Spec</t>
  </si>
  <si>
    <t>2026-03-06_EIT: verified and found fix in version 4.0.3
root@prplOS:~# ubus-cli WiFi.Radio.*.HePhyCapabilities?
&gt; WiFi.Radio.*.HePhyCapabilities?
WiFi.Radio.1.HePhyCapabilities="TCBCwAIbFQAAjAA="
WiFi.Radio.2.HePhyCapabilities="TCBCwAIbFQAAjAA="
WiFi.Radio.3.HePhyCapabilities="IiBCwAIDFQAAjAA="
root@prplOS:~# ubus-cli WiFi.Radio.*.RadCapabilitiesHePhysStr?
&gt; WiFi.Radio.*.RadCapabilitiesHePhysStr?
WiFi.Radio.1.RadCapabilitiesHePhysStr="40_80MHZ_5GHZ,160MHZ_5GHZ,FULL_UL_MU_MIMO,SU_BEAMFORMER,MU_BEAMFORMER"
WiFi.Radio.2.RadCapabilitiesHePhysStr="40_80MHZ_5GHZ,160MHZ_5GHZ,FULL_UL_MU_MIMO,SU_BEAMFORMER,MU_BEAMFORMER"
WiFi.Radio.3.RadCapabilitiesHePhysStr="40MHZ_2_4GHZ,FULL_UL_MU_MIMO,SU_BEAMFORMER,MU_BEAMFORMER"
03/06 Tim:
This name of date model, HECapabilities, is incorrect, not define in odl. I update the name to HePhyCapabilities instead of HECapabilities. This data model is base64 format, we can check WiFi.Radio.1.RadCapabilitiesHePhysStr which is STRING format
BRCM: raw values, in base64 as per the Tr181 Spec
EIT: ERROR: get WiFi.Radio.1.HECapabilities failed (4 - parameter not found)</t>
  </si>
  <si>
    <t>HTCapabilities</t>
  </si>
  <si>
    <t>ubus-cli WiFi.Radio.{i}.HTCapabilities="/wk="</t>
  </si>
  <si>
    <t>need to recheck(Leon)</t>
  </si>
  <si>
    <t>2026-03-06_EIT: verified and found fix in version 4.0.3
root@prplOS:~# ubus-cli WiFi.Radio.*.HTCapabilities?
&gt; WiFi.Radio.*.HTCapabilities?
WiFi.Radio.1.HTCapabilities="YhA="
WiFi.Radio.2.HTCapabilities="AAA="
WiFi.Radio.3.HTCapabilities="YhA="
root@prplOS:~# ubus-cli WiFi.Radio.*.RadCapabilitiesHTStr?
&gt; WiFi.Radio.*.RadCapabilitiesHTStr?
WiFi.Radio.1.RadCapabilitiesHTStr="CAP_40,SHORT_GI_20,SHORT_GI_40,MODE_40"
WiFi.Radio.2.RadCapabilitiesHTStr=""
WiFi.Radio.3.RadCapabilitiesHTStr="CAP_40,SHORT_GI_20,SHORT_GI_40,MODE_40"
RD: HTCapabilities is also base64 format. We can check RadCapabilitiesHTStr which is STRING format</t>
  </si>
  <si>
    <t>BssColor</t>
  </si>
  <si>
    <t>ubus-cli WiFi.Radio.{i}.IEEE80211ax.BssColor=0</t>
  </si>
  <si>
    <t>1. Set this value to 1:
ubus-cli WiFi.Radio.*.IEEE80211ax.BssColor=1
2. Check the beacon from Wireshark, there should be an IE recording this:
IEEE 802.11 Wireless Management
|_Tagged Parameters
    |_Ext Tag: HW Operation
        |_BSS Color Information
            |_BSS Color</t>
  </si>
  <si>
    <t>wl -i wl0 he bsscolor</t>
  </si>
  <si>
    <t>HESIGASpatialReuseValue15Allowed</t>
  </si>
  <si>
    <t>ubus-cli WiFi.Radio.{i}.IEEE80211ax.HESIGASpatialReuseValue15Allowed=0</t>
  </si>
  <si>
    <t>1. Set this value to 1:
ubus-cli WiFi.Radio.*.IEEE80211ax.HESIGASpatialReuseValue15Allowed=1
2. Check the beacon from Wireshark, there should be an IE recording this :
IEEE 802.11 Wireless Management
|_Tagged Parameters
    |_Ext Tag: Spatial Reuse Parameter Set
        |_SR Control: 0x10
            |_HESIGA Spatial Reuse value 15 allowed: True</t>
  </si>
  <si>
    <t>(HESIGASpatialReuseValue15Allowed=0)
root@prplOS:/# wl -i wl0 he sr
        HE Spatial Reuse Parameter Set element:
                &lt;DISABLED&gt;
root@prplOS:/# wl -i wl1 he sr
        HE Spatial Reuse Parameter Set element:
                &lt;DISABLED&gt;
root@prplOS:/# wl -i wl2 he sr
        HE Spatial Reuse Parameter Set element:
                &lt;DISABLED&gt;
(HESIGASpatialReuseValue15Allowed=1)
root@prplOS:/# wl -i wl0 he sr
        HE Spatial Reuse Parameter Set element:
                &lt;Enabled&gt;
        SR Control:
                - HESIGA_Spatial_reuse_value15_allowed (is SET)
root@prplOS:/# wl -i wl1 he sr
        HE Spatial Reuse Parameter Set element:
                &lt;Enabled&gt;
        SR Control:
                - HESIGA_Spatial_reuse_value15_allowed (is SET)
root@prplOS:/# wl -i wl2 he sr
        HE Spatial Reuse Parameter Set element:
                &lt;Enabled&gt;
        SR Control:
                - HESIGA_Spatial_reuse_value15_allowed (is SET)</t>
  </si>
  <si>
    <t>NonSRGOffsetValid</t>
  </si>
  <si>
    <t>ubus-cli WiFi.Radio.{i}.IEEE80211ax.NonSRGOffsetValid=0</t>
  </si>
  <si>
    <t>wl -i wl0 he options</t>
  </si>
  <si>
    <t xml:space="preserve"> RD suggest to mark it as fail because broadcom didn't implement it</t>
  </si>
  <si>
    <t>SRGInformationValid</t>
  </si>
  <si>
    <t>ubus-cli WiFi.Radio.{i}.IEEE80211ax.SRGInformationValid=0</t>
  </si>
  <si>
    <t xml:space="preserve">1. Check API defualt value:
root@prplOS:/# ubus-cli WiFi.Radio.*.IEEE80211ax.SRGInformationValid?
&gt; WiFi.Radio.*.IEEE80211ax.SRGInformationValid?
WiFi.Radio.1.IEEE80211ax.SRGInformationValid=0
WiFi.Radio.2.IEEE80211ax.SRGInformationValid=0
WiFi.Radio.3.IEEE80211ax.SRGInformationValid=0
2. Set the value to 1(enbaled):
root@prplOS:/# ubus-cli WiFi.Radio.*.IEEE80211ax.SRGInformationValid=1
&gt; WiFi.Radio.*.IEEE80211ax.SRGInformationValid=1
WiFi.Radio.1.IEEE80211ax.
WiFi.Radio.1.IEEE80211ax.SRGInformationValid=1
WiFi.Radio.2.IEEE80211ax.
WiFi.Radio.2.IEEE80211ax.SRGInformationValid=1
WiFi.Radio.3.IEEE80211ax.
WiFi.Radio.3.IEEE80211ax.SRGInformationValid=1
3. Check the radio beacons included SRC district from air.
</t>
  </si>
  <si>
    <t>(SRGInformationValid=0)
root@prplOS:/# wl -i wl0 sr_config options
options 0
root@prplOS:/# wl -i wl1 sr_config options
options 0
root@prplOS:/# wl -i wl2 sr_config options
options 0
(SRGInformationValid=1)
root@prplOS:/# wl -i wl0 sr_config options
options 1
root@prplOS:/# wl -i wl1 sr_config options
options 1
root@prplOS:/# wl -i wl2 sr_config options
options 1</t>
  </si>
  <si>
    <t xml:space="preserve">Tim: Verify by wl command wl sr_config options. If we need to verify this function, we must use omnipeak to check HE-SIG-A Settings in phy layer.
</t>
  </si>
  <si>
    <t>RxBeamformingCapsAvailable</t>
  </si>
  <si>
    <t>ubus-cli WiFi.Radio.{i}.RxBeamformingCapsAvailable="HE_SU_BF,HE_MU_BF"</t>
  </si>
  <si>
    <t>RxBeamformingCapsEnabled</t>
  </si>
  <si>
    <t>ubus-cli WiFi.Radio.{i}.RxBeamformingCapsEnabled="DEFAULT"</t>
  </si>
  <si>
    <t>WiFi.Radio.{i}.ScanResults.</t>
  </si>
  <si>
    <t>NrCoChannelAP</t>
  </si>
  <si>
    <t>ubus-cli WiFi.Radio.{i}.ScanResults.NrCoChannelAP=0</t>
  </si>
  <si>
    <t>WiFi.Radio.{i}.ScanResults.SurroundingChannels.{i}.Accesspoint.{i}.</t>
  </si>
  <si>
    <t>ubus-cli WiFi.Radio.{i}.ScanResults.SurroundingChannels.1.Accesspoint.1.BSSID</t>
  </si>
  <si>
    <t>RSSI</t>
  </si>
  <si>
    <t>ubus-cli WiFi.Radio.{i}.ScanResults.SurroundingChannels.1.Accesspoint.1.RSSI</t>
  </si>
  <si>
    <t>WiFi.Radio.{i}.ScanResults.SurroundingChannels.{i}.Accesspoint.{i}.SSID.{i}.</t>
  </si>
  <si>
    <t>ubus-cli WiFi.Radio.{i}.ScanResults.SurroundingChannels.1.Accesspoint.1.SSID.1.Bandwidth</t>
  </si>
  <si>
    <t>ubus-cli WiFi.Radio.{i}.ScanResults.SurroundingChannels.1.Accesspoint.1.SSID.1.BSSID</t>
  </si>
  <si>
    <t>ubus-cli WiFi.Radio.{i}.ScanResults.SurroundingChannels.1.Accesspoint.1.SSID.1.SSID</t>
  </si>
  <si>
    <t>WiFi.Radio.{i}.ScanResults.SurroundingChannels.{i}.</t>
  </si>
  <si>
    <t>ubus-cli WiFi.Radio.{i}.ScanResults.SurroundingChannels.1.Channel</t>
  </si>
  <si>
    <t>WiFi.Radio.{i}.ScanStats.</t>
  </si>
  <si>
    <t>NrScanDone</t>
  </si>
  <si>
    <t>ubus-cli WiFi.Radio.{i}.ScanStats.NrScanDone=0</t>
  </si>
  <si>
    <t>NrScanError</t>
  </si>
  <si>
    <t>ubus-cli WiFi.Radio.{i}.ScanStats.NrScanError=0</t>
  </si>
  <si>
    <t>ubus-cli WiFi.Radio.{i}.Stats.UnknownProtoPacketsReceived=0</t>
  </si>
  <si>
    <t xml:space="preserve">2026-03-11_EIT: Verified in version 4.0.3
root@prplOS:~# ubus-cli WiFi.Radio.*.Stats.UnknownProtoPacketsReceived?
&gt; WiFi.Radio.*.Stats.UnknownProtoPacketsReceived?
WiFi.Radio.1.Stats.UnknownProtoPacketsReceived=21
WiFi.Radio.2.Stats.UnknownProtoPacketsReceived=2
WiFi.Radio.3.Stats.UnknownProtoPacketsReceived=12
root@prplOS:~# for i in 0 1 2; do wl -i wl$i counters | awk -v r="wl$i" '{for(i=1;i&lt;=NF;i++) if($i=="rxbadproto") print r,"rxbadproto =",$(i+1)}'; done
wl0 rxbadproto = 21
wl1 rxbadproto = 2
wl2 rxbadproto = 12
======================================================
EIT: This counter is for known L2 packets, unable to manually created. </t>
  </si>
  <si>
    <t>WiFi.Radio.{i}.Stats.WmmBytesReceived.</t>
  </si>
  <si>
    <t>ubus-cli WiFi.Radio.{i}.Stats.WmmBytesReceived.AC_BE=0</t>
  </si>
  <si>
    <t>1. Connect WiFi station (use another WiFi7 GW as station with built-in IPERF3)
2. Run IPERF "iperf3 -c &lt;server&gt; -u -b 20M"
3. Verify Radio Stats.WmmBytesReceived.AC_BE
root@prplOS:/# ubus-cli WiFi.Radio.*.? | grep WmmBytesReceived.AC_BE
WiFi.Radio.1.Stats.WmmBytesReceived.AC_BE=26181676
WiFi.Radio.2.Stats.WmmBytesReceived.AC_BE=29353141
WiFi.Radio.3.Stats.WmmBytesReceived.AC_BE=12964238</t>
  </si>
  <si>
    <t>root@prplOS:/# wl -i wl0 wme_counters
AC_BE: tx frames: 23176 bytes: 6830889 failed frames: 0 failed bytes: 0
       rx frames: 17703 bytes: 26181728 failed frames: 0 failed bytes: 0
root@prplOS:/# wl -i wl1 wme_counters
AC_BE: tx frames: 26313 bytes: 7559061 failed frames: 0 failed bytes: 0
       rx frames: 23892 bytes: 29373003 failed frames: 0 failed bytes: 0
root@prplOS:/# wl -i wl2 wme_counters
AC_BE: tx frames: 27338 bytes: 10062679 failed frames: 0 failed bytes: 0
       rx frames: 15706 bytes: 12974825 failed frames: 0 failed bytes: 0</t>
  </si>
  <si>
    <t>ubus-cli WiFi.Radio.{i}.Stats.WmmBytesReceived.AC_BK=0</t>
  </si>
  <si>
    <t xml:space="preserve">1. Connect WiFi station (use another WiFi7 GW as station with built-in IPERF3)
2. Run IPERF "iperf3 -c &lt;server&gt; -u -b 20M --tos 0x20"
3. Verify Radio Stats.WmmBytesReceived.AC_BK
root@prplOS:/# ubus-cli WiFi.Radio.*.? | grep WmmBytesReceived.AC_BK
WiFi.Radio.1.Stats.WmmBytesReceived.AC_BK=26199340
WiFi.Radio.2.Stats.WmmBytesReceived.AC_BK=26112144
WiFi.Radio.3.Stats.WmmBytesReceived.AC_BK=8986758
</t>
  </si>
  <si>
    <t xml:space="preserve">
root@prplOS:/# wl -i wl0 wme_counters
AC_BE: tx frames: 23711 bytes: 7015133 failed frames: 0 failed bytes: 0
       rx frames: 17734 bytes: 26185565 failed frames: 0 failed bytes: 0
root@prplOS:/# wl -i wl1 wme_counters
AC_BE: tx frames: 27022 bytes: 7793601 failed frames: 0 failed bytes: 0
       rx frames: 24127 bytes: 29477143 failed frames: 0 failed bytes: 0
root@prplOS:/# wl -i wl2 wme_counters
AC_BE: tx frames: 28039 bytes: 10354487 failed frames: 0 failed bytes: 0
       rx frames: 16019 bytes: 13032838 failed frames: 0 failed bytes: 0
</t>
  </si>
  <si>
    <t>ubus-cli WiFi.Radio.{i}.Stats.WmmBytesReceived.AC_VI=0</t>
  </si>
  <si>
    <t xml:space="preserve">
1. Connect WiFi station (use another WiFi7 GW as station with built-in IPERF3)
2. Run IPERF "iperf3 -c &lt;server&gt; -u -b 20M --tos 0x88"
3. Verify Radio Stats.WmmBytesReceived.AC_VI
root@prplOS:/# ubus-cli WiFi.Radio.*.? | grep WmmBytesReceived.AC_VI
WiFi.Radio.1.Stats.WmmBytesReceived.AC_VI=26495350
WiFi.Radio.2.Stats.WmmBytesReceived.AC_VI=26555510
WiFi.Radio.3.Stats.WmmBytesReceived.AC_VI=20441610</t>
  </si>
  <si>
    <t xml:space="preserve">wl -i wl0 wme_counters
root@prplOS:/# wl -i wl0 wme_counters
AC_VI: tx frames: 0 bytes: 0 failed frames: 0 failed bytes: 0
       rx frames: 17205 bytes: 26495350 failed frames: 0 failed bytes: 0
root@prplOS:/# wl -i wl1 wme_counters
AC_VI: tx frames: 0 bytes: 0 failed frames: 0 failed bytes: 0
       rx frames: 17244 bytes: 26555510 failed frames: 0 failed bytes: 0
root@prplOS:/# wl -i wl2 wme_counters
AC_VI: tx frames: 0 bytes: 0 failed frames: 0 failed bytes: 0
       rx frames: 13274 bytes: 20441610 failed frames: 0 failed bytes: 0
</t>
  </si>
  <si>
    <t>ubus-cli WiFi.Radio.{i}.Stats.WmmBytesReceived.AC_VO=0</t>
  </si>
  <si>
    <t>1. Connect WiFi station (use another WiFi7 GW as station with built-in IPERF3)
2. Run IPERF "iperf3 -c &lt;server&gt; -u -b 20M --tos 0xB8"
3. Verify Radio Stats.WmmBytesReceived.AC_VO
root@prplOS:/# ubus-cli WiFi.Radio.*.? | grep WmmBytesReceived.AC_VO
WiFi.Radio.1.Stats.WmmBytesReceived.AC_VO=26447565
WiFi.Radio.2.Stats.WmmBytesReceived.AC_VO=26552447
WiFi.Radio.3.Stats.WmmBytesReceived.AC_VO=24337505</t>
  </si>
  <si>
    <t xml:space="preserve">wl -i wl0 wme_counters
root@prplOS:/# wl -i wl0 wme_counters
AC_VO: tx frames: 8 bytes: 3541 failed frames: 0 failed bytes: 0
       rx frames: 17345 bytes: 26447627 failed frames: 0 failed bytes: 0
root@prplOS:/# wl -i wl1 wme_counters
AC_VO: tx frames: 3 bytes: 551 failed frames: 0 failed bytes: 0
       rx frames: 17414 bytes: 26552509 failed frames: 0 failed bytes: 0
root@prplOS:/# wl -i wl2 wme_counters
AC_VO: tx frames: 13 bytes: 6930 failed frames: 0 failed bytes: 0
       rx frames: 15971 bytes: 24337629 failed frames: 0 failed bytes: 0
</t>
  </si>
  <si>
    <t>WiFi.Radio.{i}.Stats.WmmBytesSent.</t>
  </si>
  <si>
    <t>ubus-cli WiFi.Radio.{i}.Stats.WmmBytesSent.AC_BE=0</t>
  </si>
  <si>
    <t xml:space="preserve">
1. Connect two WiFi station (use another WiFi7 GW as station with built-in IPERF3)
2. Run IPERF between Station "iperf3 -c 192.168.1.1 -u -b 20M "
3. Execute command ubus-cli "WiFi.Radio.*.getRadioStats()"
4. Verify Radio Stats.WmmBytesReceived.AC_BE
root@prplOS:/# ubus-cli WiFi.Radio.*.Stats.WmmBytesSent.AC_BE?
root@prplOS:/# ubus-cli WiFi.Radio.*.Stats.WmmBytesSent.AC_BE?
&gt; WiFi.Radio.*.Stats.WmmBytesSent.AC_BE?
WiFi.Radio.1.Stats.WmmBytesSent.AC_BE=39520168
WiFi.Radio.2.Stats.WmmBytesSent.AC_BE=14024785
WiFi.Radio.3.Stats.WmmBytesSent.AC_BE=16518869</t>
  </si>
  <si>
    <t xml:space="preserve">
root@prplOS:/# wl -i wl0 wme_counters
AC_BE: tx frames: 36796 bytes: 39571906 failed frames: 341 failed bytes: 79808
root@prplOS:/# wl -i wl1 wme_counters
AC_BE: tx frames: 33627 bytes: 14116150 failed frames: 0 failed bytes: 0
root@prplOS:/# wl -i wl2 wme_counters
AC_BE: tx frames: 34635 bytes: 16612369 failed frames: 0 failed bytes: 0</t>
  </si>
  <si>
    <t>BRCM: 2025-12-15 Support
the counter between API result and WL wme_counters have big difference</t>
  </si>
  <si>
    <t>ubus-cli WiFi.Radio.{i}.Stats.WmmBytesSent.AC_BK=0</t>
  </si>
  <si>
    <t>1. Connect two WiFi station (use another WiFi7 GW as station with built-in IPERF3)
2. Run IPERF iperf3 -c 192.168.1.1 -u -b 20M --tos 0x20
3. Execute command ubus-cli "WiFi.Radio.*.getRadioStats()"
4. Verify Radio Stats.WmmBytesSent.AC_BK
root@prplOS:/# ubus-cli WiFi.Radio.*.Stats.WmmBytesSent.AC_BK?
root@prplOS:/# ubus-cli WiFi.Radio.*.Stats.WmmBytesSent.AC_BK?
&gt; WiFi.Radio.*.Stats.WmmBytesSent.AC_BK?
WiFi.Radio.1.Stats.WmmBytesSent.AC_BK=25882414
WiFi.Radio.2.Stats.WmmBytesSent.AC_BK=22243076
WiFi.Radio.3.Stats.WmmBytesSent.AC_BK=25877810</t>
  </si>
  <si>
    <t xml:space="preserve">
root@prplOS:/# wl -i wl0 wme_counters
AC_BK: tx frames: 6824 bytes: 25882414 failed frames: 0 failed bytes: 0
root@prplOS:/# wl -i wl1 wme_counters
AC_BK: tx frames: 6243 bytes: 22243076 failed frames: 0 failed bytes: 0
root@prplOS:/# wl -i wl2 wme_counters
AC_BK: tx frames: 9126 bytes: 25877810 failed frames: 0 failed bytes: 0</t>
  </si>
  <si>
    <t>BRCM: 2025-12-15 Support</t>
  </si>
  <si>
    <t>ubus-cli WiFi.Radio.{i}.Stats.WmmBytesSent.AC_VI=0</t>
  </si>
  <si>
    <t>1. Connect two WiFi station (use another WiFi7 GW as station with built-in IPERF3)
2. Run IPERF "iperf3 -c &lt;server&gt; -u -b 20M --tos 0x88"
3. Execute command ubus-cli "WiFi.Radio.*.getRadioStats()"
4. Verify Radio Stats.WmmBytesSent.AC_VI
root@prplOS:/# ubus-cli WiFi.Radio.*.Stats.WmmBytesSent.AC_VI?
&gt; WiFi.Radio.*.Stats.WmmBytesSent.AC_VI?
WiFi.Radio.1.Stats.WmmBytesSent.AC_VI=25861532
WiFi.Radio.2.Stats.WmmBytesSent.AC_VI=6517858
WiFi.Radio.3.Stats.WmmBytesSent.AC_VI=25861532</t>
  </si>
  <si>
    <t xml:space="preserve">wl -i wl0 wme_counters  
root@prplOS:/# wl -i wl0 wme_counters
AC_VI: tx frames: 17265 bytes: 25861532 failed frames: 0 failed bytes: 0
root@prplOS:/# wl -i wl0 wme_counters
AC_VI: tx frames: 4352 bytes: 6517858 failed frames: 0 failed bytes: 0
root@prplOS:/# wl -i wl2 wme_counters
AC_VO: tx frames: 17278 bytes: 25866428 failed frames: 0 failed bytes: 0
</t>
  </si>
  <si>
    <t>ubus-cli WiFi.Radio.{i}.Stats.WmmBytesSent.AC_VO=0</t>
  </si>
  <si>
    <t>1. Connect two WiFi station (use another WiFi7 GW as station with built-in IPERF3)
2. Run IPERF "iperf3 -c &lt;server&gt; -u -b 20M --tos 0xB8"
3. Execute command ubus-cli "WiFi.Radio.*.getRadioStats()"
4. Verify Radio  Stats.WmmBytesSent.AC_VO
root@prplOS:/# ubus-cli WiFi.Radio.*.Stats.WmmBytesSent.AC_VO?
&gt; WiFi.Radio.*.Stats.WmmBytesSent.AC_VO?
WiFi.Radio.1.Stats.WmmBytesSent.AC_VO=25862027
WiFi.Radio.2.Stats.WmmBytesSent.AC_VO=972
WiFi.Radio.3.Stats.WmmBytesSent.AC_VO=25866428</t>
  </si>
  <si>
    <t>root@prplOS:/# wl -i wl0 wme_counters
AC_VO: tx frames: 17268 bytes: 25862027 failed frames: 2 failed bytes: 104
root@prplOS:/# wl -i wl1 wme_counters
AC_VO: tx frames: 6 bytes: 972 failed frames: 0 failed bytes: 0
root@prplOS:/# wl -i wl2 wme_counters
AC_VO: tx frames: 17278 bytes: 25866428 failed frames: 0 failed bytes: 0</t>
  </si>
  <si>
    <t>BRCM: 2025-12-15 Support
0115-EIT: Verify and found Pass. Follow RD suggestion to  execute the command "ubus-cli "WiFi.Radio.*.getRadioStats()"  then check wme counter.
---
the counter between API result and WL wme_counters have big difference</t>
  </si>
  <si>
    <t>WiFi.Radio.{i}.Stats.WmmFailedBytesReceived.</t>
  </si>
  <si>
    <t>ubus-cli WiFi.Radio.{i}.Stats.WmmFailedBytesReceived.AC_BE=0</t>
  </si>
  <si>
    <t>wl -i wl0 wme_counters | grep -A2 "AC_BE" | grep -E 'tx frames|rx frames'
wl -i wl1 wme_counters | grep -A2 "AC_BE" | grep -E 'tx frames|rx frames'
wl -i wl2 wme_counters | grep -A2 "AC_BE" | grep -E 'tx frames|rx frames'</t>
  </si>
  <si>
    <t>root@prplOS:~#
root@prplOS:~# ubus-cli WiFi.Radio.1.Stats.WmmFailedBytesReceived.AC_BE?
&gt; WiFi.Radio.1.Stats.WmmFailedBytesReceived.AC_BE?
WiFi.Radio.1.Stats.WmmFailedBytesReceived.AC_BE=0
root@prplOS:~# ubus-cli WiFi.Radio.2.Stats.WmmFailedBytesReceived.AC_BE?
&gt; WiFi.Radio.2.Stats.WmmFailedBytesReceived.AC_BE?
WiFi.Radio.2.Stats.WmmFailedBytesReceived.AC_BE=0
root@prplOS:~# ubus-cli WiFi.Radio.3.Stats.WmmFailedBytesReceived.AC_BE?
&gt; WiFi.Radio.3.Stats.WmmFailedBytesReceived.AC_BE?
WiFi.Radio.3.Stats.WmmFailedBytesReceived.AC_BE=164
root@prplOS:~# wl -i wl0 wme_counters | grep -E "AC_BE"
AC_BE: tx frames: 541466559 bytes: 850924518 failed frames: 251 failed bytes: 97953</t>
  </si>
  <si>
    <t>ubus-cli WiFi.Radio.{i}.Stats.WmmFailedBytesReceived.AC_BK=0</t>
  </si>
  <si>
    <t>wl -i wl0 wme_counters | grep -A2 "AC_BK" | grep -E 'tx frames|rx frames'
wl -i wl1 wme_counters | grep -A2 "AC_BK" | grep -E 'tx frames|rx frames'
wl -i wl2 wme_counters | grep -A2 "AC_BK" | grep -E 'tx frames|rx frames'</t>
  </si>
  <si>
    <t>root@prplOS:~# ubus-cli WiFi.Radio.1.Stats.WmmFailedBytesReceived.AC_BK?
&gt; WiFi.Radio.1.Stats.WmmFailedBytesReceived.AC_BK?
WiFi.Radio.1.Stats.WmmFailedBytesReceived.AC_BK=0
root@prplOS:~# ubus-cli WiFi.Radio.2.Stats.WmmFailedBytesReceived.AC_BK?
&gt; WiFi.Radio.2.Stats.WmmFailedBytesReceived.AC_BK?
WiFi.Radio.2.Stats.WmmFailedBytesReceived.AC_BK=0
root@prplOS:~# ubus-cli WiFi.Radio.3.Stats.WmmFailedBytesReceived.AC_BK?
&gt; WiFi.Radio.3.Stats.WmmFailedBytesReceived.AC_BK?
WiFi.Radio.3.Stats.WmmFailedBytesReceived.AC_BK=0
root@prplOS:~# wl -i wl0 wme_counters | grep -E -A1 "AC_BK"
AC_BK: tx frames: 0 bytes: 0 failed frames: 0 failed bytes: 0
       rx frames: 0 bytes: 0 failed frames: 0 failed bytes: 0</t>
  </si>
  <si>
    <t>ubus-cli WiFi.Radio.{i}.Stats.WmmFailedBytesReceived.AC_VI=0</t>
  </si>
  <si>
    <t>wl -i wl0 wme_counters | grep -A2 "AC_VI" | grep -E 'tx frames|rx frames'
wl -i wl1 wme_counters | grep -A2 "AC_VI" | grep -E 'tx frames|rx frames'
wl -i wl2 wme_counters | grep -A2 "AC_VI" | grep -E 'tx frames|rx frames'</t>
  </si>
  <si>
    <t>root@prplOS:~# ubus-cli WiFi.Radio.1.Stats.WmmFailedBytesReceived.AC_VI?
&gt; WiFi.Radio.1.Stats.WmmFailedBytesReceived.AC_VI?
WiFi.Radio.1.Stats.WmmFailedBytesReceived.AC_VI=0
root@prplOS:~# ubus-cli WiFi.Radio.2.Stats.WmmFailedBytesReceived.AC_VI?
&gt; WiFi.Radio.2.Stats.WmmFailedBytesReceived.AC_VI?
WiFi.Radio.2.Stats.WmmFailedBytesReceived.AC_VI=0
root@prplOS:~# ubus-cli WiFi.Radio.3.Stats.WmmFailedBytesReceived.AC_VI?
&gt; WiFi.Radio.3.Stats.WmmFailedBytesReceived.AC_VI?
WiFi.Radio.3.Stats.WmmFailedBytesReceived.AC_VI=0
root@prplOS:~# wl -i wl0 wme_counters | grep -E -A1 "AC_VI"
AC_VI: tx frames: 0 bytes: 0 failed frames: 0 failed bytes: 0
       rx frames: 0 bytes: 0 failed frames: 0 failed bytes: 0</t>
  </si>
  <si>
    <t>ubus-cli WiFi.Radio.{i}.Stats.WmmFailedBytesReceived.AC_VO=0</t>
  </si>
  <si>
    <t>wl -i wl0 wme_counters | grep -A2 "AC_VO" | grep -E 'tx frames|rx frames'
wl -i wl1 wme_counters | grep -A2 "AC_VO" | grep -E 'tx frames|rx frames'
wl -i wl2 wme_counters | grep -A2 "AC_VO" | grep -E 'tx frames|rx frames'</t>
  </si>
  <si>
    <t>root@prplOS:~# ubus-cli WiFi.Radio.1.Stats.WmmFailedBytesReceived.AC_VO?
&gt; WiFi.Radio.1.Stats.WmmFailedBytesReceived.AC_VO?
WiFi.Radio.1.Stats.WmmFailedBytesReceived.AC_VO=0
root@prplOS:~# ubus-cli WiFi.Radio.2.Stats.WmmFailedBytesReceived.AC_VO?
&gt; WiFi.Radio.2.Stats.WmmFailedBytesReceived.AC_VO?
WiFi.Radio.2.Stats.WmmFailedBytesReceived.AC_VO=0
root@prplOS:~# ubus-cli WiFi.Radio.3.Stats.WmmFailedBytesReceived.AC_VO?
&gt; WiFi.Radio.3.Stats.WmmFailedBytesReceived.AC_VO?
WiFi.Radio.3.Stats.WmmFailedBytesReceived.AC_VO=0
root@prplOS:~# wl -i wl0 wme_counters | grep -E -A1 "AC_VO"
AC_VO: tx frames: 53 bytes: 10033 failed frames: 0 failed bytes: 0
       rx frames: 14243 bytes: 886285 failed frames: 0 failed bytes: 0</t>
  </si>
  <si>
    <t>WiFi.Radio.{i}.Stats.WmmFailedbytesSent.</t>
  </si>
  <si>
    <t>ubus-cli WiFi.Radio.{i}.Stats.WmmFailedbytesSent.AC_BE=0</t>
  </si>
  <si>
    <t>root@prplOS:~# ubus-cli WiFi.Radio.1.Stats.WmmFailedbytesSent.AC_BE?
&gt; WiFi.Radio.1.Stats.WmmFailedbytesSent.AC_BE?
WiFi.Radio.1.Stats.WmmFailedbytesSent.AC_BE=97953
root@prplOS:~# ubus-cli WiFi.Radio.2.Stats.WmmFailedbytesSent.AC_BE?
&gt; WiFi.Radio.2.Stats.WmmFailedbytesSent.AC_BE?
WiFi.Radio.2.Stats.WmmFailedbytesSent.AC_BE=0
root@prplOS:~# ubus-cli WiFi.Radio.3.Stats.WmmFailedbytesSent.AC_BE?
&gt; WiFi.Radio.3.Stats.WmmFailedbytesSent.AC_BE?
WiFi.Radio.3.Stats.WmmFailedbytesSent.AC_BE=2702
root@prplOS:~# wl -i wl0 wme_counters | grep -A1 "AC_BE"
AC_BE: tx frames: 541472937 bytes: 852903510 failed frames: 251 failed bytes: 97953
       rx frames: 4160418307 bytes: 1357101682 failed frames: 0 failed bytes: 0
root@prplOS:~# wl -i wl1 wme_counters | grep -A1 "AC_BE"
AC_BE: tx frames: 746473907 bytes: 2555119958 failed frames: 0 failed bytes: 0
       rx frames: 1114264158 bytes: 3037424408 failed frames: 0 failed bytes: 0
root@prplOS:~# wl -i wl2 wme_counters | grep -A1 "AC_BE"
AC_BE: tx frames: 1056286566 bytes: 2091479268 failed frames: 19 failed bytes: 2702
       rx frames: 2966748399 bytes: 863166383 failed frames: 1 failed bytes: 164</t>
  </si>
  <si>
    <t>Wait BRCM patch.version</t>
  </si>
  <si>
    <t>ubus-cli WiFi.Radio.{i}.Stats.WmmFailedbytesSent.AC_BK=0</t>
  </si>
  <si>
    <t>ubus-cli WiFi.Radio.{i}.Stats.WmmFailedbytesSent.AC_VI=0</t>
  </si>
  <si>
    <t xml:space="preserve">
ubus-cli WiFi.SSID.? | grep -E "SSID\.(4|6|8)\.Stats.WmmFailedSent.AC_BE"
for i in wl0 wl1 wl2; do wl -i $i wme_counters | awk -v i=$i '/^AC_/{ac=$1}/failed bytes:/ &amp;&amp; $NF&gt;0{print i,ac,"failed bytes:",$NF}'; done
for i in wl0 wl1 wl2; 
  do  wl -i $i wme_counters | awk -v i=$i '/^AC_VI:/ &amp;&amp; /tx frames:/ {print i,"AC_VI:tx failed bytes:",$NF}'
done
</t>
  </si>
  <si>
    <t>ubus-cli WiFi.Radio.{i}.Stats.WmmFailedbytesSent.AC_VO=0</t>
  </si>
  <si>
    <t>root@prplOS:~# ubus-cli WiFi.Radio.1.Stats.WmmFailedbytesSent.AC_BK?
&gt; WiFi.Radio.1.Stats.WmmFailedbytesSent.AC_BK?
WiFi.Radio.1.Stats.WmmFailedbytesSent.AC_BK=0
root@prplOS:~# ubus-cli WiFi.Radio.2.Stats.WmmFailedbytesSent.AC_BK?
&gt; WiFi.Radio.2.Stats.WmmFailedbytesSent.AC_BK?
WiFi.Radio.2.Stats.WmmFailedbytesSent.AC_BK=0
root@prplOS:~# ubus-cli WiFi.Radio.3.Stats.WmmFailedbytesSent.AC_BK?
&gt; WiFi.Radio.3.Stats.WmmFailedbytesSent.AC_BK?
WiFi.Radio.3.Stats.WmmFailedbytesSent.AC_BK=0
root@prplOS:~# wl -i wl0 wme_counters | grep -A1 "AC_BK"
AC_BK: tx frames: 0 bytes: 0 failed frames: 0 failed bytes: 0
       rx frames: 0 bytes: 0 failed frames: 0 failed bytes: 0
root@prplOS:~# wl -i wl1 wme_counters | grep -A1 "AC_BK"
AC_BK: tx frames: 0 bytes: 0 failed frames: 0 failed bytes: 0
       rx frames: 0 bytes: 0 failed frames: 0 failed bytes: 0
root@prplOS:~# wl -i wl2 wme_counters | grep -A1 "AC_BK"
AC_BK: tx frames: 0 bytes: 0 failed frames: 0 failed bytes: 0
       rx frames: 0 bytes: 0 failed frames: 0 failed bytes: 0</t>
  </si>
  <si>
    <t>VHTCapabilities</t>
  </si>
  <si>
    <t>ubus-cli WiFi.Radio.{i}.VHTCapabilities="AAAAAA=="</t>
  </si>
  <si>
    <t>1. Try to get API default value:
root@prplOS:/# ubus-cli WiFi.Radio.*.VHTCapabilities.?
&gt; WiFi.Radio.*.VHTCapabilities.?
ERROR: get WiFi.Radio.*.VHTCapabilities. failed (2 - object not found)</t>
  </si>
  <si>
    <t xml:space="preserve">ARC: This data model is proteced in the odl of pWHM.
03/06 Tim:
This data model is base64 format. We can read WiFi.Radio.1.RadCapabilitiesVHTStr which is STRING format
BRCM: raw values, in base64 as per the Tr181 Spec 
EIT: API return object not found
</t>
  </si>
  <si>
    <t xml:space="preserve">
1. Connect WiFi Station to SSID4, SSID6 and SSID8
2. Run traffic between Station
3. Verify SSID Retry Count
root@prplOS:/# ubus-cli WiFi.SSID.*.Stats.RetryCount?
&gt; WiFi.SSID.*.Stats.RetryCount?
WiFi.SSID.4.Stats.RetryCount=0
WiFi.SSID.6.Stats.RetryCount=0
WiFi.SSID.8.Stats.RetryCount=0
</t>
  </si>
  <si>
    <t>not support per ssid</t>
  </si>
  <si>
    <t>BRCM: not support per ssid
EIT: API always return "0" while in the driver the retries statistic not equal to "0".</t>
  </si>
  <si>
    <t>WiFi.SSID.{i}.Stats.WmmBytesReceived.</t>
  </si>
  <si>
    <t>ubus-cli WiFi.SSID.{i}.Stats.WmmBytesReceived.AC_BE=0</t>
  </si>
  <si>
    <t>1. Connect two WiFi station (use another WiFi7 GW as station with built-in IPERF3)
2. Run IPERF between Station "iperf3 -c 192.168.1.1 -u -b 20M "
3. Verify SSID Stats WmmBytesReceived.AC_BE
root@prplOS:/# ubus-cli WiFi.SSID.6.? | grep Received.AC_BE
WiFi.SSID.6.Stats.WmmBytesReceived.AC_BE=0</t>
  </si>
  <si>
    <t>root@prplOS:/# ubus-cli "WiFi.Radio.*.getRadioStats()"?
&gt; WiFi.Radio.*.getRadioStats()?
WiFi.Radio.1.getRadioStats() returned
[
    {
        WmmBytesReceived = {
            AC_BE = 31127479,</t>
  </si>
  <si>
    <t>BRCM: not support per ssid
EIT: API always return "0"</t>
  </si>
  <si>
    <t>ubus-cli WiFi.SSID.{i}.Stats.WmmBytesReceived.AC_BK=0</t>
  </si>
  <si>
    <t>1. Connect two WiFi station (use another WiFi7 GW as station with built-in IPERF3)
2. Run IPERF iperf3 -c 192.168.1.1 -u -b 20M --tos 0x20
3. Verify SSID stats WmmBytesReceived.AC_BK
root@prplOS:/# ubus-cli WiFi.SSID.6.? | grep Received.AC_BK
WiFi.SSID.6.Stats.WmmBytesReceived.AC_BK=0</t>
  </si>
  <si>
    <t>ubus-cli WiFi.SSID.{i}.Stats.WmmBytesReceived.AC_VI=0</t>
  </si>
  <si>
    <t>1. Connect WiFi station (use another WiFi7 GW as station with built-in IPERF3)
2. Run IPERF "iperf3 -c &lt;server&gt; -u -b 20M --tos 0x88"
3. Verify SSID stats  WmmBytesReceived.AC_VI=0
root@prplOS:/# ubus-cli WiFi.SSID.6.? | grep Received.AC_VI
WiFi.SSID.6.Stats.WmmBytesReceived.AC_VI=0</t>
  </si>
  <si>
    <t>AC_VI: tx frames: 17268 bytes: 25867464 failed frames: 0 failed bytes: 0
       rx frames: 41129 bytes: 63338410 failed frames: 0 failed bytes: 0
       foward frames: 0 bytes: 0
       tx frames time expired: 0</t>
  </si>
  <si>
    <t>ubus-cli WiFi.SSID.{i}.Stats.WmmBytesReceived.AC_VO=0</t>
  </si>
  <si>
    <t>1. Connect two WiFi station (use another WiFi7 GW as station with built-in IPERF3)
2. Run IPERF "iperf3 -c &lt;server&gt; -u -b 20M --tos 0xB8"
3. Verify SSID stats WmmBytesReceived.AC_VO
root@prplOS:/# ubus-cli WiFi.SSID.6.? | grep Received.AC_VO
WiFi.SSID.6.Stats.WmmBytesReceived.AC_VO=0</t>
  </si>
  <si>
    <t>AC_VO: tx frames: 3 bytes: 495 failed frames: 0 failed bytes: 0
       rx frames: 60 bytes: 3881 failed frames: 0 failed bytes: 0
       foward frames: 0 bytes: 0
       tx frames time expired: 0</t>
  </si>
  <si>
    <t>WiFi.SSID.{i}.Stats.WmmBytesSent.</t>
  </si>
  <si>
    <t>ubus-cli WiFi.SSID.{i}.Stats.WmmBytesSent.AC_BE=0</t>
  </si>
  <si>
    <t>1. Connect two WiFi station (use another WiFi7 GW as station with built-in IPERF3)
2. Run IPERF between Station "iperf3 -c 192.168.1.1 -u -b 20M "
3. Verify SSID Stats WmmBytesSent.AC_BE
root@prplOS:/# ubus-cli WiFi.SSID.6.Stats.WmmBytesSent.AC_BE?
&gt; WiFi.SSID.6.Stats.WmmBytesSent.AC_BE?
WiFi.SSID.6.Stats.WmmBytesSent.AC_BE=0</t>
  </si>
  <si>
    <t>AC_BE: tx frames: 276356 bytes: 92402812 failed frames: 0 failed bytes: 0
       rx frames: 151075 bytes: 213342272 failed frames: 0 failed bytes: 0</t>
  </si>
  <si>
    <t>ubus-cli WiFi.SSID.{i}.Stats.WmmBytesSent.AC_BK=0</t>
  </si>
  <si>
    <t>1. Connect two WiFi station (use another WiFi7 GW as station with built-in IPERF3)
2. Run IPERF iperf3 -c 192.168.1.1 -u -b 20M --tos 0x20
3. Verify SSID stats WmmBytesSent.AC_BK
root@prplOS:/# ubus-cli WiFi.SSID.6.Stats.WmmBytesSent.AC_BK?
&gt; WiFi.SSID.6.Stats.WmmBytesSent.AC_BK?
WiFi.SSID.6.Stats.WmmBytesSent.AC_BK=0</t>
  </si>
  <si>
    <t>AC_BK: tx frames: 19966 bytes: 51776082 failed frames: 0 failed bytes: 0
       rx frames: 51790 bytes: 78625362 failed frames: 0 failed bytes: 0</t>
  </si>
  <si>
    <t>ubus-cli WiFi.SSID.{i}.Stats.WmmBytesSent.AC_VI=0</t>
  </si>
  <si>
    <t>1. Connect WiFi station (use another WiFi7 GW as station with built-in IPERF3)
2. Run IPERF "iperf3 -c &lt;server&gt; -u -b 20M --tos 0x88"
3. Verify SSID stats  WmmBytesSent.AC_VI=0
root@prplOS:/# ubus-cli WiFi.SSID.6.Stats.WmmBytesSent.AC_VI?
&gt; WiFi.SSID.6.Stats.WmmBytesSent.AC_VI?
WiFi.SSID.6.Stats.WmmBytesSent.AC_VI=0</t>
  </si>
  <si>
    <t>AC_VI: tx frames: 17268 bytes: 25867464 failed frames: 0 failed bytes: 0
       rx frames: 41129 bytes: 63338410 failed frames: 0 failed bytes: 0</t>
  </si>
  <si>
    <t>ubus-cli WiFi.SSID.{i}.Stats.WmmBytesSent.AC_VO=0</t>
  </si>
  <si>
    <t>1. Connect two WiFi station (use another WiFi7 GW as station with built-in IPERF3)
2. Run IPERF "iperf3 -c &lt;server&gt; -u -b 20M --tos 0xB8"
3. Verify SSID stats WmmBytesSent.AC_VO
root@prplOS:/# ubus-cli WiFi.SSID.6.Stats.WmmBytesSent.AC_VO?
&gt; WiFi.SSID.6.Stats.WmmBytesSent.AC_VO?
WiFi.SSID.6.Stats.WmmBytesSent.AC_VO=0</t>
  </si>
  <si>
    <t>AC_VO: tx frames: 17284 bytes: 25887433 failed frames: 0 failed bytes: 0
       rx frames: 34616 bytes: 53178487 failed frames: 0 failed bytes: 0</t>
  </si>
  <si>
    <t>WiFi.SSID.{i}.Stats.WmmFailedBytesReceived.</t>
  </si>
  <si>
    <t>ubus-cli WiFi.SSID.{i}.Stats.WmmFailedBytesReceived.AC_BE=0</t>
  </si>
  <si>
    <t xml:space="preserve">BRCM: not support per ssid
EIT: The WMM FailedBytes counters for all access categories (AC_BE, AC_BK, AC_VI, AC_VO) remained at zero during testing.
These counters increment only when QoS-classified Wi-Fi frames experience transmission or reception failures.
As a result, no WMM queue failures were triggered, and the counters remained at zero, which is expected behavior under low-load, low-interference test conditions.
</t>
  </si>
  <si>
    <t>ubus-cli WiFi.SSID.{i}.Stats.WmmFailedBytesReceived.AC_BK=0</t>
  </si>
  <si>
    <t>ubus-cli WiFi.SSID.{i}.Stats.WmmFailedBytesReceived.AC_VI=0</t>
  </si>
  <si>
    <t>ubus-cli WiFi.SSID.{i}.Stats.WmmFailedBytesReceived.AC_VO=0</t>
  </si>
  <si>
    <t>WiFi.SSID.{i}.Stats.WmmFailedbytesSent.</t>
  </si>
  <si>
    <t>ubus-cli WiFi.SSID.{i}.Stats.WmmFailedbytesSent.AC_BE=0</t>
  </si>
  <si>
    <t>ubus-cli WiFi.SSID.{i}.Stats.WmmFailedbytesSent.AC_BK=0</t>
  </si>
  <si>
    <t>ubus-cli WiFi.SSID.{i}.Stats.WmmFailedbytesSent.AC_VI=0</t>
  </si>
  <si>
    <t>ubus-cli WiFi.SSID.{i}.Stats.WmmFailedbytesSent.AC_VO=0</t>
  </si>
  <si>
    <t>WiFi.SSID.{i}.Stats.WmmFailedReceived.</t>
  </si>
  <si>
    <t>ubus-cli WiFi.SSID.{i}.Stats.WmmFailedReceived.AC_BE=0</t>
  </si>
  <si>
    <t>ubus-cli WiFi.SSID.{i}.Stats.WmmFailedReceived.AC_BK=0</t>
  </si>
  <si>
    <t>ubus-cli WiFi.SSID.{i}.Stats.WmmFailedReceived.AC_VI=0</t>
  </si>
  <si>
    <t>ubus-cli WiFi.SSID.{i}.Stats.WmmFailedReceived.AC_VO=0</t>
  </si>
  <si>
    <t>WiFi.SSID.{i}.Stats.WmmFailedSent.</t>
  </si>
  <si>
    <t>ubus-cli WiFi.SSID.{i}.Stats.WmmFailedSent.AC_BE=0</t>
  </si>
  <si>
    <t>ubus-cli WiFi.SSID.{i}.Stats.WmmFailedSent.AC_BK=0</t>
  </si>
  <si>
    <t>ubus-cli WiFi.SSID.{i}.Stats.WmmFailedSent.AC_VI=0</t>
  </si>
  <si>
    <t>ubus-cli WiFi.SSID.{i}.Stats.WmmFailedSent.AC_VO=0</t>
  </si>
  <si>
    <t>WiFi.SSID.{i}.Stats.WmmPacketsReceived.</t>
  </si>
  <si>
    <t>ubus-cli WiFi.SSID.{i}.Stats.WmmPacketsReceived.AC_BE=0</t>
  </si>
  <si>
    <t xml:space="preserve">1. Connect two WiFi station (use another WiFi7 GW as station with built-in IPERF3)
2. Run IPERF between Station "iperf3 -c 192.168.1.1 -u -b 20M "
3. Verify SSID Stats WmmPacketsReceived
root@prplOS:/# ubus-cli WiFi.SSID.*.Stats.WmmPacketsReceived.AC_BE?
&gt; WiFi.SSID.*.Stats.WmmPacketsReceived.AC_BE?
WiFi.SSID.4.Stats.WmmPacketsReceived.AC_BE=0
WiFi.SSID.6.Stats.WmmPacketsReceived.AC_BE=0
WiFi.SSID.8.Stats.WmmPacketsReceived.AC_BE=0
</t>
  </si>
  <si>
    <t>=== wl0 ===
AC_BE: tx frames: 45499 bytes: 36437621 failed frames: 0 failed bytes: 0
       rx frames: 18129 bytes: 26231742 failed frames: 0 failed bytes: 0
=== wl1 ===
AC_BE: tx frames: 50782 bytes: 37665998 failed frames: 0 failed bytes: 0
       rx frames: 28161 bytes: 31317657 failed frames: 0 failed bytes: 0
=== wl2 ===
AC_BE: tx frames: 51352 bytes: 41610951 failed frames: 0 failed bytes: 0
       rx frames: 20718 bytes: 13838627 failed frames: 0 failed bytes: 0</t>
  </si>
  <si>
    <t>limitation, not support per ssid</t>
  </si>
  <si>
    <t>BRCM: limitation, not support per ssid
EIT: API return "0"</t>
  </si>
  <si>
    <t>ubus-cli WiFi.SSID.{i}.Stats.WmmPacketsReceived.AC_BK=0</t>
  </si>
  <si>
    <t xml:space="preserve">1. Connect two WiFi station (use another WiFi7 GW as station with built-in IPERF3)
2. Run IPERF iperf3 -c 192.168.1.1 -u -b 20M --tos 0x20
3. Verify SSID stats WmmPacketsReceived.AC_BK
root@prplOS:/# ubus-cli WiFi.SSID.*.Stats.WmmPacketsReceived.AC_BK?
&gt; WiFi.SSID.*.Stats.WmmPacketsReceived.AC_BK?
WiFi.SSID.4.Stats.WmmPacketsReceived.AC_BK=0
WiFi.SSID.6.Stats.WmmPacketsReceived.AC_BK=0
WiFi.SSID.8.Stats.WmmPacketsReceived.AC_BK=0
</t>
  </si>
  <si>
    <t>=== wl0 ===
AC_BK: tx frames: 19670 bytes: 51820236 failed frames: 0 failed bytes: 0
       rx frames: 17259 bytes: 26199340 failed frames: 0 failed bytes: 0
=== wl1 ===
AC_BK: tx frames: 39877 bytes: 103534322 failed frames: 0 failed bytes: 0
       rx frames: 17197 bytes: 26112144 failed frames: 0 failed bytes: 0
=== wl2 ===
AC_BK: tx frames: 17636 bytes: 51527360 failed frames: 0 failed bytes: 0
       rx frames: 5919 bytes: 8986758 failed frames: 0 failed bytes: 0</t>
  </si>
  <si>
    <t>ubus-cli WiFi.SSID.{i}.Stats.WmmPacketsReceived.AC_VI=0</t>
  </si>
  <si>
    <t xml:space="preserve">1. Connect WiFi station (use another WiFi7 GW as station with built-in IPERF3)
2. Run IPERF "iperf3 -c &lt;server&gt; -u -b 20M --tos 0x88"
3. Verify SSID stats  WmmPacketsReceived.AC_VI=0
root@prplOS:/# ubus-cli WiFi.SSID.*.Stats.WmmPacketsReceived.AC_VI?
&gt; WiFi.SSID.*.Stats.WmmPacketsReceived.AC_VI?
WiFi.SSID.4.Stats.WmmPacketsReceived.AC_VI=0
WiFi.SSID.6.Stats.WmmPacketsReceived.AC_VI=0
WiFi.SSID.8.Stats.WmmPacketsReceived.AC_VI=0
</t>
  </si>
  <si>
    <t>=== wl0 ===
AC_VI: tx frames: 34558 bytes: 51766446 failed frames: 0 failed bytes: 0
       rx frames: 17205 bytes: 26495350 failed frames: 0 failed bytes: 0
=== wl1 ===
AC_VI: tx frames: 34536 bytes: 51733490 failed frames: 0 failed bytes: 0
       rx frames: 17244 bytes: 26555510 failed frames: 0 failed bytes: 0
=== wl2 ===
AC_VI: tx frames: 34902 bytes: 52281758 failed frames: 0 failed bytes: 0
       rx frames: 13274 bytes: 20441610 failed frames: 0 failed bytes: 0</t>
  </si>
  <si>
    <t>ubus-cli WiFi.SSID.{i}.Stats.WmmPacketsReceived.AC_VO=0</t>
  </si>
  <si>
    <t xml:space="preserve">1. Connect two WiFi station (use another WiFi7 GW as station with built-in IPERF3)
2. Run IPERF "iperf3 -c &lt;server&gt; -u -b 20M --tos 0xB8"
3. Verify SSID stats WmmPacketsReceived.AC_VO
root@prplOS:/# ubus-cli WiFi.SSID.*.Stats.WmmPacketsReceived.AC_VO?
&gt; WiFi.SSID.*.Stats.WmmPacketsReceived.AC_VO?
WiFi.SSID.4.Stats.WmmPacketsReceived.AC_VO=0
WiFi.SSID.6.Stats.WmmPacketsReceived.AC_VO=0
WiFi.SSID.8.Stats.WmmPacketsReceived.AC_VO=0
</t>
  </si>
  <si>
    <t>=== wl0 ===
AC_VO: tx frames: 34553 bytes: 51750513 failed frames: 0 failed bytes: 0
       rx frames: 17428 bytes: 26453929 failed frames: 0 failed bytes: 0
=== wl1 ===
AC_VO: tx frames: 51806 bytes: 77598569 failed frames: 0 failed bytes: 0
       rx frames: 17494 bytes: 26557469 failed frames: 0 failed bytes: 0
=== wl2 ===
AC_VO: tx frames: 34644 bytes: 51882730 failed frames: 0 failed bytes: 0
       rx frames: 16055 bytes: 24346305 failed frames: 0 failed bytes: 0</t>
  </si>
  <si>
    <t>WiFi.SSID.{i}.Stats.WmmPacketsSent.</t>
  </si>
  <si>
    <t>ubus-cli WiFi.SSID.{i}.Stats.WmmPacketsSent.AC_BE=0</t>
  </si>
  <si>
    <t xml:space="preserve">1. Connect two WiFi station (use another WiFi7 GW as station with built-in IPERF3)
2. Run IPERF between Station "iperf3 -c 192.168.1.1 -u -b 20M "
3. Verify SSID Stats.WmmPacketsSent.AC_BE
root@prplOS:/#  ubus-cli WiFi.SSID.*.Stats.WmmPacketsSent.AC_BE?
&gt; WiFi.SSID.*.Stats.WmmPacketsSent.AC_BE?
WiFi.SSID.4.Stats.WmmPacketsSent.AC_BE=0
WiFi.SSID.6.Stats.WmmPacketsSent.AC_BE=0
WiFi.SSID.8.Stats.WmmPacketsSent.AC_BE=0
</t>
  </si>
  <si>
    <t>ubus-cli WiFi.SSID.{i}.Stats.WmmPacketsSent.AC_BK=0</t>
  </si>
  <si>
    <t xml:space="preserve">1. Connect two WiFi station (use another WiFi7 GW as station with built-in IPERF3)
2. Run IPERF iperf3 -c 192.168.1.1 -u -b 20M --tos 0x20
3. Verify SSID stats WmmPacketsSent.AC_BK
root@prplOS:/#  ubus-cli WiFi.SSID.*.Stats.WmmPacketsSent.AC_BK?
&gt; WiFi.SSID.*.Stats.WmmPacketsSent.AC_BK?
WiFi.SSID.4.Stats.WmmPacketsSent.AC_BK=0
WiFi.SSID.6.Stats.WmmPacketsSent.AC_BK=0
WiFi.SSID.8.Stats.WmmPacketsSent.AC_BK=0
</t>
  </si>
  <si>
    <t>ubus-cli WiFi.SSID.{i}.Stats.WmmPacketsSent.AC_VI=0</t>
  </si>
  <si>
    <t xml:space="preserve">1. Connect WiFi station (use another WiFi7 GW as station with built-in IPERF3)
2. Run IPERF "iperf3 -c &lt;server&gt; -u -b 20M --tos 0x88"
3. Verify SSID stats  WmmPacketsSent.AC_VI=0
root@prplOS:/#  ubus-cli WiFi.SSID.*.Stats.WmmPacketsSent.AC_VI?
&gt; WiFi.SSID.*.Stats.WmmPacketsSent.AC_VI?
WiFi.SSID.4.Stats.WmmPacketsSent.AC_VI=0
WiFi.SSID.6.Stats.WmmPacketsSent.AC_VI=0
WiFi.SSID.8.Stats.WmmPacketsSent.AC_VI=0
</t>
  </si>
  <si>
    <t>ubus-cli WiFi.SSID.{i}.Stats.WmmPacketsSent.AC_VO=0</t>
  </si>
  <si>
    <t xml:space="preserve">1. Connect two WiFi station (use another WiFi7 GW as station with built-in IPERF3)
2. Run IPERF "iperf3 -c &lt;server&gt; -u -b 20M --tos 0xB8"
3. Verify SSID stats WmmPacketsSent.AC_VO
root@prplOS:/#  ubus-cli WiFi.SSID.*.Stats.WmmPacketsSent.AC_VO?
&gt; WiFi.SSID.*.Stats.WmmPacketsSent.AC_VO?
WiFi.SSID.4.Stats.WmmPacketsSent.AC_VO=0
WiFi.SSID.6.Stats.WmmPacketsSent.AC_VO=0
WiFi.SSID.8.Stats.WmmPacketsSent.AC_VO=0
</t>
  </si>
  <si>
    <t>getSpectrumInfo()</t>
  </si>
  <si>
    <t>ubus-cli WiFi.Radio.{i}.getSpectrumInfo() bandwidth</t>
  </si>
  <si>
    <t>1. Power On the GW.
2.  Verify SpectrumInfo() bandwidth
root@prplOS:/# ubus-cli "WiFi.Radio.*.getSpectrumInfo() bandwidth"
&gt; WiFi.Radio.*.getSpectrumInfo() bandwidth
WiFi.Radio.1.getSpectrumInfo() returned
[
    [
    ]
]
WiFi.Radio.2.getSpectrumInfo() returned
[
    [
    ]
]
WiFi.Radio.3.getSpectrumInfo() returned
[
    [
    ]
]</t>
  </si>
  <si>
    <t>root@prplOS:/# wl -i wl0 chanspec
36 (0xd024)
Channel: 36, Band: 5 GHz, Bandwidth: 20 MHz
Hex breakdown: 0xd024
Bits	         Meaning
0x0024	Channel 36
0x1000	5 GHz band
0xC000	20 MHz
root@prplOS:/# wl -i wl1 chanspec
6g1 (0x5001)
Channel: 1, Band: 6 GHz, Bandwidth: 20 MHz
Hex breakdown: 0x5001
Bits	         Meaning
0x0001	Channel 1
0x4000	6 GHz band
0x1000	20 MHz
root@prplOS:/# wl -i wl2 chanspec
1 (0x1001)
Channel: 1, Band: 2.4 GHz, Bandwidth: 20 MHz
Hex breakdown: 0x1001
Bits	        Meaning
0x0001	Channel 1
0x1000	2.4 GHz band
0x0000	20 MHz</t>
  </si>
  <si>
    <t>2026-03-20_EIT: verified and found fixed in version 4.0.3v1.4
 -------------------------------------------------------------------------------
BRCM: wifi driver need to support survey feature in wl_cfg80211</t>
  </si>
  <si>
    <t>ubus-cli WiFi.Radio.{i}.getSpectrumInfo() channel</t>
  </si>
  <si>
    <t xml:space="preserve">1. Power On the GW
2. Verify  "getSpectrumInfo() channel"
root@prplOS:/# ubus-cli "WiFi.Radio.*.getSpectrumInfo() channel"
&gt; WiFi.Radio.*.getSpectrumInfo() channel
WiFi.Radio.1.getSpectrumInfo() returned
[
    [
    ]
]
WiFi.Radio.2.getSpectrumInfo() returned
[
    [
    ]
]
WiFi.Radio.3.getSpectrumInfo() returned
[
    [
    ]
]
</t>
  </si>
  <si>
    <t>root@prplOS:/# wl -i wl0 channel
No scan in progress.
current mac channel     36
target channel  36
root@prplOS:/# wl -i wl1 channel
No scan in progress.
current mac channel     1
target channel  1
root@prplOS:/# wl -i wl2 channel
No scan in progress.
current mac channel     1
target channel  1</t>
  </si>
  <si>
    <t>wifi driver need to support survey feature</t>
  </si>
  <si>
    <t xml:space="preserve">
2026-03-20_EIT: verified and found fixed in version 4.0.3v1.4
 -------------------------------------------------------------------------------
BRCM: wifi driver need to support survey feature in wl_cfg80211
EIT: API return "empty"</t>
  </si>
  <si>
    <t>ubus-cli WiFi.Radio.{i}.getSpectrumInfo() noiselevel</t>
  </si>
  <si>
    <t>1. Power On the GW
2. Verify "SpectrumInfo() noiselevel"
root@prplOS:/# ubus-cli "WiFi.Radio.*.getSpectrumInfo() noiselevel"
&gt; WiFi.Radio.*.getSpectrumInfo() noiselevel
WiFi.Radio.1.getSpectrumInfo() returned
[
    [
    ]
]
WiFi.Radio.2.getSpectrumInfo() returned
[
    [
    ]
]
WiFi.Radio.3.getSpectrumInfo() returned
[
    [
    ]
]</t>
  </si>
  <si>
    <t>root@prplOS:/# wl -i wl0 noise
-99
root@prplOS:/# wl -i wl1 noise
-96
root@prplOS:/# wl -i wl2 noise
-79
root@prplOS:/#</t>
  </si>
  <si>
    <t>ubus-cli WiFi.Radio.{i}.getSpectrumInfo() accesspoints</t>
  </si>
  <si>
    <t xml:space="preserve">1. Power On the GW
2.execute "wl -i wlx scanresults" to get the BSS entries on same / overlapping channel.
\\Check Accesspoints (OBSS count)
root@prplOS:/# ubus-cli "WiFi.Radio.1.getSpectrumInfo() accesspoints"?
&gt; WiFi.Radio.1.getSpectrumInfo() accesspoints?
WiFi.Radio.1.getSpectrumInfo() returned
[
    [
    ]
]
</t>
  </si>
  <si>
    <t>wl -i wlx scanresults</t>
  </si>
  <si>
    <t>2026-03-20_EIT: verified and found fixed in version 4.0.3v1.4
 -------------------------------------------------------------------------------
BRCM: wifi driver need to support survey feature in wl_cfg80211
EIT: API return "empty"</t>
  </si>
  <si>
    <t>ubus-cli WiFi.Radio.{i}.getSpectrumInfo() ourUsage</t>
  </si>
  <si>
    <t>\\Connect WiFi station to GW and run IPER3
\\Check ourUsage (channel busy % by our BSS) or ourUsage ≈ tx + rx
root@prplOS:/# ubus-cli "WiFi.Radio.*.getSpectrumInfo() ourUsage"
&gt; WiFi.Radio.*.getSpectrumInfo() ourUsage
WiFi.Radio.1.getSpectrumInfo() returned
[
    [
    ]
]
WiFi.Radio.2.getSpectrumInfo() returned
[
    [
    ]
]
WiFi.Radio.3.getSpectrumInfo() returned
[
    [
    ]
]</t>
  </si>
  <si>
    <t>ubus-cli WiFi.Radio.{i}.getSpectrumInfo() availability</t>
  </si>
  <si>
    <t>root@prplOS:/# ubus-cli "WiFi.Radio.1.getSpectrumInfo() availability"
&gt; WiFi.Radio.1.getSpectrumInfo() availability
WiFi.Radio.1.getSpectrumInfo() returned
[
    [
    ]
]</t>
  </si>
  <si>
    <t>root@prplOS:/# wl -i wl0 chanspec 100/80
Chanspec set to 0xe06a
root@prplOS:/# wl -i wl0 up
dhd_hwa_event: Dongle(wl0) schedule hwa event
dhd_hwa_event_handler: Dongle(wl0) hwa event scheduled
wl_host_event: WLC_E_BSSCFG_UP for idx[0] ifname[wl0] mld_unit[0]
root@prplOS:/# wl_host_event: WLC_E_BSSCFG_UP for idx[0] ifname[wl0] mld_unit[0]
wl_host_event: WLC_E_BSSCFG_UP for idx[1] ifname[wl0.1] mld_unit[255]
root@prplOS:/# wl -i wl0 radar 1
root@prplOS:/# wl radar_status
NO RADAR DETECTED
root@prplOS:/# wl radar_status
NO RADAR DETECTED
root@prplOS:/# wl dfs_status
state IDLE time elapsed 0ms radar channel cleared by dfs none
root@prplOS:/#</t>
  </si>
  <si>
    <t>2026-03-20_EIT: verified and found fixed in version 4.0.3v1.4
 -------------------------------------------------------------------------------
BRCM: wifi driver need to support survey feature in wl_cfg80211
EIT: API return "empty" / Radar simulation not working</t>
  </si>
  <si>
    <t>WiFi.Radio.{i}.80211be.</t>
  </si>
  <si>
    <t>Wi-Fi 7</t>
  </si>
  <si>
    <t>EMLMREnable</t>
  </si>
  <si>
    <t>ubus-cli WiFi.Radio.{i}.​80211be.EMLMREnable</t>
  </si>
  <si>
    <t>STREnable</t>
  </si>
  <si>
    <t>ubus-cli WiFi.Radio.{i}.​80211be.STREnable</t>
  </si>
  <si>
    <t>NSTREnable</t>
  </si>
  <si>
    <t>ubus-cli WiFi.Radio.{i}.​80211be.NSTREnable</t>
  </si>
  <si>
    <t>PuncturedChannelList</t>
  </si>
  <si>
    <t>ubus-cli WiFi.Radio.{i}.​80211be.PuncturedChannelList</t>
  </si>
  <si>
    <t>WiFi.AccessPoint.{i}.MLDConfig.</t>
  </si>
  <si>
    <t>EMLMREnabled</t>
  </si>
  <si>
    <t>ubus-cli WiFi.AccessPoint.{i}.MLDConfig.EMLMREnabled</t>
  </si>
  <si>
    <t>EMLSREnabled</t>
  </si>
  <si>
    <t>ubus-cli WiFi.AccessPoint.{i}.MLDConfig.EMLSREnabled</t>
  </si>
  <si>
    <t>STREnabled</t>
  </si>
  <si>
    <t>ubus-cli WiFi.AccessPoint.{i}.MLDConfig.STREnabled</t>
  </si>
  <si>
    <t>NSTREnabled</t>
  </si>
  <si>
    <t>ubus-cli WiFi.AccessPoint.{i}.MLDConfig.NSTREnabled</t>
  </si>
  <si>
    <t>ubus-cli WiFi.AccessPoint.{i}.MLDConfig.EMLMREnable</t>
  </si>
  <si>
    <t>wl -i wl0 mlo emlmr</t>
  </si>
  <si>
    <t>EMLSREnable</t>
  </si>
  <si>
    <t>ubus-cli WiFi.AccessPoint.{i}.MLDConfig.EMLSREnable</t>
  </si>
  <si>
    <t>wl -i wl0 mlo emlsr</t>
  </si>
  <si>
    <t>ubus-cli WiFi.AccessPoint.{i}.MLDConfig.STREnable</t>
  </si>
  <si>
    <t>ubus-cli WiFi.AccessPoint.{i}.MLDConfig.NSTREnable</t>
  </si>
  <si>
    <t>TIDLinkMapNegotiation</t>
  </si>
  <si>
    <t>ubus-cli WiFi.AccessPoint.{i}.MLDConfig.TIDLinkMapNegotiation</t>
  </si>
  <si>
    <t>DisabledSubChannels</t>
  </si>
  <si>
    <t>ubus-cli WiFi.AccessPoint.{i}.MLDConfig.DisabledSubChannels</t>
  </si>
  <si>
    <t>WiFi.AccessPoint.{i}.MLDConfig.TIDLinkMap.{i}.</t>
  </si>
  <si>
    <t>Direction</t>
  </si>
  <si>
    <t>ubus-cli WiFi.AccessPoint.{i}.MLDConfig.TIDLinkMap.​{i}.Direction</t>
  </si>
  <si>
    <t>TID</t>
  </si>
  <si>
    <t>ubus-cli WiFi.AccessPoint.{i}.MLDConfig.TIDLinkMap.​{i}.TID</t>
  </si>
  <si>
    <t>ubus-cli WiFi.AccessPoint.{i}.MLDConfig.TIDLinkMap.​{i}.BSSID</t>
  </si>
  <si>
    <t>LinkID</t>
  </si>
  <si>
    <t>ubus-cli WiFi.AccessPoint.{i}.MLDConfig.TIDLinkMap.​{i}.LinkID</t>
  </si>
  <si>
    <t>WiFi.AccessPoint.{i}.MLOStats.</t>
  </si>
  <si>
    <t>MLORole</t>
  </si>
  <si>
    <t>ubus-cli WiFi.AccessPoint.{i}.MLOStats.MLORole</t>
  </si>
  <si>
    <t>ubus-cli WiFi.AccessPoint.{i}.MLOStats.PacketsSent</t>
  </si>
  <si>
    <t>ubus-cli WiFi.AccessPoint.{i}.MLOStats.PacketsReceived</t>
  </si>
  <si>
    <t>UnicastBytesSent</t>
  </si>
  <si>
    <t>ubus-cli WiFi.AccessPoint.{i}.MLOStats.UnicastBytesSent</t>
  </si>
  <si>
    <t>UnicastBytesReceived</t>
  </si>
  <si>
    <t>ubus-cli WiFi.AccessPoint.{i}.MLOStats.UnicastBytesReceived</t>
  </si>
  <si>
    <t>ubus-cli WiFi.AccessPoint.{i}.MLOStats.ErrorsSent</t>
  </si>
  <si>
    <t>MulticastBytesSent</t>
  </si>
  <si>
    <t>ubus-cli WiFi.AccessPoint.{i}.MLOStats.MulticastBytesSent</t>
  </si>
  <si>
    <t>MulticastBytesReceived</t>
  </si>
  <si>
    <t>ubus-cli WiFi.AccessPoint.{i}.MLOStats.MulticastBytesReceived</t>
  </si>
  <si>
    <t>BroadcastBytesSent</t>
  </si>
  <si>
    <t>ubus-cli WiFi.AccessPoint.{i}.MLOStats.BroadcastBytesSent</t>
  </si>
  <si>
    <t>BroadcastBytesReceived</t>
  </si>
  <si>
    <t>ubus-cli WiFi.AccessPoint.{i}.MLOStats.BroadcastBytesReceived</t>
  </si>
  <si>
    <t>EstServiceParametersBE</t>
  </si>
  <si>
    <t>ubus-cli WiFi.AccessPoint.{i}.MLOStats.EstServiceParametersBE</t>
  </si>
  <si>
    <t>EstServiceParametersBK</t>
  </si>
  <si>
    <t>ubus-cli WiFi.AccessPoint.{i}.MLOStats.EstServiceParametersBK</t>
  </si>
  <si>
    <t>EstServiceParametersVI</t>
  </si>
  <si>
    <t>ubus-cli WiFi.AccessPoint.{i}.MLOStats.EstServiceParametersVI</t>
  </si>
  <si>
    <t>EstServiceParametersVO</t>
  </si>
  <si>
    <t>ubus-cli WiFi.AccessPoint.{i}.MLOStats.EstServiceParametersVO</t>
  </si>
  <si>
    <t>WiFi.AccessPoint.{i}.AssociatedDevice.{i}.MLO.</t>
  </si>
  <si>
    <t>ubus-cli WiFi.AccessPoint.{i}.AssociatedDevice.{i}.MLO.EMLMREnabled</t>
  </si>
  <si>
    <t>ubus-cli WiFi.AccessPoint.{i}.AssociatedDevice.{i}.MLO.EMLSREnabled</t>
  </si>
  <si>
    <t>ubus-cli WiFi.AccessPoint.{i}.AssociatedDevice.{i}.MLO.STREnabled</t>
  </si>
  <si>
    <t>ubus-cli WiFi.AccessPoint.{i}.AssociatedDevice.{i}.MLO.NSTREnabled</t>
  </si>
  <si>
    <t>ubus-cli WiFi.AccessPoint.{i}.AssociatedDevice.{i}.MLO.TIDLinkMapNegotiation</t>
  </si>
  <si>
    <t>WiFi.AccessPoint.{i}.AssociatedDevice.{i}.STATIDLinkMap.​{i}.</t>
  </si>
  <si>
    <t>ubus-cli WiFi.AccessPoint.{i}.AssociatedDevice.{i}.STATIDLinkMap.​{i}.Direction</t>
  </si>
  <si>
    <t>ubus-cli WiFi.AccessPoint.{i}.AssociatedDevice.{i}.STATIDLinkMap.​{i}.TID</t>
  </si>
  <si>
    <t>ubus-cli WiFi.AccessPoint.{i}.AssociatedDevice.{i}.STATIDLinkMap.​{i}.BSSID</t>
  </si>
  <si>
    <t>ubus-cli WiFi.AccessPoint.{i}.AssociatedDevice.{i}.STATIDLinkMap.​{i}.LinkID</t>
  </si>
  <si>
    <t>WiFi.AccessPoint.{i}.AssociatedDevice.{i}.AffiliatedSTA.​{i}.</t>
  </si>
  <si>
    <t>ubus-cli WiFi.AccessPoint.{i}.​AssociatedDevice.{i}.AffiliatedSTA.​{i}.MACAddress</t>
  </si>
  <si>
    <t>1. Connect WiFi7 Station to GW
2. Check AffiliatedDevice MACAddress
root@prplOS:/# ubus-cli WiFi.AccessPoint.*.? | grep -E 'Affiliated|Active|MACAddress'
WiFi.AccessPoint.1.ActiveAssociatedDeviceNumberOfEntries=1
WiFi.AccessPoint.1.ActiveVideoAssociatedDeviceNumberOfEntries=0
WiFi.AccessPoint.1.MACAddressControlEnabled=0
WiFi.AccessPoint.1.AssociatedDevice.1.Active=1
WiFi.AccessPoint.1.AssociatedDevice.1.ActiveNumberOfAffiliatedSta=1
WiFi.AccessPoint.1.AssociatedDevice.1.MACAddress="E6:D7:D3:EA:CF:15"
WiFi.AccessPoint.1.AssociatedDevice.1.AffiliatedSta.1.
WiFi.AccessPoint.1.AssociatedDevice.1.AffiliatedSta.1.APName="DEFAULT_WL0_1"
WiFi.AccessPoint.1.AssociatedDevice.1.AffiliatedSta.1.Active=1
WiFi.AccessPoint.1.AssociatedDevice.1.AffiliatedSta.1.BSSID="64:75:DA:4E:51:75"
WiFi.AccessPoint.1.AssociatedDevice.1.AffiliatedSta.1.BytesReceived=0
WiFi.AccessPoint.1.AssociatedDevice.1.AffiliatedSta.1.BytesSent=0
WiFi.AccessPoint.1.AssociatedDevice.1.AffiliatedSta.1.DownlinkRateSpec="unk_0_0_0_0"
WiFi.AccessPoint.1.AssociatedDevice.1.AffiliatedSta.1.ErrorsSent=0
WiFi.AccessPoint.1.AssociatedDevice.1.AffiliatedSta.1.FrequencyBand="5GHz"
WiFi.AccessPoint.1.AssociatedDevice.1.AffiliatedSta.1.LastDataDownlinkRate=2401911
WiFi.AccessPoint.1.AssociatedDevice.1.AffiliatedSta.1.LastDataUplinkRate=2401911
WiFi.AccessPoint.1.AssociatedDevice.1.AffiliatedSta.1.LinkID=4294967295
WiFi.AccessPoint.1.AssociatedDevice.1.AffiliatedSta.1.MACAddress="E6:D7:D3:EA:CF:15"
WiFi.AccessPoint.1.AssociatedDevice.1.AffiliatedSta.1.PacketsReceived=0
WiFi.AccessPoint.1.AssociatedDevice.1.AffiliatedSta.1.PacketsSent=0
WiFi.AccessPoint.1.AssociatedDevice.1.AffiliatedSta.1.SignalStrength=0
WiFi.AccessPoint.1.AssociatedDevice.1.AffiliatedSta.1.UplinkRateSpec="unk_0_0_0_0"
WiFi.AccessPoint.2.ActiveAssociatedDeviceNumberOfEntries=0
WiFi.AccessPoint.2.ActiveVideoAssociatedDeviceNumberOfEntries=0
WiFi.AccessPoint.2.MACAddressControlEnabled=0
WiFi.AccessPoint.3.ActiveAssociatedDeviceNumberOfEntries=1
WiFi.AccessPoint.3.ActiveVideoAssociatedDeviceNumberOfEntries=0
WiFi.AccessPoint.3.MACAddressControlEnabled=0
WiFi.AccessPoint.3.AssociatedDevice.1.Active=1
WiFi.AccessPoint.3.AssociatedDevice.1.ActiveNumberOfAffiliatedSta=1
WiFi.AccessPoint.3.AssociatedDevice.1.MACAddress="38:06:E6:92:B0:4A"
WiFi.AccessPoint.3.AssociatedDevice.1.AffiliatedSta.1.
WiFi.AccessPoint.3.AssociatedDevice.1.AffiliatedSta.1.APName="DEFAULT_WL1_1"
WiFi.AccessPoint.3.AssociatedDevice.1.AffiliatedSta.1.Active=1
WiFi.AccessPoint.3.AssociatedDevice.1.AffiliatedSta.1.BSSID="64:75:DA:4E:51:76"
WiFi.AccessPoint.3.AssociatedDevice.1.AffiliatedSta.1.BytesReceived=0
WiFi.AccessPoint.3.AssociatedDevice.1.AffiliatedSta.1.BytesSent=0
WiFi.AccessPoint.3.AssociatedDevice.1.AffiliatedSta.1.DownlinkRateSpec="unk_0_0_0_0"
WiFi.AccessPoint.3.AssociatedDevice.1.AffiliatedSta.1.ErrorsSent=0
WiFi.AccessPoint.3.AssociatedDevice.1.AffiliatedSta.1.FrequencyBand="6GHz"
WiFi.AccessPoint.3.AssociatedDevice.1.AffiliatedSta.1.LastDataDownlinkRate=4803897
WiFi.AccessPoint.3.AssociatedDevice.1.AffiliatedSta.1.LastDataUplinkRate=4803897
WiFi.AccessPoint.3.AssociatedDevice.1.AffiliatedSta.1.LinkID=4294967295
WiFi.AccessPoint.3.AssociatedDevice.1.AffiliatedSta.1.MACAddress="38:06:E6:92:B0:4A"
WiFi.AccessPoint.3.AssociatedDevice.1.AffiliatedSta.1.PacketsReceived=0
WiFi.AccessPoint.3.AssociatedDevice.1.AffiliatedSta.1.PacketsSent=0
WiFi.AccessPoint.3.AssociatedDevice.1.AffiliatedSta.1.SignalStrength=0
WiFi.AccessPoint.3.AssociatedDevice.1.AffiliatedSta.1.UplinkRateSpec="unk_0_0_0_0"
WiFi.AccessPoint.4.ActiveAssociatedDeviceNumberOfEntries=0
WiFi.AccessPoint.4.ActiveVideoAssociatedDeviceNumberOfEntries=0
WiFi.AccessPoint.4.MACAddressControlEnabled=0
WiFi.AccessPoint.5.ActiveAssociatedDeviceNumberOfEntries=1
WiFi.AccessPoint.5.ActiveVideoAssociatedDeviceNumberOfEntries=0
WiFi.AccessPoint.5.MACAddressControlEnabled=0
WiFi.AccessPoint.5.AssociatedDevice.1.Active=1
WiFi.AccessPoint.5.AssociatedDevice.1.ActiveNumberOfAffiliatedSta=0
WiFi.AccessPoint.5.AssociatedDevice.1.MACAddress="7E:04:60:D8:FC:6E"</t>
  </si>
  <si>
    <t>iw dev wl0 station dump
root@prplOS:/# iw dev wl0 station dump | grep Station
Station e6:d7:d3:ea:cf:15 (on wl0)
root@prplOS:/# iw dev wl1 station dump | grep Station
Station 38:06:e6:92:b0:4a (on wl1)
root@prplOS:/# iw dev wl2 station dump | grep Station
Station 7e:04:60:d8:fc:6e (on wl2)
root@prplOS:/#</t>
  </si>
  <si>
    <t>[0320] Tim: Change to Skip and To be verify in the future
ARC: Wi-Fi 7 feature – defer to prpl OS 5.0
GW sees the device as “connected” but no real traffic goes through the affiliated link, keeping its stats at zero.</t>
  </si>
  <si>
    <t>ubus-cli WiFi.AccessPoint.{i}.​AssociatedDevice.{i}.AffiliatedSTA.​{i}.BytesSent</t>
  </si>
  <si>
    <t>root@prplOS:/# ubus-cli WiFi.AccessPoint.*.AssociatedDevice.*.AffiliatedSta.1.?
| grep BytesSent
WiFi.AccessPoint.1.AssociatedDevice.1.AffiliatedSta.1.BytesSent=0
WiFi.AccessPoint.3.AssociatedDevice.1.AffiliatedSta.1.BytesSent=0</t>
  </si>
  <si>
    <t>iw dev wl0 station dump</t>
  </si>
  <si>
    <t>no txbytes in wl_scb_mlo_stats_v2_t</t>
  </si>
  <si>
    <t>BRCM: no txbytes in wl_scb_mlo_stats_v2_t
EIT: GW sees the device as “connected” but no real traffic goes through the affiliated link, keeping its stats at zero.</t>
  </si>
  <si>
    <t>ubus-cli WiFi.AccessPoint.{i}.​AssociatedDevice.{i}.AffiliatedSTA.​{i}.BytesReceived</t>
  </si>
  <si>
    <t>root@prplOS:/# ubus-cli WiFi.AccessPoint.*.AssociatedDevice.*.AffiliatedSta.1.?
| grep BytesReceived
WiFi.AccessPoint.1.AssociatedDevice.1.AffiliatedSta.1.BytesReceived=0
WiFi.AccessPoint.3.AssociatedDevice.1.AffiliatedSta.1.BytesReceived=0</t>
  </si>
  <si>
    <t>ubus-cli WiFi.AccessPoint.{i}.​AssociatedDevice.{i}.AffiliatedSTA.​{i}.PacketsSent</t>
  </si>
  <si>
    <t>root@prplOS:/# ubus-cli WiFi.AccessPoint.*.AssociatedDevice.*.AffiliatedSta.1.?
| grep PacketsSent
WiFi.AccessPoint.1.AssociatedDevice.1.AffiliatedSta.1.PacketsSent=0
WiFi.AccessPoint.3.AssociatedDevice.1.AffiliatedSta.1.PacketsSent=0</t>
  </si>
  <si>
    <t>ubus-cli WiFi.AccessPoint.{i}.​AssociatedDevice.{i}.AffiliatedSTA.​{i}.PacketsReceived</t>
  </si>
  <si>
    <t>root@prplOS:/# ubus-cli WiFi.AccessPoint.*.AssociatedDevice.*.AffiliatedSta.1.?
| grep PacketsReceived
WiFi.AccessPoint.1.AssociatedDevice.1.AffiliatedSta.1.PacketsReceived=0
WiFi.AccessPoint.3.AssociatedDevice.1.AffiliatedSta.1.PacketsReceived=0</t>
  </si>
  <si>
    <t>ubus-cli WiFi.AccessPoint.{i}.​AssociatedDevice.{i}.AffiliatedSTA.​{i}.ErrorsSent</t>
  </si>
  <si>
    <t>root@prplOS:/# ubus-cli WiFi.AccessPoint.*.AssociatedDevice.*.AffiliatedSta.1.?
| grep ErrorsSent
WiFi.AccessPoint.1.AssociatedDevice.1.AffiliatedSta.1.ErrorsSent=0
WiFi.AccessPoint.3.AssociatedDevice.1.AffiliatedSta.1.ErrorsSent=0</t>
  </si>
  <si>
    <t>ubus-cli WiFi.AccessPoint.{i}.​AssociatedDevice.{i}.AffiliatedSTA.​{i}.SignalStrength</t>
  </si>
  <si>
    <t>root@prplOS:/# ubus-cli WiFi.AccessPoint.*.AssociatedDevice.*.AffiliatedSta.1.?
| grep SignalStrength
WiFi.AccessPoint.1.AssociatedDevice.1.AffiliatedSta.1.SignalStrength=0
WiFi.AccessPoint.3.AssociatedDevice.1.AffiliatedSta.1.SignalStrength=0</t>
  </si>
  <si>
    <t>EstMACDataRateDownlink</t>
  </si>
  <si>
    <t>ubus-cli WiFi.AccessPoint.{i}.​AssociatedDevice.{i}.AffiliatedSTA.​{i}.EstMACDataRateDownlink</t>
  </si>
  <si>
    <t>EstMACDataRateUplink</t>
  </si>
  <si>
    <t>ubus-cli WiFi.AccessPoint.{i}.​AssociatedDevice.{i}.AffiliatedSTA.​{i}.EstMACDataRateUplink</t>
  </si>
  <si>
    <t>ubus-cli WiFi.AccessPoint.{i}.​AssociatedDevice.{i}.AffiliatedSTA.​{i}.LastDataDownlinkRate</t>
  </si>
  <si>
    <t>ubus-cli WiFi.AccessPoint.{i}.​AssociatedDevice.{i}.AffiliatedSTA.​{i}.LastDataUplinkRate</t>
  </si>
  <si>
    <t>UtilizationReceive</t>
  </si>
  <si>
    <t>ubus-cli WiFi.AccessPoint.{i}.​AssociatedDevice.{i}.AffiliatedSTA.​{i}.UtilizationReceive</t>
  </si>
  <si>
    <t>UtilizationTransmit</t>
  </si>
  <si>
    <t>ubus-cli WiFi.AccessPoint.{i}.​AssociatedDevice.{i}.AffiliatedSTA.​{i}.UtilizationTransmit</t>
  </si>
  <si>
    <t>MLDUnit</t>
  </si>
  <si>
    <t>ubus-cli WiFi.SSID.{i}.MLDUnit</t>
  </si>
  <si>
    <t xml:space="preserve">
1. Power ON the GW
2. Verify MLDUnit
root@prplOS:/# ubus-cli WiFi.SSID.*.MLDUnit?
&gt; WiFi.SSID.*.MLDUnit?
WiFi.SSID.1.MLDUnit=-1
WiFi.SSID.2.MLDUnit=-1
WiFi.SSID.3.MLDUnit=-1
WiFi.SSID.4.MLDUnit=0
WiFi.SSID.5.MLDUnit=-1
WiFi.SSID.6.MLDUnit=0
WiFi.SSID.7.MLDUnit=-1
WiFi.SSID.8.MLDUnit=0
WiFi.SSID.9.MLDUnit=-1</t>
  </si>
  <si>
    <t>root@prplOS:/# wl -i wl0 mld_unit
0
root@prplOS:/# wl -i wl1 mld_unit
0
root@prplOS:/# wl -i wl2 mld_unit
0
root@prplOS:/# wl -i wl1 mlo scb_stats 02:10:5E:8B:5B:00
[VER 2] STA 02:10:5E:8B:5B:00
        link_id        :        0       1       2
Tx Stats:
        tx_pkts_acked  :        5947    2339    112251
        phy_tx_errors  :        0       0       0
        tx_pkts_total  :        6340    2620    112539
        tx_rate (kbps) :        516170  541660  688230
Rx Stats:
        rx_pkts        :        83626314        97400714        73
        rx_bytes       :        126644820520    147511472682    4970
        rx_mcast_pkts  :        17      40      0
        rx_mcast_bytes :        3155    9722    0
        rx_rate (kbps) :        573520  688230  1000
Link0:
        RSSI: [ -49 -49 -49 -49 ] AVG [-49]
        ANT0: [ -55 -55 -55 -55 ] AVG [-55]
        ANT1: [ -51 -51 -51 -51 ] AVG [-51]
        ANT2: [ -51 -51 -51 -51 ] AVG [-51]
        ANT3: [ -49 -49 -49 -49 ] AVG [-49]
Link1:
        RSSI: [ -41 -41 -41 -39 ] AVG [-40]
        ANT0: [ -41 -41 -41 -39 ] AVG [-40]
        ANT1: [ -44 -45 -44 -44 ] AVG [-44]
        ANT2: [ -41 -41 -41 -41 ] AVG [-41]
        ANT3: [ -41 -41 -41 -41 ] AVG [-41]
Link2:
        RSSI: [ -24 -24 -24 -24 ] AVG [-24]
        ANT0: [ -28 -28 -28 -28 ] AVG [-28]
        ANT1: [ -31 -31 -31 -31 ] AVG [-31]
        ANT2: [ -29 -29 -29 -29 ] AVG [-29]
        ANT3: [ -24 -24 -24 -24 ] AVG [-24]
root@prplOS:/# wl -i wl1 mlo scb_stats 02:10:5E:BA:A9:00
[VER 2] STA 02:10:5E:BA:A9:00
        link_id        :        0       1       2
Tx Stats:
        tx_pkts_acked  :        10380541        5222528 0
        phy_tx_errors  :        0       0       0
        tx_pkts_total  :        10758451        5541028 0
        tx_rate (kbps) :        516170  464550  -1
Rx Stats:
        rx_pkts        :        953     248     0
        rx_bytes       :        79252   37471   0
        rx_mcast_pkts  :        83      155     0
        rx_mcast_bytes :        22722   41240   0
        rx_rate (kbps) :        6000    619410  -1
Link0:
        RSSI: [ -55 -55 -55 -61 ] AVG [-56]
        ANT0: [ -60 -60 -60 -66 ] AVG [-61]
        ANT1: [ -58 -58 -58 -65 ] AVG [-59]
        ANT2: [ -55 -55 -55 -61 ] AVG [-56]
        ANT3: [ -57 -57 -57 -63 ] AVG [-58]
Link1:
        RSSI: [ -40 -40 -41 -40 ] AVG [-40]
        ANT0: [ -41 -41 -41 -42 ] AVG [-41]
        ANT1: [ -44 -44 -43 -47 ] AVG [-44]
        ANT2: [ -41 -42 -42 -43 ] AVG [-42]
        ANT3: [ -40 -40 -41 -40 ] AVG [-40]
root@prplOS:/# wl -i wl1 mlo info
VER: 1
MLO_ACTIVE:TRUE mlc_wlc_up_bm:7
MLD0:: nlink 3 MLD 64:75:DA:4E:51:76 ENAB: 1 ttlm_ns: 3
Supported Client Modes: STR EMLSR MLMR
        link0: wl1 bsschg 1 addr 64:75:DA:4E:51:76 mode AP chanspec 6g1 (0x5001)
                Channels:   1  2  5  9  13  17  21  25  29  33  37  41  45  49  53  57  61  65  69  73  77  81  85  89  93  97  101  105  109  113  117  121  125  129  133  137  141  145  149  153  157  161  165  169  173  177  181  185  189  193  197  201  205  209  213  217  221  225  229  233
        link1: wl0 bsschg 2 addr 64:75:DA:4E:51:75 mode AP chanspec 36 (0xd024)
                Channels:   36  40  44  48  52  56  60  64  100  104  108  112  116  120  124  128  132  136  140  144  149  153  157  161  165  169  173  177
        link2: wl2 bsschg 1 addr 64:75:DA:4E:51:87 mode AP chanspec 1 (0x1001)
                Channels:   1  2  3  4  5  6  7  8  9  10  11  12  13  14
MLO SCB: 00:60:F3:31:97:E4/MLD-02:10:5E:BA:A9:00
        aid 546 amt_idx 509 associated to link1 active_link_map 0x3 assoc_link_bmp 0x3
        Tid Map: 0xff[uplink]/0xff[downlink] Client Mode : STR
MLO SCB: 00:60:F3:25:A9:D9/MLD-02:10:5E:8B:5B:00
        aid 545 amt_idx 508 associated to link1 active_link_map 0x7 assoc_link_bmp 0x7
        Tid Map: 0xff[uplink]/0xff[downlink] Client Mode : STR
root@prplOS:/#</t>
  </si>
  <si>
    <t>BRCM: 2025-12-12 no nvram set, only use ioctl(or vendor command) to set</t>
  </si>
  <si>
    <t>WiFi.Capabilities.WiFi7.</t>
  </si>
  <si>
    <t>MaxNumMLDs</t>
  </si>
  <si>
    <t>ubus-cli WiFi.Capabilities.WiFi7.MaxNumMLDs</t>
  </si>
  <si>
    <t>APMLDMaxLinks</t>
  </si>
  <si>
    <t>ubus-cli WiFi.Capabilities.WiFi7.APMLDMaxLinks</t>
  </si>
  <si>
    <t>bSTAMLDMaxLinks</t>
  </si>
  <si>
    <t>ubus-cli WiFi.Capabilities.WiFi7.bSTAMLDMaxLinks</t>
  </si>
  <si>
    <t>TIDLinkMapping</t>
  </si>
  <si>
    <t>ubus-cli WiFi.Capabilities.WiFi7.TIDLinkMapping</t>
  </si>
  <si>
    <t>WiFi.Radio.{i}.Capabilities.WiFi7APRole.</t>
  </si>
  <si>
    <t>EMLMRSupport</t>
  </si>
  <si>
    <t>ubus-cli WiFi.Radio.{i}.Capabilities.WiFi7APRole.EMLMRSupport</t>
  </si>
  <si>
    <t>1. Verify EMLMRSupport set 1 = supported
root@prplOS:/# ubus-cli WiFi.Radio.*.Capabilities.WiFi7APRole.EMLMRSupport?
&gt; WiFi.Radio.*.Capabilities.WiFi7APRole.EMLMRSupport?
WiFi.Radio.1.Capabilities.WiFi7APRole.EMLMRSupport=1
WiFi.Radio.2.Capabilities.WiFi7APRole.EMLMRSupport=1
WiFi.Radio.3.Capabilities.WiFi7APRole.EMLMRSupport=1
2. Check Beacon Packet =&gt; here it does not show EMLM
Spec behavior (802.11be)
In the EHT MLO capability rules:
STR-capable AP
Advertises STR
May advertise EMLSR
Does NOT advertise EMLMR
Non-STR AP with multiple radios
Advertises EMLMR
Advertises EMLSR
Does NOT advertise STR</t>
  </si>
  <si>
    <t>EMLSRSupport</t>
  </si>
  <si>
    <t>ubus-cli WiFi.Radio.{i}.Capabilities.WiFi7APRole.EMLSRSupport</t>
  </si>
  <si>
    <t>1. Verify EMLSRSupport set 1 = supported
root@prplOS:/# ubus-cli WiFi.Radio.*.Capabilities.WiFi7APRole.EMLSRSupport?
&gt; WiFi.Radio.*.Capabilities.WiFi7APRole.EMLSRSupport?
WiFi.Radio.1.Capabilities.WiFi7APRole.EMLSRSupport=1
WiFi.Radio.2.Capabilities.WiFi7APRole.EMLSRSupport=1
WiFi.Radio.3.Capabilities.WiFi7APRole.EMLSRSupport=1
2. Check Beacon Packet</t>
  </si>
  <si>
    <t>STRSupport</t>
  </si>
  <si>
    <t>ubus-cli WiFi.Radio.{i}.Capabilities.WiFi7APRole.STRSupport</t>
  </si>
  <si>
    <t>1. Verify STRSupport set 1 = supported
root@prplOS:/# ubus-cli WiFi.Radio.*.Capabilities.WiFi7APRole.STRSupport?
&gt; WiFi.Radio.*.Capabilities.WiFi7APRole.STRSupport?
WiFi.Radio.1.Capabilities.WiFi7APRole.STRSupport=1
WiFi.Radio.2.Capabilities.WiFi7APRole.STRSupport=1
WiFi.Radio.3.Capabilities.WiFi7APRole.STRSupport=1
2. Check Beacon Packet</t>
  </si>
  <si>
    <t>NSTRSupport</t>
  </si>
  <si>
    <t>ubus-cli WiFi.Radio.{i}.Capabilities.WiFi7APRole.NSTRSupport</t>
  </si>
  <si>
    <t>1. Verify NSTRSupport set 1 = supported
root@prplOS:/# ubus-cli WiFi.Radio.*.Capabilities.WiFi7APRole.NSTRSupport?
&gt; WiFi.Radio.*.Capabilities.WiFi7APRole.NSTRSupport?
WiFi.Radio.1.Capabilities.WiFi7APRole.NSTRSupport=1
WiFi.Radio.2.Capabilities.WiFi7APRole.NSTRSupport=1
WiFi.Radio.3.Capabilities.WiFi7APRole.NSTRSupport=1
2. Check Beacon Packet</t>
  </si>
  <si>
    <t>WiFi.Radio.{i}.Capabilities.WiFi7STARole.</t>
  </si>
  <si>
    <t>ubus-cli WiFi.Radio.{i}.Capabilities.WiFi7STARole.EMLMRSupport</t>
  </si>
  <si>
    <t>1. Connect MLO Station (Using Octoscope BE)
2. Check MLO Caps
root@prplOS:/# wl mlo info
VER: 1
MLO_ACTIVE:TRUE mlc_wlc_up_bm:7
MLD0:: nlink 3 MLD 64:75:DA:4E:51:76 ENAB: 1 ttlm_ns: 3
Supported Client Modes: STR EMLSR MLMR</t>
  </si>
  <si>
    <t>ubus-cli WiFi.Radio.{i}.Capabilities.WiFi7STARole.EMLSRSupport</t>
  </si>
  <si>
    <t>ubus-cli WiFi.Radio.{i}.Capabilities.WiFi7STARole.STRSupport</t>
  </si>
  <si>
    <t>ubus-cli WiFi.Radio.{i}.Capabilities.WiFi7STARole.NSTRSupport</t>
  </si>
  <si>
    <t>WiFi.DaemonMgt.Daemon.{i}.</t>
  </si>
  <si>
    <t>ubus-cli WiFi.DaemonMgt.Daemon.{i}.Alias</t>
  </si>
  <si>
    <t>Name</t>
  </si>
  <si>
    <t>ubus-cli WiFi.DaemonMgt.Daemon.{i}.Name</t>
  </si>
  <si>
    <t>WiFi.DaemonMgt.Daemon.{i}.ExecutionSettings.</t>
  </si>
  <si>
    <t>UseGlobalInstance</t>
  </si>
  <si>
    <t>ubus-cli WiFi.DaemonMgt.Daemon.{i}.ExecutionSettings.UseGlobalInstance</t>
  </si>
  <si>
    <t>WiFi.DataElements.Network.Device.{i}.</t>
  </si>
  <si>
    <t>ubus-cli WiFi.DataElements.Network.Device.{i}.MaxNumMLDs</t>
  </si>
  <si>
    <t>ubus-cli WiFi.DataElements.Network.Device.{i}.APMLDMaxLinks</t>
  </si>
  <si>
    <t>ubus-cli WiFi.DataElements.Network.Device.{i}.bSTAMLDMaxLinks</t>
  </si>
  <si>
    <t>ubus-cli WiFi.DataElements.Network.Device.{i}.TIDLinkMapping</t>
  </si>
  <si>
    <t>WiFi.AccessPoint.​{i}.AssociatedDevice.{i}.MLO.</t>
  </si>
  <si>
    <t>ubus-cli WiFi.AccessPoint.​{i}.AssociatedDevice.{i}.MLO.EMLMREnabled</t>
  </si>
  <si>
    <t>root@prplOS:/# wl mlo info
VER: 1
MLO_ACTIVE:TRUE mlc_wlc_up_bm:7
MLD0:: nlink 3 MLD 64:75:DA:4E:51:76 ENAB: 1 ttlm_ns: 3
Supported Client Modes: STR EMLSR MLMR
        link0: wl1 bsschg 1 addr 64:75:DA:4E:51:76 mode AP chanspec 6g1 (0x5001)
                Channels:   1  2  5  9  13  17  21  25  29  33  37  41  45  49  53  57  61  65  69  73  77  81  85  89  93  97  101  105  109  113  117  121  125  129  133  137  141  145  149  153  157  161  165  169  173  177  181  185  189  193  197  201  205  209  213  217  221  225  229  233
        link1: wl0 bsschg 51 addr 64:75:DA:4E:51:75 mode AP chanspec 36 (0xd024)
                Channels:   36  40  44  48  52  56  60  64  100  104  108  112  116  120  124  128  132  136  140  144  149  153  157  161  165  169  173  177
        link2: wl2 bsschg 1 addr 64:75:DA:4E:51:87 mode AP chanspec 1 (0x1001)
                Channels:   1  2  3  4  5  6  7  8  9  10  11  12  13  14
MLO SCB: D6:55:AF:6A:D1:D2/MLD-E4:60:17:EB:A9:83
        aid 544 amt_idx 509 associated to link1 active_link_map 0x0 assoc_link_bmp 0x7
        Tid Map: 0xff[uplink]/0xff[downlink] Client Mode : EMLSR EML bitmap : 0x0 Type : 0xff
root@prplOS:/# wl -i wl1 mlo scb_stats E4:60:17:EB:A9:83
[VER 2] STA E4:60:17:EB:A9:83
        link_id        :        0       1       2
Tx Stats:
        tx_pkts_acked  :        15      2       0
        phy_tx_errors  :        0       0       0
        tx_pkts_total  :        15      2       0
        tx_rate (kbps) :        6000    6000    -1
Rx Stats:
        rx_pkts        :        123     3       0
        rx_bytes       :        8610    489     0
        rx_mcast_pkts  :        0       0       0
        rx_mcast_bytes :        0       0       0
        rx_rate (kbps) :        6000    6000    -1
Link0:
        RSSI: [ -48 -48 -48 -48 ] AVG [-48]
        ANT0: [ -50 -50 -50 -50 ] AVG [-50]
        ANT1: [ -48 -48 -48 -48 ] AVG [-48]
        ANT2: [ -56 -56 -57 -57 ] AVG [-56]
        ANT3: [ -48 -48 -49 -49 ] AVG [-48]
Link1:
        RSSI: [ -36   0 -36 -36 ] AVG [-36]
        ANT0: [ -38   0 -37 -37 ] AVG [-37]
        ANT1: [ -39   0 -39 -39 ] AVG [-39]
        ANT2: [ -38   0 -39 -39 ] AVG [-38]
        ANT3: [ -36   0 -36 -36 ] AVG [-36]
Link2:
        RSSI: [   0   0   0   0 ] AVG [0]
        ANT0: [   0   0   0   0 ] AVG [0]
        ANT1: [   0   0   0   0 ] AVG [0]
        ANT2: [   0   0   0   0 ] AVG [0]
        ANT3: [   0   0   0   0 ] AVG [0]</t>
  </si>
  <si>
    <t>One MLO station connected to GW but the API/Object not found</t>
  </si>
  <si>
    <t>ubus-cli WiFi.AccessPoint.​{i}.AssociatedDevice.{i}.MLO.EMLSREnabled</t>
  </si>
  <si>
    <t>ubus-cli WiFi.AccessPoint.​{i}.AssociatedDevice.{i}.MLO.STREnabled</t>
  </si>
  <si>
    <t>ubus-cli WiFi.AccessPoint.​{i}.AssociatedDevice.{i}.MLO.NSTREnabled</t>
  </si>
  <si>
    <t>AffiliatedSTAList</t>
  </si>
  <si>
    <t>ubus-cli WiFi.AccessPoint.​{i}.AssociatedDevice.{i}.MLO.AffiliatedSTAList</t>
  </si>
  <si>
    <t>ubus-cli WiFi.AccessPoint.​{i}.AssociatedDevice.{i}.MLO.TIDLinkMapNegotiation</t>
  </si>
  <si>
    <t>WiFi.AccessPoint.​{i}.AssociatedDevice.{i}.STATIDLinkMap.​{i}.</t>
  </si>
  <si>
    <t>ubus-cli WiFi.AccessPoint.​{i}.AssociatedDevice.{i}.STATIDLinkMap.​{i}.Direction</t>
  </si>
  <si>
    <t>ubus-cli WiFi.AccessPoint.​{i}.AssociatedDevice.{i}.STATIDLinkMap.​{i}.TID</t>
  </si>
  <si>
    <t>ubus-cli WiFi.AccessPoint.​{i}.AssociatedDevice.{i}.STATIDLinkMap.​{i}.BSSID</t>
  </si>
  <si>
    <t>ubus-cli WiFi.AccessPoint.​{i}.AssociatedDevice.{i}.STATIDLinkMap.​{i}.LinkID</t>
  </si>
  <si>
    <t>WiFi.AccessPoint.{i}.​AffiliatedSTA.​{i}.</t>
  </si>
  <si>
    <t>ubus-cli WiFi.AccessPoint.{i}.​AffiliatedSTA.​{i}.MACAddress</t>
  </si>
  <si>
    <t>ubus-cli WiFi.AccessPoint.{i}.​AffiliatedSTA.​{i}.BytesSent</t>
  </si>
  <si>
    <t>ubus-cli WiFi.AccessPoint.{i}.​AffiliatedSTA.​{i}.BytesReceived</t>
  </si>
  <si>
    <t>ubus-cli WiFi.AccessPoint.{i}.​AffiliatedSTA.​{i}.PacketsSent</t>
  </si>
  <si>
    <t>ubus-cli WiFi.AccessPoint.{i}.​AffiliatedSTA.​{i}.PacketsReceived</t>
  </si>
  <si>
    <t>ubus-cli WiFi.AccessPoint.{i}.​AffiliatedSTA.​{i}.ErrorsSent</t>
  </si>
  <si>
    <t>ubus-cli WiFi.AccessPoint.{i}.​AffiliatedSTA.​{i}.SignalStrength</t>
  </si>
  <si>
    <t>ubus-cli WiFi.AccessPoint.{i}.​AffiliatedSTA.​{i}.EstMACDataRateDownlink</t>
  </si>
  <si>
    <t>ubus-cli WiFi.AccessPoint.{i}.​AffiliatedSTA.​{i}.EstMACDataRateUplink</t>
  </si>
  <si>
    <t>ubus-cli WiFi.AccessPoint.{i}.​AffiliatedSTA.​{i}.LastDataDownlinkRate</t>
  </si>
  <si>
    <t>ubus-cli WiFi.AccessPoint.{i}.​AffiliatedSTA.​{i}.LastDataUplinkRate</t>
  </si>
  <si>
    <t>ubus-cli WiFi.AccessPoint.{i}.​AffiliatedSTA.​{i}.UtilizationReceive</t>
  </si>
  <si>
    <t>ubus-cli WiFi.AccessPoint.{i}.​AffiliatedSTA.​{i}.UtilizationTransmit</t>
  </si>
  <si>
    <t>WiFi.DataElements.Network.{i}.</t>
  </si>
  <si>
    <t>ubus-cli WiFi.DataElements.Network.{i}.MaxNumMLDs</t>
  </si>
  <si>
    <t>ubus-cli WiFi.DataElements.Network.{i}.APMLDMaxLinks</t>
  </si>
  <si>
    <t>ubus-cli WiFi.DataElements.Network.{i}.bSTAMLDMaxLinks</t>
  </si>
  <si>
    <t>ubus-cli WiFi.DataElements.Network.{i}.TIDLinkMapping</t>
  </si>
  <si>
    <t>APMLDNumberOfEntries</t>
  </si>
  <si>
    <t>ubus-cli WiFi.DataElements.Network.{i}.APMLDNumberOfEntries</t>
  </si>
  <si>
    <t>​WiFi.​DataElements.​Network.​​{i}.​Radio.​{i}.​Capabilities.​WiFi7APRole.</t>
  </si>
  <si>
    <t>ubus-cli WiFi.​DataElements.​Network.​​{i}.​Radio.​{i}.​Capabilities.​WiFi7APRole.</t>
  </si>
  <si>
    <t>ubus-cli ​WiFi.​DataElements.​Network.​​{i}.​Radio.​{i}.​Capabilities.​WiFi7APRole.</t>
  </si>
  <si>
    <t>EMLMRFreqSeparationNumberOfEntries</t>
  </si>
  <si>
    <t>EMLSRFreqSeparationNumberOfEntries</t>
  </si>
  <si>
    <t>STRFreqSeparationNumberOfEntries</t>
  </si>
  <si>
    <t>NSTRFreqSeparationNumberOfEntries</t>
  </si>
  <si>
    <t>WiFi.​DataElements.​Network.​​{i}.​Radio.​{i}.​Capabilities.​WiFi7APRole.​EMLMRFreqSeparation.​{i}.</t>
  </si>
  <si>
    <t>RUID</t>
  </si>
  <si>
    <t>ubus-cli ​WiFi.​DataElements.​Network.​​{i}.​Radio.​{i}.​Capabilities.​WiFi7APRole.​EMLMRFreqSeparation.​{i}.RUID</t>
  </si>
  <si>
    <t>FreqSeparation</t>
  </si>
  <si>
    <t>ubus-cli ​WiFi.​DataElements.​Network.​​{i}.​Radio.​{i}.​Capabilities.​WiFi7APRole.​EMLMRFreqSeparation.​{i}.FreqSeparation</t>
  </si>
  <si>
    <t>​WiFi.​DataElements.​Network.​​{i}.​Radio.​{i}.​Capabilities.​WiFi7APRole.​EMLSRFreqSeparation.​{i}.</t>
  </si>
  <si>
    <t>ubus-cli WiFi.​DataElements.​Network.​Device.​{i}.​Radio.​{i}.​Capabilities.​WiFi7APRole.​EMLSRFreqSeparation.​{i}.RUID</t>
  </si>
  <si>
    <t>ubus-cli WiFi.​DataElements.​Network.​Device.​{i}.​Radio.​{i}.​Capabilities.​WiFi7APRole.​EMLSRFreqSeparation.​{i}.FreqSeparation</t>
  </si>
  <si>
    <t>WiFi.​DataElements.​Network.​Device.​{i}.​Radio.​{i}.​Capabilities.​WiFi7APRole.​STRFreqSeparation.​{i}.</t>
  </si>
  <si>
    <t>ubus-cli WiFi.​DataElements.​Network.​Device.​{i}.​Radio.​{i}.​Capabilities.​WiFi7APRole.​STRFreqSeparation.​{i}.RUID</t>
  </si>
  <si>
    <t>ubus-cli WiFi.​DataElements.​Network.​Device.​{i}.​Radio.​{i}.​Capabilities.​WiFi7APRole.​STRFreqSeparation.​{i}.FreqSeparation</t>
  </si>
  <si>
    <t>WiFi.​DataElements.​Network.​Device.​{i}.​Radio.​{i}.​Capabilities.​WiFi7APRole.​NSTRFreqSeparation.​{i}.</t>
  </si>
  <si>
    <t>ubus-cli WiFi.​DataElements.​Network.​Device.​{i}.​Radio.​{i}.​Capabilities.​WiFi7APRole.​NSTRFreqSeparation.​{i}.RUID</t>
  </si>
  <si>
    <t>ubus-cli WiFi.​DataElements.​Network.​Device.​{i}.​Radio.​{i}.​Capabilities.​WiFi7APRole.​NSTRFreqSeparation.​{i}.FreqSeparation</t>
  </si>
  <si>
    <t>WiFi.​DataElements.​Network.​Device.​{i}.​Radio.​{i}.​Capabilities.​WiFi7bSTARole.</t>
  </si>
  <si>
    <t>ubus-cli WiFi.​DataElements.​Network.​Device.​{i}.​Radio.​{i}.​Capabilities.​WiFi7bSTARole.EMLMRSupport</t>
  </si>
  <si>
    <t>ubus-cli WiFi.​DataElements.​Network.​Device.​{i}.​Radio.​{i}.​Capabilities.​WiFi7bSTARole.EMLSRSupport</t>
  </si>
  <si>
    <t>ubus-cli WiFi.​DataElements.​Network.​Device.​{i}.​Radio.​{i}.​Capabilities.​WiFi7bSTARole.STRSupport</t>
  </si>
  <si>
    <t>ubus-cli WiFi.​DataElements.​Network.​Device.​{i}.​Radio.​{i}.​Capabilities.​WiFi7bSTARole.NSTRSupport</t>
  </si>
  <si>
    <t>ubus-cli WiFi.​DataElements.​Network.​Device.​{i}.​Radio.​{i}.​Capabilities.​WiFi7bSTARole.EMLMRFreqSeparationNumberOfEntries</t>
  </si>
  <si>
    <t>ubus-cli WiFi.​DataElements.​Network.​Device.​{i}.​Radio.​{i}.​Capabilities.​WiFi7bSTARole.EMLSRFreqSeparationNumberOfEntries</t>
  </si>
  <si>
    <t>ubus-cli WiFi.​DataElements.​Network.​Device.​{i}.​Radio.​{i}.​Capabilities.​WiFi7bSTARole.STRFreqSeparationNumberOfEntries</t>
  </si>
  <si>
    <t>ubus-cli WiFi.​DataElements.​Network.​Device.​{i}.​Radio.​{i}.​Capabilities.​WiFi7bSTARole.NSTRFreqSeparationNumberOfEntries</t>
  </si>
  <si>
    <t>WiFi.​DataElements.​Network.​Device.​{i}.​Radio.​{i}.​Capabilities.​WiFi7bSTARole.​EMLMRFreqSeparation.​{i}.</t>
  </si>
  <si>
    <t>ubus-cli WiFi.​DataElements.​Network.​Device.​{i}.​Radio.​{i}.​Capabilities.​WiFi7bSTARole.​EMLMRFreqSeparation.​{i}.RUID</t>
  </si>
  <si>
    <t>ubus-cli WiFi.​DataElements.​Network.​Device.​{i}.​Radio.​{i}.​Capabilities.​WiFi7bSTARole.​EMLMRFreqSeparation.​{i}.FreqSeparation</t>
  </si>
  <si>
    <t>WiFi.​DataElements.​Network.​Device.​{i}.​Radio.​{i}.​Capabilities.​WiFi7bSTARole.​EMLSRFreqSeparation.​{i}.</t>
  </si>
  <si>
    <t>ubus-cli WiFi.​DataElements.​Network.​Device.​{i}.​Radio.​{i}.​Capabilities.​WiFi7bSTARole.​EMLSRFreqSeparation.​{i}.RUID</t>
  </si>
  <si>
    <t>ubus-cli WiFi.​DataElements.​Network.​Device.​{i}.​Radio.​{i}.​Capabilities.​WiFi7bSTARole.​EMLSRFreqSeparation.​{i}.FreqSeparation</t>
  </si>
  <si>
    <t>WiFi.​DataElements.​Network.​Device.​{i}.​Radio.​{i}.​Capabilities.​WiFi7bSTARole.​STRFreqSeparation.​{i}.</t>
  </si>
  <si>
    <t>ubus-cli WiFi.​DataElements.​Network.​Device.​{i}.​Radio.​{i}.​Capabilities.​WiFi7bSTARole.​STRFreqSeparation.​{i}.RUID</t>
  </si>
  <si>
    <t>ubus-cli WiFi.​DataElements.​Network.​Device.​{i}.​Radio.​{i}.​Capabilities.​WiFi7bSTARole.​STRFreqSeparation.​{i}.FreqSeparation</t>
  </si>
  <si>
    <t>WiFi.​DataElements.​Network.​Device.​{i}.​Radio.​{i}.​Capabilities.​WiFi7bSTARole.​NSTRFreqSeparation.​{i}.</t>
  </si>
  <si>
    <t>ubus-cli WiFi.​DataElements.​Network.​Device.​{i}.​Radio.​{i}.​Capabilities.​WiFi7bSTARole.​NSTRFreqSeparation.​{i}.RUID</t>
  </si>
  <si>
    <t>ubus-cli WiFi.​DataElements.​Network.​Device.​{i}.​Radio.​{i}.​Capabilities.​WiFi7bSTARole.​NSTRFreqSeparation.​{i}.FreqSeparation</t>
  </si>
  <si>
    <t>WiFi.​DataElements.​Network.​Device.​{i}.​APMLD.​{i}.</t>
  </si>
  <si>
    <t>MLDMACAddress</t>
  </si>
  <si>
    <t>ubus-cli WiFi.​DataElements.​Network.​Device.​{i}.​APMLD.​{i}.MLDMACAddress</t>
  </si>
  <si>
    <t>TIDLinkMapNumberOfEntries</t>
  </si>
  <si>
    <t>ubus-cli WiFi.​DataElements.​Network.​Device.​{i}.​APMLD.​{i}.TIDLinkMapNumberOfEntries</t>
  </si>
  <si>
    <t>AffiliatedAPNumberOfEntries</t>
  </si>
  <si>
    <t>ubus-cli WiFi.​DataElements.​Network.​Device.​{i}.​APMLD.​{i}.AffiliatedAPNumberOfEntries</t>
  </si>
  <si>
    <t>STAMLDNumberOfEntries</t>
  </si>
  <si>
    <t>ubus-cli WiFi.​DataElements.​Network.​Device.​{i}.​APMLD.​{i}.STAMLDNumberOfEntries</t>
  </si>
  <si>
    <t>WiFi.​DataElements.​Network.​Device.​{i}.​APMLD.​{i}.​APMLDConfig.</t>
  </si>
  <si>
    <t>ubus-cli WiFi.​DataElements.​Network.​Device.​{i}.​APMLD.​{i}.​APMLDConfig.EMLMREnabled</t>
  </si>
  <si>
    <t>ubus-cli WiFi.​DataElements.​Network.​Device.​{i}.​APMLD.​{i}.​APMLDConfig.EMLSREnabled</t>
  </si>
  <si>
    <t>ubus-cli WiFi.​DataElements.​Network.​Device.​{i}.​APMLD.​{i}.​APMLDConfig.STREnabled</t>
  </si>
  <si>
    <t>ubus-cli WiFi.​DataElements.​Network.​Device.​{i}.​APMLD.​{i}.​APMLDConfig.NSTREnabled</t>
  </si>
  <si>
    <t>ubus-cli WiFi.​DataElements.​Network.​Device.​{i}.​APMLD.​{i}.​APMLDConfig.TIDLinkMapNegotiation</t>
  </si>
  <si>
    <t>WiFi.​DataElements.​Network.​Device.​{i}.​APMLD.​{i}.​TIDLinkMap.​{i}.</t>
  </si>
  <si>
    <t>ubus-cli WiFi.​DataElements.​Network.​Device.​{i}.​APMLD.​{i}.​TIDLinkMap.​{i}.Direction</t>
  </si>
  <si>
    <t>ubus-cli WiFi.​DataElements.​Network.​Device.​{i}.​APMLD.​{i}.​TIDLinkMap.​{i}.TID</t>
  </si>
  <si>
    <t>ubus-cli WiFi.​DataElements.​Network.​Device.​{i}.​APMLD.​{i}.​TIDLinkMap.​{i}.BSSID</t>
  </si>
  <si>
    <t>ubus-cli WiFi.​DataElements.​Network.​Device.​{i}.​APMLD.​{i}.​TIDLinkMap.​{i}.LinkID</t>
  </si>
  <si>
    <t>WiFi.​DataElements.​Network.​Device.​{i}.​APMLD.​{i}.​AffiliatedAP.​{i}.</t>
  </si>
  <si>
    <t>ubus-cli WiFi.​DataElements.​Network.​Device.​{i}.​APMLD.​{i}.​AffiliatedAP.​{i}.BSSID</t>
  </si>
  <si>
    <t>ubus-cli WiFi.​DataElements.​Network.​Device.​{i}.​APMLD.​{i}.​AffiliatedAP.​{i}.LinkID</t>
  </si>
  <si>
    <t>ubus-cli WiFi.​DataElements.​Network.​Device.​{i}.​APMLD.​{i}.​AffiliatedAP.​{i}.RUID</t>
  </si>
  <si>
    <t>ubus-cli WiFi.​DataElements.​Network.​Device.​{i}.​APMLD.​{i}.​AffiliatedAP.​{i}.DisabledSubChannels</t>
  </si>
  <si>
    <t>ubus-cli WiFi.​DataElements.​Network.​Device.​{i}.​APMLD.​{i}.​AffiliatedAP.​{i}.PacketsSent</t>
  </si>
  <si>
    <t>ubus-cli WiFi.​DataElements.​Network.​Device.​{i}.​APMLD.​{i}.​AffiliatedAP.​{i}.PacketsReceived</t>
  </si>
  <si>
    <t>ubus-cli WiFi.​DataElements.​Network.​Device.​{i}.​APMLD.​{i}.​AffiliatedAP.​{i}.UnicastBytesSent</t>
  </si>
  <si>
    <t>ubus-cli WiFi.​DataElements.​Network.​Device.​{i}.​APMLD.​{i}.​AffiliatedAP.​{i}.UnicastBytesReceived</t>
  </si>
  <si>
    <t>ubus-cli WiFi.​DataElements.​Network.​Device.​{i}.​APMLD.​{i}.​AffiliatedAP.​{i}.ErrorsSent</t>
  </si>
  <si>
    <t>ubus-cli WiFi.​DataElements.​Network.​Device.​{i}.​APMLD.​{i}.​AffiliatedAP.​{i}.MulticastBytesSent</t>
  </si>
  <si>
    <t>ubus-cli WiFi.​DataElements.​Network.​Device.​{i}.​APMLD.​{i}.​AffiliatedAP.​{i}.MulticastBytesReceived</t>
  </si>
  <si>
    <t>ubus-cli WiFi.​DataElements.​Network.​Device.​{i}.​APMLD.​{i}.​AffiliatedAP.​{i}.BroadcastBytesSent</t>
  </si>
  <si>
    <t>ubus-cli WiFi.​DataElements.​Network.​Device.​{i}.​APMLD.​{i}.​AffiliatedAP.​{i}.BroadcastBytesReceived</t>
  </si>
  <si>
    <t>ubus-cli WiFi.​DataElements.​Network.​Device.​{i}.​APMLD.​{i}.​AffiliatedAP.​{i}.EstServiceParametersBE</t>
  </si>
  <si>
    <t>ubus-cli WiFi.​DataElements.​Network.​Device.​{i}.​APMLD.​{i}.​AffiliatedAP.​{i}.EstServiceParametersBK</t>
  </si>
  <si>
    <t>ubus-cli WiFi.​DataElements.​Network.​Device.​{i}.​APMLD.​{i}.​AffiliatedAP.​{i}.EstServiceParametersVI</t>
  </si>
  <si>
    <t>ubus-cli WiFi.​DataElements.​Network.​Device.​{i}.​APMLD.​{i}.​AffiliatedAP.​{i}.EstServiceParametersVO</t>
  </si>
  <si>
    <t>WiFi.​DataElements.​Network.​Device.​{i}.​APMLD.​{i}.​STAMLD.​{i}.</t>
  </si>
  <si>
    <t>ubus-cli WiFi.​DataElements.​Network.​Device.​{i}.​APMLD.​{i}.​STAMLD.​{i}.MLDMACAddress</t>
  </si>
  <si>
    <t>Hostname</t>
  </si>
  <si>
    <t>ubus-cli WiFi.​DataElements.​Network.​Device.​{i}.​APMLD.​{i}.​STAMLD.​{i}.Hostname</t>
  </si>
  <si>
    <t>IPv4Address</t>
  </si>
  <si>
    <t>ubus-cli WiFi.​DataElements.​Network.​Device.​{i}.​APMLD.​{i}.​STAMLD.​{i}.IPv4Address</t>
  </si>
  <si>
    <t>IPv6Address</t>
  </si>
  <si>
    <t>ubus-cli WiFi.​DataElements.​Network.​Device.​{i}.​APMLD.​{i}.​STAMLD.​{i}.IPv6Address</t>
  </si>
  <si>
    <t>IsbSTA</t>
  </si>
  <si>
    <t>ubus-cli WiFi.​DataElements.​Network.​Device.​{i}.​APMLD.​{i}.​STAMLD.​{i}.IsbSTA</t>
  </si>
  <si>
    <t>LastConnectTime</t>
  </si>
  <si>
    <t>ubus-cli WiFi.​DataElements.​Network.​Device.​{i}.​APMLD.​{i}.​STAMLD.​{i}.LastConnectTime</t>
  </si>
  <si>
    <t>ubus-cli WiFi.​DataElements.​Network.​Device.​{i}.​APMLD.​{i}.​STAMLD.​{i}.BytesSent</t>
  </si>
  <si>
    <t>ubus-cli WiFi.​DataElements.​Network.​Device.​{i}.​APMLD.​{i}.​STAMLD.​{i}.BytesReceived</t>
  </si>
  <si>
    <t>ubus-cli WiFi.​DataElements.​Network.​Device.​{i}.​APMLD.​{i}.​STAMLD.​{i}.PacketsSent</t>
  </si>
  <si>
    <t>ubus-cli WiFi.​DataElements.​Network.​Device.​{i}.​APMLD.​{i}.​STAMLD.​{i}.PacketsReceived</t>
  </si>
  <si>
    <t>ubus-cli WiFi.​DataElements.​Network.​Device.​{i}.​APMLD.​{i}.​STAMLD.​{i}.ErrorsSent</t>
  </si>
  <si>
    <t>ubus-cli WiFi.​DataElements.​Network.​Device.​{i}.​APMLD.​{i}.​STAMLD.​{i}.ErrorsReceived</t>
  </si>
  <si>
    <t>ubus-cli WiFi.​DataElements.​Network.​Device.​{i}.​APMLD.​{i}.​STAMLD.​{i}.RetransCount</t>
  </si>
  <si>
    <t>STATIDLinkMapNumberOfEntries</t>
  </si>
  <si>
    <t>ubus-cli WiFi.​DataElements.​Network.​Device.​{i}.​APMLD.​{i}.​STAMLD.​{i}.STATIDLinkMapNumberOfEntries</t>
  </si>
  <si>
    <t>AffiliatedSTANumberOfEntries</t>
  </si>
  <si>
    <t>ubus-cli WiFi.​DataElements.​Network.​Device.​{i}.​APMLD.​{i}.​STAMLD.​{i}.AffiliatedSTANumberOfEntries</t>
  </si>
  <si>
    <t>WiFi.​DataElements.​Network.​Device.​{i}.​APMLD.​{i}.​STAMLD.​{i}.​STAMLDConfig.</t>
  </si>
  <si>
    <t>ubus-cli WiFi.​DataElements.​Network.​Device.​{i}.​APMLD.​{i}.​STAMLD.​{i}.​STAMLDConfig.EMLMREnabled</t>
  </si>
  <si>
    <t>ubus-cli WiFi.​DataElements.​Network.​Device.​{i}.​APMLD.​{i}.​STAMLD.​{i}.​STAMLDConfig.EMLSREnabled</t>
  </si>
  <si>
    <t>ubus-cli WiFi.​DataElements.​Network.​Device.​{i}.​APMLD.​{i}.​STAMLD.​{i}.​STAMLDConfig.STREnabled</t>
  </si>
  <si>
    <t>ubus-cli WiFi.​DataElements.​Network.​Device.​{i}.​APMLD.​{i}.​STAMLD.​{i}.​STAMLDConfig.NSTREnabled</t>
  </si>
  <si>
    <t>ubus-cli WiFi.​DataElements.​Network.​Device.​{i}.​APMLD.​{i}.​STAMLD.​{i}.​STAMLDConfig.TIDLinkMapNegotiation</t>
  </si>
  <si>
    <t>WiFi.​DataElements.​Network.​Device.​{i}.​APMLD.​{i}.​STAMLD.​{i}.​STATIDLinkMap.​{i}.</t>
  </si>
  <si>
    <t>ubus-cli WiFi.​DataElements.​Network.​Device.​{i}.​APMLD.​{i}.​STAMLD.​{i}.​STATIDLinkMap.​{i}.Direction</t>
  </si>
  <si>
    <t>ubus-cli WiFi.​DataElements.​Network.​Device.​{i}.​APMLD.​{i}.​STAMLD.​{i}.​STATIDLinkMap.​{i}.TID</t>
  </si>
  <si>
    <t>ubus-cli WiFi.​DataElements.​Network.​Device.​{i}.​APMLD.​{i}.​STAMLD.​{i}.​STATIDLinkMap.​{i}.BSSID</t>
  </si>
  <si>
    <t>ubus-cli WiFi.​DataElements.​Network.​Device.​{i}.​APMLD.​{i}.​STAMLD.​{i}.​STATIDLinkMap.​{i}.LinkID</t>
  </si>
  <si>
    <t>WiFi.​DataElements.​Network.​Device.​{i}.​APMLD.​{i}.​STAMLD.​{i}.​AffiliatedSTA.​{i}.</t>
  </si>
  <si>
    <t>ubus-cli WiFi.​DataElements.​Network.​Device.​{i}.​APMLD.​{i}.​STAMLD.​{i}.​AffiliatedSTA.​{i}.MACAddress</t>
  </si>
  <si>
    <t>ubus-cli WiFi.​DataElements.​Network.​Device.​{i}.​APMLD.​{i}.​STAMLD.​{i}.​AffiliatedSTA.​{i}.BSSID</t>
  </si>
  <si>
    <t>ubus-cli WiFi.​DataElements.​Network.​Device.​{i}.​APMLD.​{i}.​STAMLD.​{i}.​AffiliatedSTA.​{i}.LinkID</t>
  </si>
  <si>
    <t>ubus-cli WiFi.​DataElements.​Network.​Device.​{i}.​APMLD.​{i}.​STAMLD.​{i}.​AffiliatedSTA.​{i}.BytesSent</t>
  </si>
  <si>
    <t>ubus-cli WiFi.​DataElements.​Network.​Device.​{i}.​APMLD.​{i}.​STAMLD.​{i}.​AffiliatedSTA.​{i}.BytesReceived</t>
  </si>
  <si>
    <t>ubus-cli WiFi.​DataElements.​Network.​Device.​{i}.​APMLD.​{i}.​STAMLD.​{i}.​AffiliatedSTA.​{i}.PacketsSent</t>
  </si>
  <si>
    <t>ubus-cli WiFi.​DataElements.​Network.​Device.​{i}.​APMLD.​{i}.​STAMLD.​{i}.​AffiliatedSTA.​{i}.PacketsReceived</t>
  </si>
  <si>
    <t>ubus-cli WiFi.​DataElements.​Network.​Device.​{i}.​APMLD.​{i}.​STAMLD.​{i}.​AffiliatedSTA.​{i}.ErrorsSent</t>
  </si>
  <si>
    <t>ubus-cli WiFi.​DataElements.​Network.​Device.​{i}.​APMLD.​{i}.​STAMLD.​{i}.​AffiliatedSTA.​{i}.SignalStrength</t>
  </si>
  <si>
    <t>ubus-cli WiFi.​DataElements.​Network.​Device.​{i}.​APMLD.​{i}.​STAMLD.​{i}.​AffiliatedSTA.​{i}.EstMACDataRateDownlink</t>
  </si>
  <si>
    <t>ubus-cli WiFi.​DataElements.​Network.​Device.​{i}.​APMLD.​{i}.​STAMLD.​{i}.​AffiliatedSTA.​{i}.EstMACDataRateUplink</t>
  </si>
  <si>
    <t>ubus-cli WiFi.​DataElements.​Network.​Device.​{i}.​APMLD.​{i}.​STAMLD.​{i}.​AffiliatedSTA.​{i}.LastDataDownlinkRate</t>
  </si>
  <si>
    <t>ubus-cli WiFi.​DataElements.​Network.​Device.​{i}.​APMLD.​{i}.​STAMLD.​{i}.​AffiliatedSTA.​{i}.LastDataUplinkRate</t>
  </si>
  <si>
    <t>ubus-cli WiFi.​DataElements.​Network.​Device.​{i}.​APMLD.​{i}.​STAMLD.​{i}.​AffiliatedSTA.​{i}.UtilizationReceive</t>
  </si>
  <si>
    <t>ubus-cli WiFi.​DataElements.​Network.​Device.​{i}.​APMLD.​{i}.​STAMLD.​{i}.​AffiliatedSTA.​{i}.UtilizationTransmit</t>
  </si>
  <si>
    <t>WiFi.​DataElements.​Network.​Device.​{i}.​bSTAMLD.</t>
  </si>
  <si>
    <t>ubus-cli WiFi.​DataElements.​Network.​Device.​{i}.​bSTAMLD.MLDMACAddress</t>
  </si>
  <si>
    <t>ubus-cli WiFi.​DataElements.​Network.​Device.​{i}.​bSTAMLD.BSSID</t>
  </si>
  <si>
    <t>AffiliatedbSTAList</t>
  </si>
  <si>
    <t>ubus-cli WiFi.​DataElements.​Network.​Device.​{i}.​bSTAMLD.AffiliatedbSTAList</t>
  </si>
  <si>
    <t>WiFi.​DataElements.​Network.​Device.​{i}.​bSTAMLD.​bSTAMLDConfig.</t>
  </si>
  <si>
    <t>ubus-cli WiFi.​DataElements.​Network.​Device.​{i}.​bSTAMLD.​bSTAMLDConfig.EMLMREnabled</t>
  </si>
  <si>
    <t>ubus-cli WiFi.​DataElements.​Network.​Device.​{i}.​bSTAMLD.​bSTAMLDConfig.EMLSREnabled</t>
  </si>
  <si>
    <t>ubus-cli WiFi.​DataElements.​Network.​Device.​{i}.​bSTAMLD.​bSTAMLDConfig.STREnabled</t>
  </si>
  <si>
    <t>ubus-cli WiFi.​DataElements.​Network.​Device.​{i}.​bSTAMLD.​bSTAMLDConfig.NSTREnabled</t>
  </si>
  <si>
    <t>ubus-cli WiFi.​DataElements.​Network.​Device.​{i}.​bSTAMLD.​bSTAMLDConfig.TIDLinkMapNegotiation</t>
  </si>
  <si>
    <t>ubus-cli WiFi.Radio.{i}.​80211be.EMLSREnable</t>
  </si>
  <si>
    <t>5G</t>
  </si>
  <si>
    <t>6G</t>
  </si>
  <si>
    <t>2.4G</t>
  </si>
  <si>
    <t>Pass %</t>
  </si>
  <si>
    <t>Failed %</t>
  </si>
  <si>
    <t>Not Support %</t>
  </si>
  <si>
    <t>Skip %</t>
  </si>
  <si>
    <t>To be test %</t>
  </si>
  <si>
    <t>Command Output</t>
  </si>
  <si>
    <t>Ethernet.</t>
  </si>
  <si>
    <t>FlowControlSupported</t>
  </si>
  <si>
    <t>No support</t>
  </si>
  <si>
    <t>InterfaceNumberOfEntries</t>
  </si>
  <si>
    <t>ubus-cli Ethernet.InterfaceNumberOfEntries?</t>
  </si>
  <si>
    <t>1.	Run the following commands on the CPE console to get value:
root@prplOS:/# ubus-cli Ethernet.InterfaceNumberOfEntries?
&gt; Ethernet.InterfaceNumberOfEntries?
Ethernet.InterfaceNumberOfEntries=5
2.	Run the following commands on the CPE console to check:
root@prplOS:/# ubus-cli Ethernet.Interface.*.Name?
&gt; Ethernet.Interface.*.Name?
Ethernet.Interface.1.Name="eth0"
Ethernet.Interface.2.Name="eth1"
Ethernet.Interface.3.Name="eth2"
Ethernet.Interface.4.Name="eth3"
Ethernet.Interface.5.Name="eth4"</t>
  </si>
  <si>
    <t>root@prplOS:/# ifconfig | grep eth
eth0      Link encap:Ethernet  HWaddr 64:75:DA:4E:51:70
eth1      Link encap:Ethernet  HWaddr 64:75:DA:4E:51:70
eth2      Link encap:Ethernet  HWaddr 64:75:DA:4E:51:70
eth3      Link encap:Ethernet  HWaddr 64:75:DA:4E:51:70
eth4      Link encap:Ethernet  HWaddr 64:75:DA:4E:51:70</t>
  </si>
  <si>
    <t>LinkNumberOfEntries</t>
  </si>
  <si>
    <t>ubus-cli Ethernet.LinkNumberOfEntries?</t>
  </si>
  <si>
    <t xml:space="preserve">  </t>
  </si>
  <si>
    <t>VLANTerminationNumberOfEntries</t>
  </si>
  <si>
    <t>ubus-cli Ethernet.VLANTerminationNumberOfEntries?</t>
  </si>
  <si>
    <t xml:space="preserve">1.	Run the following commands on the CPE console to get value:
root@prplOS:/# ubus-cli Ethernet.VLANTerminationNumberOfEntries?
&gt; Ethernet.VLANTerminationNumberOfEntries?
Ethernet.VLANTerminationNumberOfEntries=0
</t>
  </si>
  <si>
    <t>RMONStatsNumberOfEntries</t>
  </si>
  <si>
    <t>ubus-cli Ethernet.RMONStatsNumberOfEntries?</t>
  </si>
  <si>
    <t>1. Run the following commands on the CPE console::
root@prplOS:/# ubus-cli Ethernet.RMONStatsNumberOfEntries?
&gt; Ethernet.RMONStatsNumberOfEntries?
Ethernet.RMONStatsNumberOfEntries=1</t>
  </si>
  <si>
    <t>Ethernet.Interface.{i}.</t>
  </si>
  <si>
    <t>ubus-cli Ethernet.Interface.{i}.Enable=[0|1]</t>
  </si>
  <si>
    <t>ethernet_enable_set</t>
  </si>
  <si>
    <t>1. 1. Run the following commands on the CPE console to disable:
root@prplOS:/# ubus-cli Ethernet.Interface.1.Enable=0
&gt; Ethernet.Interface.1.Enable=0
Ethernet.Interface.1.
Ethernet.Interface.1.Enable=0
2. Run the following commands on the CPE console to enable:
root@prplOS:/# ubus-cli Ethernet.Interface.1.Enable=1
&gt; Ethernet.Interface.1.Enable=1
Ethernet.Interface.1.
Ethernet.Interface.1.Enable=1</t>
  </si>
  <si>
    <t xml:space="preserve">1.
root@prplOS:/# eth0 EXT3:XFI:0x5 - Link Down
root@prplOS:/# ifconfig | grep eth0 -A6
root@prplOS:/#
2.
root@prplOS:/# ifconfig | grep eth0 -A6
eth0      Link encap:Ethernet  HWaddr 64:75:DA:4E:51:70
          inet addr:172.16.0.101  Bcast:0.0.0.0  Mask:255.255.255.0
          inet6 addr: fe80::6675:daff:fe4e:5170/64 Scope:Link
          UP BROADCAST RUNNING MULTICAST  MTU:1998  Metric:1
          RX packets:42027 errors:0 dropped:535 overruns:0 frame:0
          TX packets:25814 errors:0 dropped:0 overruns:0 carrier:0
          collisions:0 txqueuelen:1000
</t>
  </si>
  <si>
    <t>ubus-cli Ethernet.Interface.{i}.Status?</t>
  </si>
  <si>
    <t xml:space="preserve">1. Run the following commands on the CPE console to disable:
root@prplOS:/# ubus-cli Ethernet.Interface.1.Enable=0
&gt; Ethernet.Interface.1.Enable=0
Ethernet.Interface.1.
Ethernet.Interface.1.Enable=0
2. Run the following commands on the CPE console to check status:
root@prplOS:/# ubus-cli Ethernet.Interface.1.Status?
&gt; Ethernet.Interface.1.Status?
Ethernet.Interface.1.Status="Down"
3. Run the following commands on the CPE console to check enable:
root@prplOS:/# ubus-cli Ethernet.Interface.1.Enable=1
&gt; Ethernet.Interface.1.Enable=1
Ethernet.Interface.1.
Ethernet.Interface.1.Enable=1
4. Run the following commands on the CPE console to check status:
root@prplOS:/# ubus-cli Ethernet.Interface.1.Status?
&gt; Ethernet.Interface.1.Status?
Ethernet.Interface.1.Status="Up"
</t>
  </si>
  <si>
    <t>1.
root@prplOS:/# eth0 EXT3:XFI:0x5 - Link Down
root@prplOS:/# ifconfig | grep eth0 -A6
root@prplOS:/#
3.
root@prplOS:/# ifconfig | grep eth0 -A6
eth0      Link encap:Ethernet  HWaddr 64:75:DA:4E:51:70
          inet addr:172.16.0.101  Bcast:0.0.0.0  Mask:255.255.255.0
          inet6 addr: fe80::6675:daff:fe4e:5170/64 Scope:Link
          UP BROADCAST RUNNING MULTICAST  MTU:1998  Metric:1
          RX packets:42027 errors:0 dropped:535 overruns:0 frame:0
          TX packets:25814 errors:0 dropped:0 overruns:0 carrier:0
          collisions:0 txqueuelen:1000</t>
  </si>
  <si>
    <t>ubus-cli Ethernet.Interface.{i}.Alias="xxx..."</t>
  </si>
  <si>
    <t>1. Run the following commands on the CPE console to get:
root@prplOS:/tmp# ubus-cli Ethernet.Interface.1.Alias?
&gt; Ethernet.Interface.1.Alias?
Ethernet.Interface.1.Alias="ETH0"
2. Run the following commands on the CPE console to set
root@prplOS:/# ubus-cli Ethernet.Interface.1.Alias="eth0-wan"
&gt; Ethernet.Interface.1.Alias=eth0-wan
Ethernet.Interface.1.
Ethernet.Interface.1.Alias="eth0-wan"
3. Run the following commands on the CPE console to get:
root@prplOS:/# ubus-cli Ethernet.Interface.1.Alias?
&gt; Ethernet.Interface.1.Alias?
Ethernet.Interface.1.Alias="eth0-wan"</t>
  </si>
  <si>
    <t>ubus-cli Ethernet.Interface.{i}.Name? </t>
  </si>
  <si>
    <t>1. Run the following commands on the CPE console:
root@prplOS:/# ubus-cli Ethernet.Interface.1.Name?
&gt; Ethernet.Interface.1.Name?
Ethernet.Interface.1.Name="eth0"</t>
  </si>
  <si>
    <t>LastChange</t>
  </si>
  <si>
    <t>ubus-cli Ethernet.Interface.{i}.LastChange?</t>
  </si>
  <si>
    <t>system_uptime_get</t>
  </si>
  <si>
    <t>1. Eth1 connected network line.
2. Run the following commands on the CPE console to confirm the length of time since the last change:
root@prplOS:/# ubus-cli Ethernet.Interface.2.LastChange?
&gt; Ethernet.Interface.1.LastChange?
Ethernet.Interface.1.LastChange=1</t>
  </si>
  <si>
    <t xml:space="preserve"> 08:50:35 up 3 days, 2 min,  0 users,  load average: 0.07, 0.03, 0.04
root@prplOS:/#
root@prplOS:/# eth1 EXT3:XFI:0x2 - Link Up 1 Gbps Full duplex
br-lan: port 1(eth1) entered blocking state
br-lan: port 1(eth1) entered forwarding state
root@prplOS:/# uptime; ubus-cli Ethernet.Interface.2.Status?;ubus-cli Ethernet.I
nterface.2.LastChange?; uptime
 08:50:39 up 3 days, 2 min,  0 users,  load average: 0.07, 0.03, 0.04
&gt; Ethernet.Interface.2.Status?
Ethernet.Interface.2.Status="Up"
&gt; Ethernet.Interface.2.LastChange?
Ethernet.Interface.2.LastChange=1
</t>
  </si>
  <si>
    <t>LowerLayers</t>
  </si>
  <si>
    <t>ubus-cli Ethernet.Interface.{i}.LowerLayers="xxxxx....."</t>
  </si>
  <si>
    <t>Upstream</t>
  </si>
  <si>
    <t>ubus-cli Ethernet.Interface.{i}.Upstream?</t>
  </si>
  <si>
    <t>1. Run the following commands on the CPE console:
root@prplOS:/sys/class/net# ubus-cli Ethernet.Interface.*.Upstream?
&gt; Ethernet.Interface.*.Upstream?
Ethernet.Interface.1.Upstream=1
Ethernet.Interface.2.Upstream=0
Ethernet.Interface.3.Upstream=0
Ethernet.Interface.4.Upstream=0
Ethernet.Interface.5.Upstream=0</t>
  </si>
  <si>
    <t>root@prplOS:/sys/class/net# brctl show
bridge name     bridge id               STP enabled     interfaces
br-lcm          8000.6475da4e5173       no
br-lan          8000.6475da4e5171       no              wl0.1
                                                        eth3
                                                        wl1
                                                        eth1
                                                        wl2.1
                                                        eth4
                                                        wl2
                                                        eth2
                                                        wl0
                                                        wl1.1
br-guest                8000.6475da4e5172       no</t>
  </si>
  <si>
    <t>ubus-cli Ethernet.Interface.{i}.MACAddress?</t>
  </si>
  <si>
    <t>mac_address_get</t>
  </si>
  <si>
    <r>
      <rPr>
        <sz val="9"/>
        <color rgb="FF000000"/>
        <rFont val="Calibri"/>
      </rPr>
      <t>1. Run the following commands on the CPE console:
root@prplOS:/# ubus-cli Ethernet.Interface.1.MACAddress?
&gt; Ethernet.Interface.1.MACAddress?
Ethernet.Interface.1.MACAddress="</t>
    </r>
    <r>
      <rPr>
        <b/>
        <sz val="9"/>
        <color rgb="FFFF0000"/>
        <rFont val="Calibri"/>
      </rPr>
      <t>64:75:DA:4E:51:70</t>
    </r>
    <r>
      <rPr>
        <sz val="9"/>
        <color rgb="FF000000"/>
        <rFont val="Calibri"/>
      </rPr>
      <t xml:space="preserve">"
</t>
    </r>
  </si>
  <si>
    <r>
      <rPr>
        <sz val="9"/>
        <color rgb="FF000000"/>
        <rFont val="Calibri"/>
      </rPr>
      <t xml:space="preserve">root@prplOS:/# ifconfig eth0
eth0      Link encap:Ethernet  HWaddr </t>
    </r>
    <r>
      <rPr>
        <b/>
        <sz val="9"/>
        <color rgb="FFFF0000"/>
        <rFont val="Calibri"/>
      </rPr>
      <t xml:space="preserve">64:75:DA:4E:51:70
</t>
    </r>
    <r>
      <rPr>
        <sz val="9"/>
        <color rgb="FF000000"/>
        <rFont val="Calibri"/>
      </rPr>
      <t xml:space="preserve">          inet addr:172.16.0.100  Bcast:0.0.0.0  Mask:255.255.255.0
          inet6 addr: fe80::6675:daff:fe4e:5170/64 Scope:Link
          UP BROADCAST RUNNING MULTICAST  MTU:1580  Metric:1
          RX packets:9106 errors:0 dropped:0 overruns:0 frame:0
          TX packets:9201 errors:0 dropped:0 overruns:0 carrier:0
          collisions:0 txqueuelen:1000
          RX bytes:899485 (878.4 KiB)  TX bytes:860863 (840.6 KiB)</t>
    </r>
  </si>
  <si>
    <t>ARC:
MACAddress string(:17) R 
[MACAddress] The MAC Address of the interface. Note: This is not necessarily the same as the Ethernet header source or destination MAC address, which is associated with the IP interface and is modeled via the Ethernet.Link.{i}.MACAddress parameter.
https://cwmp-data-models.broadband-forum.org/tr-181-2-11-0.html#D.Device:2.Device.Ethernet.Interface.MACAddress</t>
  </si>
  <si>
    <t>ubus-cli Ethernet.Interface.{i}.MaxBitRate=[5000|2500|1000|100|10]</t>
  </si>
  <si>
    <t>link_settings_get
link_settings_set</t>
  </si>
  <si>
    <t>1. Run the following commands on the CPE console to set :
root@prplOS:/# ubus-cli Ethernet.Interface.1.MaxBitRate=2500
&gt; Ethernet.Interset_ksettings(eth0):base[autoneg=1 speed=2500 duplex=1] advertise=82000002a07f
face.1.MaxBitRate=2500
Ethernet.Interface.1.
Ethernet.Interface.1.MaxBitRate=2500
2. Run the following commands on the CPE console to check:
root@prplOS:/# ubus-cli Ethernet.Interface.1.MaxBitRate?
&gt; Ethernet.Interface.1.MaxBitRate?
Ethernet.Interface.1.MaxBitRate=2500</t>
  </si>
  <si>
    <t>root@prplOS:/# ethtool eth0 | grep Speed
        Speed: 2500Mb/s</t>
  </si>
  <si>
    <t>ARC:
Ethernet.Interface.1.MaxBitRate=-1
(The maximum upstream and downstream PHY bit rate supported by this interface (expressed in Mbps). A value of -1 indicates automatic selection of the maximum bit rate.)</t>
  </si>
  <si>
    <t>CurrentBitRate</t>
  </si>
  <si>
    <t>ubus-cli Ethernet.Interface.{i}.CurrentBitRate?</t>
  </si>
  <si>
    <t>1. Run the following commands on the CPE console:
root@prplOS:/# ubus-cli Ethernet.Interface.1.CurrentBitRate?
&gt; Ethernet.Interface.1.CurrentBitRate?
Ethernet.Interface.1.CurrentBitRate=2500</t>
  </si>
  <si>
    <t xml:space="preserve">root@prplOS:/# ethtool eth0 | grep Speed
        Speed: 2500Mb/s
</t>
  </si>
  <si>
    <t>DuplexMode</t>
  </si>
  <si>
    <t>ubus-cli Ethernet.Interface.{i}.DuplexMode=["Half", "Full", "Auto"]</t>
  </si>
  <si>
    <t>1. Run the following commands on the CPE console to change Duplex mode from auto to half.:
root@prplOS:/# ubus-cli Ethernet.Interface.1.DuplexMode=Half
&gt; Ethernet.Interset_ksettings(eth0):base[autoneg=1 speed=100 duplex=1] advertise=2045
face.1.DuplexMode=Half
Ethernet.Interface.1.
Ethernet.Interface.1.DuplexMode="Half"
2. Run the following commands on the CPE console to check current bit rate with HLAPI:
root@prplOS:/# ubus-cli Ethernet.Interface.1.CurrentBitRate?
&gt; Ethernet.Interface.1.CurrentBitRate?
Ethernet.Interface.1.CurrentBitRate=0</t>
  </si>
  <si>
    <t>root@prplOS:/# ethtool eth0 | grep "Speed\|Duplex"
        Speed: Unknown!
        Duplex: Half</t>
  </si>
  <si>
    <t>68575 Ethernet PHY
does not support Half
 Duplex
From DTS phy's setting
: caps-no-hdx;
Setting to HD from
ubus-cli and ethtool
show ok
But Link is not up
Fail on 688880 board
Fail on those board
whose phy  not
support half-duplex
setting is ok
link is not up</t>
  </si>
  <si>
    <t>ARC : 
When DuplexMode is set "Half", the Speed will be show Unknow. And CurrentBitRate also show "0".
Interface will be down.</t>
  </si>
  <si>
    <t>CurrentDuplexMode</t>
  </si>
  <si>
    <t>ubus-cli Ethernet.Interface.{i}.CurrentDuplexMode?</t>
  </si>
  <si>
    <r>
      <rPr>
        <sz val="9"/>
        <color rgb="FF000000"/>
        <rFont val="Calibri"/>
      </rPr>
      <t>1. Run the following commands on the CPE console to et Duplex mode:
root@prplOS:/#  ubus-cli Ethernet.Interface.1.DuplexMode=Half
&gt; Ethernet.Interset_ksettings(eth0):base[autoneg=1 speed=2500 duplex=1] advertise=2055
face.1.DuplexMode=Half
Ethernet.Interface.1.
Ethernet.Interface.1.DuplexMode="Half"
2. Run the following commands on the CPE console to get Duplex mode:
root@prplOS:/#  ubus-cli Ethernet.Interface.1.DuplexMode?
&gt; Ethernet.Interface.1.DuplexMode?
Ethernet.Interface.1.DuplexMode="Half"
3. Run the following commands on the CPE console to check Current Duplex mode:
root@prplOS:/#  ubus-cli Ethernet.Interface.1.CurrentDuplexMode?
&gt; Ethernet.Interface.1.CurrentDuplexMode?
Ethernet.Interface.1.CurrentDuplexMode="</t>
    </r>
    <r>
      <rPr>
        <b/>
        <sz val="9"/>
        <color rgb="FFFF0000"/>
        <rFont val="Calibri"/>
      </rPr>
      <t>Unknown</t>
    </r>
    <r>
      <rPr>
        <sz val="9"/>
        <color rgb="FF000000"/>
        <rFont val="Calibri"/>
      </rPr>
      <t>"</t>
    </r>
  </si>
  <si>
    <t xml:space="preserve">root@prplOS:/# ethtool eth0 | grep "Speed\|Duplex"
        Speed: Unknown!
        Duplex: Half
</t>
  </si>
  <si>
    <t>ARC: Remark: An error is displayed when using Half.</t>
  </si>
  <si>
    <t>EEECapability</t>
  </si>
  <si>
    <t>ubus-cli Ethernet.Interface.{i}.EEECapability?</t>
  </si>
  <si>
    <t>1. Run the following commands on the CPE console:
root@prplOS:/sys/class/net# ubus-cli Ethernet.Interface.2.EEECapability?
&gt; Ethernet.Interface.2.EEECapability?
Ethernet.Interface.2.EEECapability=1</t>
  </si>
  <si>
    <t>BRCM ticket: CS00012442728</t>
  </si>
  <si>
    <t>ARC: HLAPI can only retrieve preset values ​​and cannot determine whether they are correct.
BRCM ticket: CS00012441681
Capability equal to 1 means the ethernet support EEE.
Use ethctl to get current status
root@prplOS:/# ethctl eth2 eee-resolution
    Interface eth2 phy EEE AN resolution status is On at mode Autogreeen.
root@prplOS:/# ethctl eth3 eee
    Interface eth3 local EEE configuration is Enabled at mode Autogreeen.
root@prplOS:/#</t>
  </si>
  <si>
    <t>EEEEnable</t>
  </si>
  <si>
    <t>ubus-cli Ethernet.Interface.{i}.EEEEnable=[0|1]</t>
  </si>
  <si>
    <t>link_eee_set</t>
  </si>
  <si>
    <r>
      <rPr>
        <sz val="9"/>
        <color rgb="FF000000"/>
        <rFont val="Calibri"/>
      </rPr>
      <t>1. Run the following commands on the CPE console to enable:
root@prplOS:/sys/class/net# ubus-cli Ethernet.Interface.2.EEEEnable=1
&gt; Ethernet.Interface.2.EEEEnable=1
Ethernet.Interface.2.
Ethernet.Interface.2.EEEEnable=1
2. Run the following commands on the CPE console to check status:
root@prplOS:/sys/class/net# ubus-cli Ethernet.Interface.2.EEEStatus?
&gt; Ethernet.Interface.2.EEEStatus?
Ethernet.Interface.2.EEEStatus="</t>
    </r>
    <r>
      <rPr>
        <b/>
        <sz val="9"/>
        <color rgb="FFFF0000"/>
        <rFont val="Calibri"/>
      </rPr>
      <t>Disabled</t>
    </r>
    <r>
      <rPr>
        <sz val="9"/>
        <color rgb="FF000000"/>
        <rFont val="Calibri"/>
      </rPr>
      <t>"
3. Run the following commands on the CPE console to disable:
root@prplOS:/sys/class/net# ubus-cli Ethernet.Interface.2.EEEEnable=0
&gt; Ethernet.Interface.2.EEEEnable=0
Ethernet.Interface.2.
Ethernet.Interface.2.EEEEnable=0
4. Run the following commands on the CPE console to check status:
root@prplOS:/sys/class/net# ubus-cli Ethernet.Interface.2.EEEStatus?
&gt; Ethernet.Interface.2.EEEStatus?
Ethernet.Interface.2.EEEStatus="Disabled"</t>
    </r>
  </si>
  <si>
    <r>
      <rPr>
        <sz val="9"/>
        <color rgb="FF000000"/>
        <rFont val="Calibri"/>
      </rPr>
      <t xml:space="preserve">root@prplOS:/sys/class/net# ethtool --show-eee eth1
EEE settings for eth1:
        EEE status: </t>
    </r>
    <r>
      <rPr>
        <b/>
        <sz val="9"/>
        <color rgb="FFFF0000"/>
        <rFont val="Calibri"/>
      </rPr>
      <t xml:space="preserve">disabled
</t>
    </r>
    <r>
      <rPr>
        <sz val="9"/>
        <color rgb="FF000000"/>
        <rFont val="Calibri"/>
      </rPr>
      <t xml:space="preserve">        Tx LPI: disabled
root@prplOS:/sys/class/net# ethtool --show-eee eth1
EEE settings for eth1:
        EEE status: disabled
        Tx LPI: disabled</t>
    </r>
  </si>
  <si>
    <r>
      <rPr>
        <sz val="9"/>
        <color rgb="FFFF0000"/>
        <rFont val="Calibri"/>
      </rPr>
      <t xml:space="preserve">20260113: according to CSP, we have to firstly turn on EEE via </t>
    </r>
    <r>
      <rPr>
        <b/>
        <sz val="9"/>
        <color rgb="FFFF0000"/>
        <rFont val="Calibri"/>
      </rPr>
      <t xml:space="preserve">ubus-cli PowerManagement.EthEEE=1
20260108: Jared: EEE working in BDK but not working in PRPL. created ticket 12442728
</t>
    </r>
    <r>
      <rPr>
        <sz val="9"/>
        <color rgb="FF000000"/>
        <rFont val="Calibri"/>
      </rPr>
      <t>20260107: Jared: below is tested on HW1.1 (B0) with RJ45 attached to eth3 with ARC integrated prpl 4.0.0 and the EEE works well.
 - ubus: - [ubus-cli] (0)
 &gt; Ethernet.Interface.ETH3.EEEEnable=1
Ethernet.Interface.4.
Ethernet.Interface.4.EEEEnable=1
root@prplOS:/# pwrctl show --eee
PHY EEE              eth0      Disabled
PHY EEE              eth1      Disabled
PHY EEE              eth2      Disabled
PHY EEE              eth3      Enabled
root@prplOS:/# ubus-cli Ethernet.Interface.ETH3.?
&gt; Ethernet.Interface.ETH3.?
Ethernet.Interface.4.
Ethernet.Interface.4.Alias="ETH3"
Ethernet.Interface.4.CurrentBitRate=1000
Ethernet.Interface.4.CurrentDuplexMode="Full"
Ethernet.Interface.4.DuplexMode="Auto"
Ethernet.Interface.4.EDPDCapability=0
Ethernet.Interface.4.EDPDEnable=0
Ethernet.Interface.4.EDPDStatus="Unsupported"
Ethernet.Interface.4.EEECapability=1
Ethernet.Interface.4.EEEEnable=1
Ethernet.Interface.4.EEEStatus="Active"</t>
    </r>
  </si>
  <si>
    <t>EEEStatus</t>
  </si>
  <si>
    <t>ubus-cli Ethernet.Interface.{i}.EEEStatus?</t>
  </si>
  <si>
    <t>root@prplOS:/# ubus-cli Ethernet.Interface.4.EEEStatus?
&gt; Ethernet.Interface.4.EEEStatus?
Ethernet.Interface.4.EEEStatus="Active"</t>
  </si>
  <si>
    <t>root@prplOS:/# ethtool --show-eee eth3
EEE settings for eth3:
        EEE status: enabled - active
        Tx LPI: disabled
        Supported EEE link modes:  10baseT/Full
                                   100baseT/Full
                                   1000baseT/Full
        Advertised EEE link modes:  10baseT/Full
                                    100baseT/Full
                                    1000baseT/Full
        Link partner advertised EEE link modes:  10baseT/Full
                                                 100baseT/Full
                                                 1000baseT/Full</t>
  </si>
  <si>
    <t>EDPDCapability</t>
  </si>
  <si>
    <t>ubus-cli Ethernet.Interface.{i}.EDPDCapability?</t>
  </si>
  <si>
    <t>1. Run the following commands on the CPE console:
root@prplOS:/sys/class/net/eth0# ubus-cli Ethernet.Interface.*.EDPDCapability?
&gt; Ethernet.Interface.*.EDPDCapability?
Ethernet.Interface.1.EDPDCapability=0
Ethernet.Interface.2.EDPDCapability=0
Ethernet.Interface.3.EDPDCapability=0
Ethernet.Interface.4.EDPDCapability=0
Ethernet.Interface.5.EDPDCapability=0</t>
  </si>
  <si>
    <t>BRCM ticket: CS00012441384</t>
  </si>
  <si>
    <t>Hardware support EDPD (aka, apd)
need to patch enet driver
need to run pwr config --apd on
root@prplOS:/# ubus-cli Ethernet.Interface.ETH2.?
&gt; Ethernet.Interface.ETH2.?
Ethernet.Interface.3.
Ethernet.Interface.3.Alias="ETH2"
Ethernet.Interface.3.CurrentBitRate=1000
Ethernet.Interface.3.CurrentDuplexMode="Full"
Ethernet.Interface.3.DuplexMode="Auto"
Ethernet.Interface.3.EDPDCapability=1
Ethernet.Interface.3.EDPDEnable=1
Ethernet.Interface.3.EDPDStatus="Enabled"</t>
  </si>
  <si>
    <t>EDPDEnable</t>
  </si>
  <si>
    <t>ubus-cli Ethernet.Interface.{i}.EDPDEnable=[0|1]</t>
  </si>
  <si>
    <t>link_edpa_get
link_edpa_set</t>
  </si>
  <si>
    <t>1. Run the following commands on the CPE console:
root@prplOS:/sys/class/net/eth0# ubus-cli Ethernet.Interface.*.EDPDEnable?
&gt; Ethernet.Interface.*.EDPDEnable?
Ethernet.Interface.1.EDPDEnable=0
Ethernet.Interface.2.EDPDEnable=0
Ethernet.Interface.3.EDPDEnable=0
Ethernet.Interface.4.EDPDEnable=0
Ethernet.Interface.5.EDPDEnable=0</t>
  </si>
  <si>
    <t>EDPDStatus</t>
  </si>
  <si>
    <t>ubus-cli Ethernet.Interface.{i}.EDPDStatus?</t>
  </si>
  <si>
    <t>1. Run the following commands on the CPE console:
root@prplOS:/sys/class/net/eth0# ubus-cli Ethernet.Interface.*.EDPDStatus?
&gt; Ethernet.Interface.*.EDPDStatus?
Ethernet.Interface.1.EDPDStatus="Unsupported"
Ethernet.Interface.2.EDPDStatus="Unsupported"
Ethernet.Interface.3.EDPDStatus="Unsupported"
Ethernet.Interface.4.EDPDStatus="Unsupported"
Ethernet.Interface.5.EDPDStatus="Unsupported"</t>
  </si>
  <si>
    <t>X_PRPLWARE-COM_MTUMode</t>
  </si>
  <si>
    <t>ubus-cli Ethernet.Interface.{i}.X_PRPLWARE-COM_MTUMode=[ "manual" | "auto" ]</t>
  </si>
  <si>
    <t>mtu_set</t>
  </si>
  <si>
    <t>1. Run the following commands on the CPE console:
root@prplOS:/# ubus-cli Ethernet.Interface.1.X_PRPLWARE-COM_MTUMode?
&gt; Ethernet.Interface.1.X_PRPLWARE-COM_MTUMode?
Ethernet.Interface.1.X_PRPLWARE-COM_MTUMode="manual"</t>
  </si>
  <si>
    <t>X_PRPLWARE-COM_MTU</t>
  </si>
  <si>
    <t>ubus-cli Ethernet.Interface.{i}.X_PRPLWARE-COM_MTU=1580</t>
  </si>
  <si>
    <t>1. Run the following commands on the CPE console:
root@prplOS:/# ubus-cli Ethernet.Interface.2.X_PRPLWARE-COM_MTU=1580
&gt; Ethernet.Interface.2.X_PRPLWARE-COM_MTU=1580
Ethernet.Interface.2.
Ethernet.Interface.2.X_PRPLWARE-COM_MTU=1580</t>
  </si>
  <si>
    <t>root@prplOS:/# ubus-cli Ethernet.Interface.2.X_PRPLWARE-COM_MTU?
&gt; Ethernet.Interface.2.X_PRPLWARE-COM_MTU?
Ethernet.Interface.2.X_PRPLWARE-COM_MTU=1580
root@prplOS:/# cat /sys/class/net/eth0/mtu
1580
root@prplOS:/# ifconfig eth0
eth0      Link encap:Ethernet  HWaddr 64:75:DA:4E:51:70
          inet addr:172.16.0.100  Bcast:0.0.0.0  Mask:255.255.255.0
          inet6 addr: fe80::6675:daff:fe4e:5170/64 Scope:Link
          UP BROADCAST RUNNING MULTICAST  MTU:1580  Metric:1
          RX packets:8911 errors:0 dropped:0 overruns:0 frame:0
          TX packets:9007 errors:0 dropped:0 overruns:0 carrier:0
          collisions:0 txqueuelen:1000
          RX bytes:881314 (860.6 KiB)  TX bytes:842919 (823.1 KiB)</t>
  </si>
  <si>
    <t>X_PRPLWARE-COM_Description</t>
  </si>
  <si>
    <t>ubus-cli Ethernet.Interface.{i}.X_PRPLWARE-COM_Description?</t>
  </si>
  <si>
    <t>X_PRPLWARE-COM_SFPReference</t>
  </si>
  <si>
    <t>ubus-cli Ethernet.Interface.{i}.X_PRPLWARE-COM_SFPReference?</t>
  </si>
  <si>
    <t>Ethernet.Interface.{i}.Stats.</t>
  </si>
  <si>
    <t>ubus-cli Ethernet.Interface.{i}.Stats.BytesSent?</t>
  </si>
  <si>
    <r>
      <rPr>
        <sz val="9"/>
        <color rgb="FF000000"/>
        <rFont val="Calibri"/>
      </rPr>
      <t>1. Run the following commands on the CPE console:
root@prplOS:/# ubus-cli Ethernet.Interface.1.Stats.BytesSent? ; ifconfig eth0
&gt; Ethernet.Interface.1.Stats.BytesSent?
Ethernet.Interface.1.Stats.BytesSent=</t>
    </r>
    <r>
      <rPr>
        <b/>
        <sz val="9"/>
        <color rgb="FFC65911"/>
        <rFont val="Calibri"/>
      </rPr>
      <t>50210</t>
    </r>
  </si>
  <si>
    <r>
      <rPr>
        <sz val="9"/>
        <color rgb="FF000000"/>
        <rFont val="Calibri"/>
      </rPr>
      <t>eth0      Link encap:Ethernet  HWaddr 64:75:DA:4E:51:70
          inet addr:172.16.0.100  Bcast:0.0.0.0  Mask:255.255.255.0
          inet6 addr: fe80::6675:daff:fe4e:5170/64 Scope:Link
          UP BROADCAST RUNNING MULTICAST  MTU:1998  Metric:1
          RX packets:823 errors:2 dropped:1 overruns:0 frame:1
          TX packets:602 errors:0 dropped:0 overruns:0 carrier:0
          collisions:0 txqueuelen:1000
          RX bytes:98599 (96.2 KiB)  TX bytes:</t>
    </r>
    <r>
      <rPr>
        <b/>
        <sz val="9"/>
        <color rgb="FFC65911"/>
        <rFont val="Calibri"/>
      </rPr>
      <t xml:space="preserve">50210 </t>
    </r>
    <r>
      <rPr>
        <sz val="9"/>
        <color rgb="FF000000"/>
        <rFont val="Calibri"/>
      </rPr>
      <t>(49.0 KiB)</t>
    </r>
  </si>
  <si>
    <t>ubus-cli Ethernet.Interface.{i}.Stats.BytesReceived?</t>
  </si>
  <si>
    <r>
      <rPr>
        <sz val="9"/>
        <color rgb="FF000000"/>
        <rFont val="Calibri"/>
      </rPr>
      <t>1. Run the following commands on the CPE console:
root@prplOS:/# ubus-cli Ethernet.Interface.1.Stats.BytesReceived? ; ifconfig eth0
&gt; Ethernet.Interface.1.Stats.BytesReceived?
Ethernet.Interface.1.Stats.BytesReceived=</t>
    </r>
    <r>
      <rPr>
        <b/>
        <sz val="9"/>
        <color rgb="FFC65911"/>
        <rFont val="Calibri"/>
      </rPr>
      <t>99137</t>
    </r>
  </si>
  <si>
    <r>
      <rPr>
        <sz val="9"/>
        <color rgb="FF000000"/>
        <rFont val="Calibri"/>
      </rPr>
      <t>eth0      Link encap:Ethernet  HWaddr 64:75:DA:4E:51:70
          inet addr:172.16.0.100  Bcast:0.0.0.0  Mask:255.255.255.0
          inet6 addr: fe80::6675:daff:fe4e:5170/64 Scope:Link
          UP BROADCAST RUNNING MULTICAST  MTU:1998  Metric:1
          RX packets:827 errors:2 dropped:1 overruns:0 frame:1
          TX packets:612 errors:0 dropped:0 overruns:0 carrier:0
          collisions:0 txqueuelen:1000
          RX bytes:</t>
    </r>
    <r>
      <rPr>
        <b/>
        <sz val="9"/>
        <color rgb="FFC65911"/>
        <rFont val="Calibri"/>
      </rPr>
      <t xml:space="preserve">99137 </t>
    </r>
    <r>
      <rPr>
        <sz val="9"/>
        <color rgb="FF000000"/>
        <rFont val="Calibri"/>
      </rPr>
      <t>(96.8 KiB)  TX bytes:51122 (49.9 KiB)</t>
    </r>
  </si>
  <si>
    <t>ubus-cli Ethernet.Interface.{i}.Stats.PacketsSent?</t>
  </si>
  <si>
    <r>
      <rPr>
        <sz val="9"/>
        <color rgb="FF000000"/>
        <rFont val="Calibri"/>
      </rPr>
      <t>1. Run the following commands on the CPE console:
root@prplOS:/# ubus-cli Ethernet.Interface.1.Stats.PacketsSent?; ifconfig eth0
&gt; Ethernet.Interface.1.Stats.PacketsSent?
Ethernet.Interface.1.Stats.PacketsSent=</t>
    </r>
    <r>
      <rPr>
        <b/>
        <sz val="9"/>
        <color rgb="FFC65911"/>
        <rFont val="Calibri"/>
      </rPr>
      <t>633</t>
    </r>
  </si>
  <si>
    <r>
      <rPr>
        <sz val="9"/>
        <color rgb="FF000000"/>
        <rFont val="Calibri"/>
      </rPr>
      <t>eth0      Link encap:Ethernet  HWaddr 64:75:DA:4E:51:70
          inet addr:172.16.0.100  Bcast:0.0.0.0  Mask:255.255.255.0
          inet6 addr: fe80::6675:daff:fe4e:5170/64 Scope:Link
          UP BROADCAST RUNNING MULTICAST  MTU:1998  Metric:1
          RX packets:870 errors:2 dropped:1 overruns:0 frame:1
          TX packets:</t>
    </r>
    <r>
      <rPr>
        <b/>
        <sz val="9"/>
        <color rgb="FFC65911"/>
        <rFont val="Calibri"/>
      </rPr>
      <t xml:space="preserve">633 </t>
    </r>
    <r>
      <rPr>
        <sz val="9"/>
        <color rgb="FF000000"/>
        <rFont val="Calibri"/>
      </rPr>
      <t>errors:0 dropped:0 overruns:0 carrier:0
          collisions:0 txqueuelen:1000
          RX bytes:102012 (99.6 KiB)  TX bytes:52466 (51.2 KiB)</t>
    </r>
  </si>
  <si>
    <t>ubus-cli Ethernet.Interface.{i}.Stats.PacketsReceived?</t>
  </si>
  <si>
    <r>
      <rPr>
        <sz val="9"/>
        <color rgb="FF000000"/>
        <rFont val="Calibri"/>
      </rPr>
      <t>1. Run the following commands on the CPE console:
root@prplOS:/# ubus-cli Ethernet.Interface.1.Stats.PacketsReceived?; ifconfig eth0
&gt; Ethernet.Interface.1.Stats.PacketsReceived?
Ethernet.Interface.1.Stats.PacketsReceived=</t>
    </r>
    <r>
      <rPr>
        <b/>
        <sz val="9"/>
        <color rgb="FFC65911"/>
        <rFont val="Calibri"/>
      </rPr>
      <t>879</t>
    </r>
  </si>
  <si>
    <r>
      <rPr>
        <sz val="9"/>
        <color rgb="FF000000"/>
        <rFont val="Calibri"/>
      </rPr>
      <t>eth0      Link encap:Ethernet  HWaddr 64:75:DA:4E:51:70
          inet addr:172.16.0.100  Bcast:0.0.0.0  Mask:255.255.255.0
          inet6 addr: fe80::6675:daff:fe4e:5170/64 Scope:Link
          UP BROADCAST RUNNING MULTICAST  MTU:1998  Metric:1
          RX packets:</t>
    </r>
    <r>
      <rPr>
        <b/>
        <sz val="9"/>
        <color rgb="FFC65911"/>
        <rFont val="Calibri"/>
      </rPr>
      <t xml:space="preserve">879 </t>
    </r>
    <r>
      <rPr>
        <sz val="9"/>
        <color rgb="FF000000"/>
        <rFont val="Calibri"/>
      </rPr>
      <t>errors:2 dropped:1 overruns:0 frame:1
          TX packets:633 errors:0 dropped:0 overruns:0 carrier:0
          collisions:0 txqueuelen:1000
          RX bytes:102588 (100.1 KiB)  TX bytes:52466 (51.2 KiB)</t>
    </r>
  </si>
  <si>
    <t>ubus-cli Ethernet.Interface.{i}.Stats.ErrorsSent?</t>
  </si>
  <si>
    <r>
      <rPr>
        <sz val="9"/>
        <color rgb="FF000000"/>
        <rFont val="Calibri"/>
      </rPr>
      <t>1. Run the following commands on the CPE console:
root@prplOS:/# ubus-cli Ethernet.Interface.1.Stats.ErrorsSent?; ifconfig eth0
&gt; Ethernet.Interface.1.Stats.ErrorsSent?
Ethernet.Interface.1.Stats.ErrorsSent=</t>
    </r>
    <r>
      <rPr>
        <b/>
        <sz val="9"/>
        <color rgb="FFC65911"/>
        <rFont val="Calibri"/>
      </rPr>
      <t>0</t>
    </r>
  </si>
  <si>
    <r>
      <rPr>
        <sz val="9"/>
        <color rgb="FF000000"/>
        <rFont val="Calibri"/>
      </rPr>
      <t>eth0      Link encap:Ethernet  HWaddr 64:75:DA:4E:51:70
          inet addr:172.16.0.100  Bcast:0.0.0.0  Mask:255.255.255.0
          inet6 addr: fe80::6675:daff:fe4e:5170/64 Scope:Link
          UP BROADCAST RUNNING MULTICAST  MTU:1998  Metric:1
          RX packets:888 errors:2 dropped:1 overruns:0 frame:1
          TX packets:639 errors:</t>
    </r>
    <r>
      <rPr>
        <b/>
        <sz val="9"/>
        <color rgb="FFC65911"/>
        <rFont val="Calibri"/>
      </rPr>
      <t xml:space="preserve">0 </t>
    </r>
    <r>
      <rPr>
        <sz val="9"/>
        <color rgb="FF000000"/>
        <rFont val="Calibri"/>
      </rPr>
      <t>dropped:0 overruns:0 carrier:0
          collisions:0 txqueuelen:1000
          RX bytes:103164 (100.7 KiB)  TX bytes:52850 (51.6 KiB)</t>
    </r>
  </si>
  <si>
    <t>ubus-cli Ethernet.Interface.{i}.Stats.ErrorsReceived?</t>
  </si>
  <si>
    <r>
      <rPr>
        <sz val="9"/>
        <color rgb="FF000000"/>
        <rFont val="Calibri"/>
      </rPr>
      <t>1. Run the following commands on the CPE console:
root@prplOS:/# ubus-cli Ethernet.Interface.1.Stats.ErrorsReceived?; ifconfig eth0
&gt; Ethernet.Interface.1.Stats.ErrorsReceived?
Ethernet.Interface.1.Stats.ErrorsReceived=</t>
    </r>
    <r>
      <rPr>
        <b/>
        <sz val="9"/>
        <color rgb="FFC65911"/>
        <rFont val="Calibri"/>
      </rPr>
      <t xml:space="preserve">2
</t>
    </r>
  </si>
  <si>
    <r>
      <rPr>
        <sz val="9"/>
        <color rgb="FF000000"/>
        <rFont val="Calibri"/>
      </rPr>
      <t>eth0      Link encap:Ethernet  HWaddr 64:75:DA:4E:51:70
          inet addr:172.16.0.100  Bcast:0.0.0.0  Mask:255.255.255.0
          inet6 addr: fe80::6675:daff:fe4e:5170/64 Scope:Link
          UP BROADCAST RUNNING MULTICAST  MTU:1998  Metric:1
          RX packets:891 errors:</t>
    </r>
    <r>
      <rPr>
        <b/>
        <sz val="9"/>
        <color rgb="FFC65911"/>
        <rFont val="Calibri"/>
      </rPr>
      <t>2</t>
    </r>
    <r>
      <rPr>
        <sz val="9"/>
        <color rgb="FF000000"/>
        <rFont val="Calibri"/>
      </rPr>
      <t xml:space="preserve"> dropped:1 overruns:0 frame:1
          TX packets:648 errors:0 dropped:0 overruns:0 carrier:0
          collisions:0 txqueuelen:1000
          RX bytes:104217 (101.7 KiB)  TX bytes:53426 (52.1 KiB</t>
    </r>
  </si>
  <si>
    <t>ubus-cli Ethernet.Interface.{i}.Stats.UnicastPacketsSent?</t>
  </si>
  <si>
    <t>1. Run the following commands on the CPE console:
root@prplOS:/# ubus-cli Ethernet.Interface.1.Stats.UnicastPacketsSent?
&gt; Ethernet.Interface.1.Stats.UnicastPacketsSent?
Ethernet.Interface.1.Stats.UnicastPacketsSent=0</t>
  </si>
  <si>
    <t>ubus-cli Ethernet.Interface.{i}.Stats.UnicastPacketsReceived?</t>
  </si>
  <si>
    <t>1. Run the following commands on the CPE console:
root@prplOS:/# ubus-cli Ethernet.Interface.1.Stats.UnicastPacketsReceived?
&gt; Ethernet.Interface.1.Stats.UnicastPacketsReceived?
Ethernet.Interface.1.Stats.UnicastPacketsReceived=0</t>
  </si>
  <si>
    <t>ubus-cli Ethernet.Interface.{i}.Stats.DiscardPacketsSent?</t>
  </si>
  <si>
    <t>1. Run the following commands on the CPE console:
root@prplOS:/# ubus-cli Ethernet.Interface.1.Stats.DiscardPacketsSent?
&gt; Ethernet.Interface.1.Stats.DiscardPacketsSent?
Ethernet.Interface.1.Stats.DiscardPacketsSent=0</t>
  </si>
  <si>
    <t>ubus-cli Ethernet.Interface.{i}.Stats.DiscardPacketsReceived?</t>
  </si>
  <si>
    <t>1. Run the following commands on the CPE console:
root@prplOS:/# ubus-cli Ethernet.Interface.1.Stats.DiscardPacketsReceived?
&gt; Ethernet.Interface.1.Stats.DiscardPacketsReceived?
Ethernet.Interface.1.Stats.DiscardPacketsReceived=0</t>
  </si>
  <si>
    <t>ubus-cli Ethernet.Interface.{i}.Stats.MulticastPacketsSent?</t>
  </si>
  <si>
    <t>1. Run the following commands on the CPE console:
root@prplOS:/# ubus-cli Ethernet.Interface.1.Stats.MulticastPacketsSent?
&gt; Ethernet.Interface.1.Stats.MulticastPacketsSent?
Ethernet.Interface.1.Stats.MulticastPacketsSent=0</t>
  </si>
  <si>
    <t>ubus-cli Ethernet.Interface.{i}.Stats.MulticastPacketsReceived?</t>
  </si>
  <si>
    <t>1. Run the following commands on the CPE console:
root@prplOS:/# ubus-cli Ethernet.Interface.1.Stats.MulticastPacketsReceived?
&gt; Ethernet.Interface.1.Stats.MulticastPacketsReceived?
Ethernet.Interface.1.Stats.MulticastPacketsReceived=0</t>
  </si>
  <si>
    <t>ubus-cli Ethernet.Interface.{i}.Stats.BroadcastPacketsSent?</t>
  </si>
  <si>
    <t>1. Run the following commands on the CPE console:
root@prplOS:/# ubus-cli Ethernet.Interface.1.Stats.BroadcastPacketsSent?
&gt; Ethernet.Interface.1.Stats.BroadcastPacketsSent?
Ethernet.Interface.1.Stats.BroadcastPacketsSent=0</t>
  </si>
  <si>
    <t>ubus-cli Ethernet.Interface.{i}.Stats.BroadcastPacketsReceived?</t>
  </si>
  <si>
    <t>1. Run the following commands on the CPE console:
root@prplOS:/# ubus-cli Ethernet.Interface.1.Stats.BroadcastPacketsReceived?
&gt; Ethernet.Interface.1.Stats.BroadcastPacketsReceived?
Ethernet.Interface.1.Stats.BroadcastPacketsReceived=0</t>
  </si>
  <si>
    <t>ubus-cli Ethernet.Interface.{i}.Stats.UnknownProtoPacketsReceived?</t>
  </si>
  <si>
    <t>1. Run the following commands on the CPE console:
root@prplOS:/# ubus-cli Ethernet.Interface.1.Stats.UnknownProtoPacketsReceived?
&gt; Ethernet.Interface.1.Stats.UnknownProtoPacketsReceived?
Ethernet.Interface.1.Stats.UnknownProtoPacketsReceived=0</t>
  </si>
  <si>
    <t>Ethernet.Link.{i}.</t>
  </si>
  <si>
    <t>ubus-cli Ethernet.Link.{i}.Enable= [0|1]</t>
  </si>
  <si>
    <t>1. Run the following commands on the CPE console to clear LowerLayers:
		ubus-cli Ethernet.Link.2.LowerLayers=""
2. 1. Run the following commands on the CPE console to check Enable and Status:
		ubus-cli Ethernet.Link.2.Enable?
		ubus-cli Ethernet.Link.2.Status?
3. 1. Run the following commands on the CPE console disable and check Status:
		ubus-cli Ethernet.Link.2.Enable=0
		ubus-cli Ethernet.Link.2.Status?</t>
  </si>
  <si>
    <t>root@prplOS:/sys/class/net# ifconfig | grep eth0
eth0      Link encap:Ethernet  HWaddr 64:75:DA:4E:51:70
root@prplOS:/# ifconfig | grep eth0 -A 8
root@prplOS:/#</t>
  </si>
  <si>
    <t>ubus-cli Ethernet.Link.{i}.Status?</t>
  </si>
  <si>
    <t>1. Run the following commands on the CPE console:
root@prplOS:/# ubus-cli Ethernet.Link.2.Status?
&gt; Ethernet.Link.2.Status?
Ethernet.Link.2.Status="Up"</t>
  </si>
  <si>
    <t>root@prplOS:/sys/class/net# ifconfig eth0
eth0      Link encap:Ethernet  HWaddr 64:75:DA:4E:51:70</t>
  </si>
  <si>
    <t>ubus-cli Ethernet.Link.{i}.Alias="xxxx."</t>
  </si>
  <si>
    <t>1. Run the following commands on the CPE console:
root@prplOS:/# ubus-cli Ethernet.Link.2.Alias?
&gt; Ethernet.Link.2.Alias?
Ethernet.Link.2.Alias="ethernet_wan"</t>
  </si>
  <si>
    <t>ubus-cli Ethernet.Link.{i}.Name?</t>
  </si>
  <si>
    <t>1. Run the following commands on the CPE console:
root@prplOS:/# ubus-cli Ethernet.Link.2.Name?
&gt; Ethernet.Link.2.Name?
Ethernet.Link.2.Name="eth0"</t>
  </si>
  <si>
    <t>ubus-cli Ethernet.Link.{i}.LastChange?</t>
  </si>
  <si>
    <t>1. Run the following commands on the CPE console:
root@prplOS:/# ubus-cli Ethernet.Link.2.LastChange?
&gt; Ethernet.Link.2.LastChange?
Ethernet.Link.2.LastChange=8943</t>
  </si>
  <si>
    <t>ubus-cli Ethernet.Link.{i}.LowerLayers="Device.Bridge.Bridge......"</t>
  </si>
  <si>
    <t>1. Run the following commands on the CPE console:
root@prplOS:/# ubus-cli Ethernet.Link.2.LowerLayers?
&gt; Ethernet.Link.2.LowerLayers?
Ethernet.Link.2.LowerLayers="Device.Ethernet.Interface.1"</t>
  </si>
  <si>
    <t>ubus-cli Ethernet.Link.{i}.MACAddress="xx:xx:xx:xx:xx:xx"</t>
  </si>
  <si>
    <t>mac-address-get
mac-address-set</t>
  </si>
  <si>
    <t>1. Run the following commands on the CPE console to get mac address:
root@prplOS:/# ubus-cli Ethernet.Link.2.Name?
&gt; Ethernet.Link.2.Name?
Ethernet.Link.2.Name="eth0"
root@prplOS:/# ubus-cli Ethernet.Link.2.MACAddress?
&gt; Ethernet.Link.2.MACAddress?
Ethernet.Link.2.MACAddress="64:75:DA:4E:51:70"
2. Run the following commands on the CPE console to set mac address:
root@prplOS:/# ubus-cli Ethernet.Link.2.MACAddress="64:75:da:4e:51:99"
&gt; Ethernet.Link.2.MACAddress=64:75:da:4e:51:99
Ethernet.Link.2.
Ethernet.Link.2.MACAddress="64:75:da:4e:51:99"
root@prplOS:/# eth0 EXT3:XFI:0x5 - Link Down
eth0 EXT3:XFI:0x5 - Link Up 2.5 Gbps Full duplex</t>
  </si>
  <si>
    <t>1.
root@prplOS:/# ip -o link show eth0 | awk '{print $17}'
64:75:da:4e:51:70
2.
root@prplOS:/# ip -o link show eth0 | awk '{print $17}'
64:75:da:4e:51:99
root@prplOS:/# ubus-cli Ethernet.Link.2.MACAddress?
&gt; Ethernet.Link.2.MACAddress?
Ethernet.Link.2.MACAddress="64:75:da:4e:51:99"</t>
  </si>
  <si>
    <t>PriorityTagging</t>
  </si>
  <si>
    <t>ubus-cli Ethernet.Link.{i}.PriorityTagging=[0|1]</t>
  </si>
  <si>
    <t>1. Run the following commands on the CPE console:
root@prplOS:/# ubus-cli Ethernet.Link.2.PriorityTagging?
&gt; Ethernet.Link.2.PriorityTagging?
Ethernet.Link.2.PriorityTagging=0</t>
  </si>
  <si>
    <t>FlowControl</t>
  </si>
  <si>
    <t>ubus-cli Ethernet.Link.{i}.FlowControl?</t>
  </si>
  <si>
    <t>1. Run the following commands on the CPE console:
root@prplOS:/# ubus-cli Ethernet.Link.2.FlowControl?
&gt; Ethernet.Link.2.FlowControl?
Ethernet.Link.2.FlowControl=0</t>
  </si>
  <si>
    <t>NoARP</t>
  </si>
  <si>
    <t>ubus-cli Ethernet.Link.{i}.NoARP=[0|1]</t>
  </si>
  <si>
    <t>link_disable_arp</t>
  </si>
  <si>
    <r>
      <rPr>
        <sz val="9"/>
        <color rgb="FF000000"/>
        <rFont val="Calibri"/>
      </rPr>
      <t xml:space="preserve">1. Run the following commands on the CPE console disable:
root@prplOS:/# ubus-cli Ethernet.Link.2.NoARP=0
&gt; Ethernet.Link.2.NoARP=0
Ethernet.Link.2.
Ethernet.Link.2.NoARP=0
</t>
    </r>
    <r>
      <rPr>
        <b/>
        <sz val="9"/>
        <color rgb="FFC65911"/>
        <rFont val="Calibri"/>
      </rPr>
      <t xml:space="preserve">
</t>
    </r>
    <r>
      <rPr>
        <sz val="9"/>
        <color rgb="FF000000"/>
        <rFont val="Calibri"/>
      </rPr>
      <t xml:space="preserve">2. Run the following commands on the CPE console enable:
root@prplOS:/# ubus-cli Ethernet.Link.2.NoARP=1
&gt; Ethernet.Link.2.NoARP=1
Ethernet.Link.2.
Ethernet.Link.2.NoARP=1 </t>
    </r>
  </si>
  <si>
    <t>1. 
root@prplOS:/# ifconfig eth0
eth0      Link encap:Ethernet  HWaddr 64:75:DA:4E:51:70
          inet addr:172.16.0.100  Bcast:0.0.0.0  Mask:255.255.255.0
          inet6 addr: fe80::6675:daff:fe4e:5170/64 Scope:Link
          UP BROADCAST RUNNING MULTICAST  MTU:1998  Metric:1
          RX packets:97769 errors:0 dropped:0 overruns:0 frame:0
          TX packets:6078 errors:0 dropped:0 overruns:0 carrier:0
          collisions:0 txqueuelen:1000
          RX bytes:7285983 (6.9 MiB)  TX bytes:452623 (442.0 KiB)
2.
root@prplOS:/# ifconfig eth0
eth0      Link encap:Ethernet  HWaddr 64:75:DA:4E:51:70
          inet addr:172.16.0.100  Bcast:0.0.0.0  Mask:255.255.255.0
          inet6 addr: fe80::6675:daff:fe4e:5170/64 Scope:Link
          UP BROADCAST RUNNING NOARP MULTICAST  MTU:1998  Metric:1
          RX packets:97715 errors:0 dropped:0 overruns:0 frame:0
          TX packets:6061 errors:0 dropped:0 overruns:0 carrier:0
          collisions:0 txqueuelen:1000
          RX bytes:7282527 (6.9 MiB)  TX bytes:446697 (436.2 KiB)</t>
  </si>
  <si>
    <t>Ethernet.Link.{i}.Stats.</t>
  </si>
  <si>
    <t>ubus-cli Ethernet.Link.{i}.Stats.BytesSent?</t>
  </si>
  <si>
    <r>
      <rPr>
        <sz val="9"/>
        <color rgb="FF000000"/>
        <rFont val="Calibri"/>
      </rPr>
      <t>1. Run the following commands on the CPE console:
oot@prplOS:/# ubus-cli Ethernet.Link.2.Stats.BytesSent?; ifconfig eth0;
&gt; Ethernet.Link.2.Stats.BytesSent?
Ethernet.Link.2.Stats.BytesSent=</t>
    </r>
    <r>
      <rPr>
        <b/>
        <sz val="9"/>
        <color rgb="FFC65911"/>
        <rFont val="Calibri"/>
      </rPr>
      <t>113474</t>
    </r>
  </si>
  <si>
    <r>
      <rPr>
        <sz val="9"/>
        <color rgb="FF000000"/>
        <rFont val="Calibri"/>
      </rPr>
      <t>eth0      Link encap:Ethernet  HWaddr 64:75:DA:4E:51:70
          inet addr:172.16.0.100  Bcast:0.0.0.0  Mask:255.255.255.0
          inet6 addr: fe80::6675:daff:fe4e:5170/64 Scope:Link
          UP BROADCAST RUNNING MULTICAST  MTU:1998  Metric:1
          RX packets:2143 errors:2 dropped:1 overruns:0 frame:1
          TX packets:1531 errors:0 dropped:0 overruns:0 carrier:0
          collisions:0 txqueuelen:1000
          RX bytes:252562 (246.6 KiB)  TX bytes:</t>
    </r>
    <r>
      <rPr>
        <b/>
        <sz val="9"/>
        <color rgb="FFC65911"/>
        <rFont val="Calibri"/>
      </rPr>
      <t xml:space="preserve">113474 </t>
    </r>
    <r>
      <rPr>
        <sz val="9"/>
        <color rgb="FF000000"/>
        <rFont val="Calibri"/>
      </rPr>
      <t>(110.8 KiB)</t>
    </r>
  </si>
  <si>
    <t>ubus-cli Ethernet.Link.{i}.Stats.BytesReceived?</t>
  </si>
  <si>
    <r>
      <rPr>
        <sz val="9"/>
        <color rgb="FF000000"/>
        <rFont val="Calibri"/>
      </rPr>
      <t>1. Run the following commands on the CPE console:
root@prplOS:/# ubus-cli Ethernet.Link.2.Stats.BytesReceived?; ifconfig eth0;
&gt; Ethernet.Link.2.Stats.BytesReceived?
Ethernet.Link.2.Stats.BytesReceived=</t>
    </r>
    <r>
      <rPr>
        <b/>
        <sz val="9"/>
        <color rgb="FFC65911"/>
        <rFont val="Calibri"/>
      </rPr>
      <t>252562</t>
    </r>
  </si>
  <si>
    <r>
      <rPr>
        <sz val="9"/>
        <color rgb="FF000000"/>
        <rFont val="Calibri"/>
      </rPr>
      <t>eth0      Link encap:Ethernet  HWaddr 64:75:DA:4E:51:70
          inet addr:172.16.0.100  Bcast:0.0.0.0  Mask:255.255.255.0
          inet6 addr: fe80::6675:daff:fe4e:5170/64 Scope:Link
          UP BROADCAST RUNNING MULTICAST  MTU:1998  Metric:1
          RX packets:2143 errors:2 dropped:1 overruns:0 frame:1
          TX packets:1531 errors:0 dropped:0 overruns:0 carrier:0
          collisions:0 txqueuelen:1000
          RX bytes:</t>
    </r>
    <r>
      <rPr>
        <b/>
        <sz val="9"/>
        <color rgb="FFC65911"/>
        <rFont val="Calibri"/>
      </rPr>
      <t xml:space="preserve">252562 </t>
    </r>
    <r>
      <rPr>
        <sz val="9"/>
        <color rgb="FF000000"/>
        <rFont val="Calibri"/>
      </rPr>
      <t>(246.6 KiB)  TX bytes:113474 (110.8 KiB)</t>
    </r>
  </si>
  <si>
    <t>ubus-cli Ethernet.Link.{i}.Stats.PacketsSent?</t>
  </si>
  <si>
    <r>
      <rPr>
        <sz val="9"/>
        <color rgb="FF000000"/>
        <rFont val="Calibri"/>
      </rPr>
      <t>1. Run the following commands on the CPE console:
root@prplOS:/# ubus-cli Ethernet.Link.2.Stats.PacketsSent?; ifconfig eth0;
&gt; Ethernet.Link.2.Stats.PacketsSent?
Ethernet.Link.2.Stats.PacketsSent=</t>
    </r>
    <r>
      <rPr>
        <b/>
        <sz val="9"/>
        <color rgb="FFC65911"/>
        <rFont val="Calibri"/>
      </rPr>
      <t>1531</t>
    </r>
  </si>
  <si>
    <r>
      <rPr>
        <sz val="9"/>
        <color rgb="FF000000"/>
        <rFont val="Calibri"/>
      </rPr>
      <t>eth0      Link encap:Ethernet  HWaddr 64:75:DA:4E:51:70
          inet addr:172.16.0.100  Bcast:0.0.0.0  Mask:255.255.255.0
          inet6 addr: fe80::6675:daff:fe4e:5170/64 Scope:Link
          UP BROADCAST RUNNING MULTICAST  MTU:1998  Metric:1
          RX packets:2143 errors:2 dropped:1 overruns:0 frame:1
          TX packets:</t>
    </r>
    <r>
      <rPr>
        <b/>
        <sz val="9"/>
        <color rgb="FFC65911"/>
        <rFont val="Calibri"/>
      </rPr>
      <t xml:space="preserve">1531 </t>
    </r>
    <r>
      <rPr>
        <sz val="9"/>
        <color rgb="FF000000"/>
        <rFont val="Calibri"/>
      </rPr>
      <t>errors:0 dropped:0 overruns:0 carrier:0
          collisions:0 txqueuelen:1000
          RX bytes:252562 (246.6 KiB)  TX bytes:113474 (110.8 KiB)</t>
    </r>
  </si>
  <si>
    <t>ubus-cli Ethernet.Link.{i}.Stats.PacketsReceived?</t>
  </si>
  <si>
    <r>
      <rPr>
        <sz val="9"/>
        <color rgb="FF000000"/>
        <rFont val="Calibri"/>
      </rPr>
      <t>1. Run the following commands on the CPE console:
root@prplOS:/# ubus-cli Ethernet.Link.2.Stats.PacketsReceived?; ifconfig eth0;
&gt; Ethernet.Link.2.Stats.PacketsReceived?
Ethernet.Link.2.Stats.PacketsReceived=</t>
    </r>
    <r>
      <rPr>
        <b/>
        <sz val="9"/>
        <color rgb="FFC65911"/>
        <rFont val="Calibri"/>
      </rPr>
      <t>2143</t>
    </r>
  </si>
  <si>
    <r>
      <rPr>
        <sz val="9"/>
        <color rgb="FF000000"/>
        <rFont val="Calibri"/>
      </rPr>
      <t>eth0      Link encap:Ethernet  HWaddr 64:75:DA:4E:51:70
          inet addr:172.16.0.100  Bcast:0.0.0.0  Mask:255.255.255.0
          inet6 addr: fe80::6675:daff:fe4e:5170/64 Scope:Link
          UP BROADCAST RUNNING MULTICAST  MTU:1998  Metric:1
          RX packets:</t>
    </r>
    <r>
      <rPr>
        <b/>
        <sz val="9"/>
        <color rgb="FFC65911"/>
        <rFont val="Calibri"/>
      </rPr>
      <t>2143</t>
    </r>
    <r>
      <rPr>
        <sz val="9"/>
        <color rgb="FFC65911"/>
        <rFont val="Calibri"/>
      </rPr>
      <t xml:space="preserve"> </t>
    </r>
    <r>
      <rPr>
        <sz val="9"/>
        <color rgb="FF000000"/>
        <rFont val="Calibri"/>
      </rPr>
      <t>errors:2 dropped:1 overruns:0 frame:1
          TX packets:1531 errors:0 dropped:0 overruns:0 carrier:0
          collisions:0 txqueuelen:1000
          RX bytes:252562 (246.6 KiB)  TX bytes:113474 (110.8 KiB)</t>
    </r>
  </si>
  <si>
    <t>ubus-cli Ethernet.Link.{i}.Stats.ErrorsSent?</t>
  </si>
  <si>
    <r>
      <rPr>
        <sz val="9"/>
        <color rgb="FF000000"/>
        <rFont val="Calibri"/>
      </rPr>
      <t>1. Run the following commands on the CPE console:
root@prplOS:/# ubus-cli Ethernet.Link.2.Stats.ErrorsSent?; ifconfig eth0;
&gt; Ethernet.Link.2.Stats.ErrorsSent?
Ethernet.Link.2.Stats.ErrorsSent=</t>
    </r>
    <r>
      <rPr>
        <b/>
        <sz val="9"/>
        <color rgb="FFC65911"/>
        <rFont val="Calibri"/>
      </rPr>
      <t>0</t>
    </r>
  </si>
  <si>
    <r>
      <rPr>
        <sz val="9"/>
        <color rgb="FF000000"/>
        <rFont val="Calibri"/>
      </rPr>
      <t>eth0      Link encap:Ethernet  HWaddr 64:75:DA:4E:51:70
          inet addr:172.16.0.100  Bcast:0.0.0.0  Mask:255.255.255.0
          inet6 addr: fe80::6675:daff:fe4e:5170/64 Scope:Link
          UP BROADCAST RUNNING MULTICAST  MTU:1998  Metric:1
          RX packets:2143 errors:2 dropped:1 overruns:0 frame:1
          TX packets:1531 errors:</t>
    </r>
    <r>
      <rPr>
        <b/>
        <sz val="9"/>
        <color rgb="FFC65911"/>
        <rFont val="Calibri"/>
      </rPr>
      <t>0</t>
    </r>
    <r>
      <rPr>
        <sz val="9"/>
        <color rgb="FF000000"/>
        <rFont val="Calibri"/>
      </rPr>
      <t xml:space="preserve"> dropped:0 overruns:0 carrier:0
          collisions:0 txqueuelen:1000
          RX bytes:252562 (246.6 KiB)  TX bytes:113474 (110.8 KiB)</t>
    </r>
  </si>
  <si>
    <t>ubus-cli Ethernet.Link.{i}.Stats.ErrorsReceived?</t>
  </si>
  <si>
    <r>
      <rPr>
        <sz val="9"/>
        <color rgb="FF000000"/>
        <rFont val="Calibri"/>
      </rPr>
      <t>1. Run the following commands on the CPE console:
root@prplOS:/# ubus-cli Ethernet.Link.2.Stats.ErrorsReceived?; ifconfig eth0;
&gt; Ethernet.Link.2.Stats.ErrorsReceived?
Ethernet.Link.2.Stats.ErrorsReceived=</t>
    </r>
    <r>
      <rPr>
        <b/>
        <sz val="9"/>
        <color rgb="FFC65911"/>
        <rFont val="Calibri"/>
      </rPr>
      <t>2</t>
    </r>
  </si>
  <si>
    <r>
      <rPr>
        <sz val="9"/>
        <color rgb="FF000000"/>
        <rFont val="Calibri"/>
      </rPr>
      <t>eth0      Link encap:Ethernet  HWaddr 64:75:DA:4E:51:70
          inet addr:172.16.0.100  Bcast:0.0.0.0  Mask:255.255.255.0
          inet6 addr: fe80::6675:daff:fe4e:5170/64 Scope:Link
          UP BROADCAST RUNNING MULTICAST  MTU:1998  Metric:1
          RX packets:2143 errors:</t>
    </r>
    <r>
      <rPr>
        <b/>
        <sz val="9"/>
        <color rgb="FFC65911"/>
        <rFont val="Calibri"/>
      </rPr>
      <t>2</t>
    </r>
    <r>
      <rPr>
        <sz val="9"/>
        <color rgb="FF000000"/>
        <rFont val="Calibri"/>
      </rPr>
      <t xml:space="preserve"> dropped:1 overruns:0 frame:1
          TX packets:1531 errors:0 dropped:0 overruns:0 carrier:0
          collisions:0 txqueuelen:1000
          RX bytes:252562 (246.6 KiB)  TX bytes:113474 (110.8 KiB)</t>
    </r>
  </si>
  <si>
    <t>ubus-cli Ethernet.Link.{i}.Stats.UnicastPacketsSent?</t>
  </si>
  <si>
    <t>1. Run the following commands on the CPE console:
root@prplOS:/# ubus-cli Ethernet.Link.2.Stats.UnicastPacketsSent?
&gt; Ethernet.Link.2.Stats.UnicastPacketsSent?
Ethernet.Link.2.Stats.UnicastPacketsSent=0</t>
  </si>
  <si>
    <t>ubus-cli Ethernet.Link.{i}.Stats.UnicastPacketsReceived?</t>
  </si>
  <si>
    <t>1. Run the following commands on the CPE console:
root@prplOS:/# ubus-cli Ethernet.Link.2.Stats.UnicastPacketsReceived?
&gt; Ethernet.Link.2.Stats.UnicastPacketsReceived?
Ethernet.Link.2.Stats.UnicastPacketsReceived=0</t>
  </si>
  <si>
    <t>ubus-cli Ethernet.Link.{i}.Stats.DiscardPacketsSent?</t>
  </si>
  <si>
    <t>1. Run the following commands on the CPE console:
root@prplOS:/# ubus-cli Ethernet.Link.2.Stats.DiscardPacketsSent?
&gt; Ethernet.Link.2.Stats.DiscardPacketsSent?
Ethernet.Link.2.Stats.DiscardPacketsSent=0</t>
  </si>
  <si>
    <t>ubus-cli Ethernet.Link.{i}.Stats.DiscardPacketsReceived?</t>
  </si>
  <si>
    <t>1. Run the following commands on the CPE console:
root@prplOS:/# ubus-cli Ethernet.Link.2.Stats.DiscardPacketsReceived?
&gt; Ethernet.Link.2.Stats.DiscardPacketsReceived?
Ethernet.Link.2.Stats.DiscardPacketsReceived=0</t>
  </si>
  <si>
    <t>ubus-cli Ethernet.Link.{i}.Stats.MulticastPacketsSent?</t>
  </si>
  <si>
    <t>1. Run the following commands on the CPE console:
root@prplOS:/# ubus-cli Ethernet.Link.2.Stats.MulticastPacketsSent?
&gt; Ethernet.Link.2.Stats.MulticastPacketsSent?
Ethernet.Link.2.Stats.MulticastPacketsSent=0</t>
  </si>
  <si>
    <t>ubus-cli Ethernet.Link.{i}.Stats.MulticastPacketsReceived?</t>
  </si>
  <si>
    <t>1. Run the following commands on the CPE console:
root@prplOS:/# ubus-cli Ethernet.Link.2.Stats.MulticastPacketsReceived?
&gt; Ethernet.Link.2.Stats.MulticastPacketsReceived?
Ethernet.Link.2.Stats.MulticastPacketsReceived=0</t>
  </si>
  <si>
    <t>ubus-cli Ethernet.Link.{i}.Stats.BroadcastPacketsSent?</t>
  </si>
  <si>
    <t>1. Run the following commands on the CPE console:
root@prplOS:/# ubus-cli Ethernet.Link.2.Stats.BroadcastPacketsSent?
&gt; Ethernet.Link.2.Stats.BroadcastPacketsSent?
Ethernet.Link.2.Stats.BroadcastPacketsSent=0</t>
  </si>
  <si>
    <t>ubus-cli Ethernet.Link.{i}.Stats.BroadcastPacketsReceived?</t>
  </si>
  <si>
    <t>1. Run the following commands on the CPE console:
root@prplOS:/# ubus-cli Ethernet.Link.2.Stats.BroadcastPacketsReceived?
&gt; Ethernet.Link.2.Stats.BroadcastPacketsReceived?
Ethernet.Link.2.Stats.BroadcastPacketsReceived=0</t>
  </si>
  <si>
    <t>ubus-cli Ethernet.Link.{i}.Stats.UnknownProtoPacketsReceived?</t>
  </si>
  <si>
    <t>1. Run the following commands on the CPE console:
root@prplOS:/# ubus-cli Ethernet.Link.2.Stats.UnknownProtoPacketsReceived?
&gt; Ethernet.Link.2.Stats.UnknownProtoPacketsReceived?
Ethernet.Link.2.Stats.UnknownProtoPacketsReceived=0</t>
  </si>
  <si>
    <t>Ethernet.VLANTermination.{i}.</t>
  </si>
  <si>
    <t>ubus-cli Ethernet.VLANTermination.{i}.Enable=[0|1]</t>
  </si>
  <si>
    <t>dummy_func</t>
  </si>
  <si>
    <t>ubus-cli Ethernet.VLANTermination.{i}.Status?</t>
  </si>
  <si>
    <t>ubus-cli Ethernet.VLANTermination.{i}.Alias="xxx....."</t>
  </si>
  <si>
    <t>ubus-cli Ethernet.VLANTermination.{i}.Name?</t>
  </si>
  <si>
    <t>ubus-cli Ethernet.VLANTermination.{i}.LastChange?</t>
  </si>
  <si>
    <t>ubus-cli Ethernet.VLANTermination.{i}.LowerLayers="xxxx...."</t>
  </si>
  <si>
    <t>VLANID</t>
  </si>
  <si>
    <t>ubus-cli Ethernet.VLANTermination.{i}.VLANID=[0~4096]</t>
  </si>
  <si>
    <t>TPID</t>
  </si>
  <si>
    <t>ubus-cli Ethernet.VLANTermination.{i}.TPID=""</t>
  </si>
  <si>
    <t>　</t>
  </si>
  <si>
    <t>ubus-cli Ethernet.VLANTermination.{i}.VLANPriority=[0~7]</t>
  </si>
  <si>
    <r>
      <t>root@prplOS:/# ubus-cli  Ethernet.VLANTermination.8.VLANPriority=</t>
    </r>
    <r>
      <rPr>
        <sz val="9"/>
        <color rgb="FFFF0000"/>
        <rFont val="Calibri"/>
      </rPr>
      <t xml:space="preserve">5
</t>
    </r>
    <r>
      <rPr>
        <sz val="9"/>
        <color rgb="FF000000"/>
        <rFont val="Calibri"/>
      </rPr>
      <t>&gt; Ethernet.VLANTermination.8.VLANPriority=5
Ethernet.VLANTermination.8.
Ethernet.VLANTermination.8.VLANPriority=5
root@prplOS:/# ip -d link show vlan1003
54: vlan1003@eth0: &lt;NO-CARRIER,BROADCAST,MULTICAST,UP&gt; mtu 1998 qdisc noqueue state LOWERLAYERDOWN mode DEFAULT group default qlen 1000
    link/ether 2c:59:17:00:05:80 brd ff:ff:ff:ff:ff:ff promiscuity 0 minmtu 0 maxmtu 65535
    vlan protocol 802.1Q id 1003 &lt;REORDER_HDR&gt;
      egress-qos-map { 0</t>
    </r>
    <r>
      <rPr>
        <sz val="9"/>
        <color rgb="FFFF0000"/>
        <rFont val="Calibri"/>
      </rPr>
      <t>:5</t>
    </r>
    <r>
      <rPr>
        <sz val="9"/>
        <color rgb="FF000000"/>
        <rFont val="Calibri"/>
      </rPr>
      <t xml:space="preserve"> 1:1 2:2 3:3 4:4 5:5 6:6 7:7 9:1 10:2 11:3 12:4 13:5 14:6 15:7 } addrgenmode eui64 numtxqueues 1 numrxqueues 1 gso_max_size 65536 gso_max_segs 65535 gro_max_size 65544</t>
    </r>
  </si>
  <si>
    <t>Ethernet.VLANTermination.{i}.Stats.</t>
  </si>
  <si>
    <t>ubus-cli Ethernet.VLANTermination.{i}.Stats.BytesSent?</t>
  </si>
  <si>
    <t>ubus-cli Ethernet.VLANTermination.{i}.Stats.BytesReceived?</t>
  </si>
  <si>
    <t>ubus-cli Ethernet.VLANTermination.{i}.Stats.PacketsSent?</t>
  </si>
  <si>
    <t>ubus-cli Ethernet.VLANTermination.{i}.Stats.PacketsReceived?</t>
  </si>
  <si>
    <t>ubus-cli Ethernet.VLANTermination.{i}.Stats.ErrorsSent?</t>
  </si>
  <si>
    <t>ubus-cli Ethernet.VLANTermination.{i}.Stats.ErrorsReceived?</t>
  </si>
  <si>
    <t>ubus-cli Ethernet.VLANTermination.{i}.Stats.UnicastPacketsSent?</t>
  </si>
  <si>
    <t>ubus-cli Ethernet.VLANTermination.{i}.Stats.UnicastPacketsReceived?</t>
  </si>
  <si>
    <t>ubus-cli Ethernet.VLANTermination.{i}.Stats.DiscardPacketsSent?</t>
  </si>
  <si>
    <t>ubus-cli Ethernet.VLANTermination.{i}.Stats.DiscardPacketsReceived?</t>
  </si>
  <si>
    <t>ubus-cli Ethernet.VLANTermination.{i}.Stats.MulticastPacketsSent?</t>
  </si>
  <si>
    <t>ubus-cli Ethernet.VLANTermination.{i}.Stats.MulticastPacketsReceived?</t>
  </si>
  <si>
    <t>ubus-cli Ethernet.VLANTermination.{i}.Stats.BroadcastPacketsSent?</t>
  </si>
  <si>
    <t>ubus-cli Ethernet.VLANTermination.{i}.Stats.BroadcastPacketsReceived?</t>
  </si>
  <si>
    <t>ubus-cli Ethernet.VLANTermination.{i}.Stats.UnknownProtoPacketsReceived?</t>
  </si>
  <si>
    <t>Ethernet.RMONStats.{i}.</t>
  </si>
  <si>
    <t>ubus-cli Ethernet.RMONStats.{i}.Enable=[0|1]</t>
  </si>
  <si>
    <t>get_stats_rmonstats</t>
  </si>
  <si>
    <t>1. Run the following commands on the CPE console:
root@prplOS:/# ubus-cli Ethernet.RMONStats.1.Enable=1
&gt; Ethernet.RMONStats.1.Enable=1
Ethernet.RMONStats.1.
Ethernet.RMONStats.1.Enable=1</t>
  </si>
  <si>
    <t>Skip the test for now.
Ethernet.RMONStats is support by prpl's mod_netdev_stats,
It get the parameter from Netdevice, which only support
Bytes/CRCErroredPackets/DropEvents/MulticastPackets/OversizePackets/Packets/UndersizePackets
As it is duplicated stats from Ethernet.Interface or Ethernet.Link,
does not sound reasonable to add  Ethernet.RMONStats instance.
If really want to add Ethernet.RMONStats instance,
can add the instances and enable it into
00_ethernet-manager_default_rmonstats.odl.</t>
  </si>
  <si>
    <t>ubus-cli Ethernet.RMONStats.{i}.Status?</t>
  </si>
  <si>
    <t>1. Run the following commands on the CPE console:
root@prplOS:/# ubus-cli Ethernet.RMONStats.1.Status?
&gt; Ethernet.RMONStats.1.Status?
Ethernet.RMONStats.1.Status="Enabled"</t>
  </si>
  <si>
    <t>ubus-cli Ethernet.RMONStats.{i}.Alias="xxx...."</t>
  </si>
  <si>
    <t>1. Run the following commands on the CPE console:
root@prplOS:/# ubus-cli Ethernet.RMONStats.1.Alias?
&gt; Ethernet.RMONStats.1.Alias?
Ethernet.RMONStats.1.Alias="ethernet_wan"</t>
  </si>
  <si>
    <t>ubus-cli Ethernet.RMONStats.{i}.Name?</t>
  </si>
  <si>
    <t>1. Run the following commands on the CPE console:
root@prplOS:/# ubus-cli Ethernet.RMONStats.1.Name?
&gt; Ethernet.RMONStats.1.Name?
Ethernet.RMONStats.1.Name="wan"</t>
  </si>
  <si>
    <t>ubus-cli Ethernet.RMONStats.{i}.Interface=""</t>
  </si>
  <si>
    <t>1. Run the following commands on the CPE console:
root@prplOS:/# ubus-cli Ethernet.RMONStats.1.Interface?
&gt; Ethernet.RMONStats.1.Interface?
Ethernet.RMONStats.1.Interface="Device.Ethernet.Link.1"</t>
  </si>
  <si>
    <t>ubus-cli Ethernet.RMONStats.{i}.VLANID=""</t>
  </si>
  <si>
    <t>1. Run the following commands on the CPE console:
root@prplOS:/# ubus-cli Ethernet.RMONStats.1.VLANID?
&gt; Ethernet.RMONStats.1.VLANID?
Ethernet.RMONStats.1.VLANID</t>
  </si>
  <si>
    <t>ubus-cli Ethernet.RMONStats.{i}.Queue=""</t>
  </si>
  <si>
    <t>1. Run the following commands on the CPE console:
root@prplOS:/# ubus-cli Ethernet.RMONStats.1.Queue?
&gt; Ethernet.RMONStats.1.Queue?
Ethernet.RMONStats.1.Queue=""</t>
  </si>
  <si>
    <t>AllQueues</t>
  </si>
  <si>
    <t>ubus-cli Ethernet.RMONStats.{i}.AllQueues=""</t>
  </si>
  <si>
    <t>1. Run the following commands on the CPE console:
root@prplOS:/# ubus-cli Ethernet.RMONStats.1.AllQueues?
&gt; Ethernet.RMONStats.1.AllQueues?
Ethernet.RMONStats.1.AllQueues=0</t>
  </si>
  <si>
    <t>DropEvents</t>
  </si>
  <si>
    <t>ubus-cli Ethernet.RMONStats.{i}.DropEvents?</t>
  </si>
  <si>
    <t>1. Run the following commands on the CPE console:
root@prplOS:/# ubus-cli Ethernet.RMONStats.1.DropEvents?
&gt; Ethernet.RMONStats.1.DropEvents?
Ethernet.RMONStats.1.DropEvents=0</t>
  </si>
  <si>
    <t>Bytes</t>
  </si>
  <si>
    <t>ubus-cli Ethernet.RMONStats.{i}.Bytes?</t>
  </si>
  <si>
    <t>1. Run the following commands on the CPE console:
root@prplOS:/# ubus-cli Ethernet.RMONStats.1.Bytes?
&gt; Ethernet.RMONStats.1.Bytes?
Ethernet.RMONStats.1.Bytes=12676973</t>
  </si>
  <si>
    <t>Packets</t>
  </si>
  <si>
    <t>ubus-cli Ethernet.RMONStats.{i}.Packets?</t>
  </si>
  <si>
    <t>root@prplOS:/# ubus-cli Ethernet.RMONStats.1.Packets?
&gt; Ethernet.RMONStats.1.Packets?
Ethernet.RMONStats.1.Packets=50531</t>
  </si>
  <si>
    <t>BroadcastPackets</t>
  </si>
  <si>
    <t>ubus-cli Ethernet.RMONStats.{i}.BroadcastPackets?</t>
  </si>
  <si>
    <t>1. Run the following commands on the CPE console:
root@prplOS:/# ubus-cli Ethernet.RMONStats.1.BroadcastPackets?
&gt; Ethernet.RMONStats.1.BroadcastPackets?
Ethernet.RMONStats.1.BroadcastPackets=0</t>
  </si>
  <si>
    <t>MulticastPackets</t>
  </si>
  <si>
    <t>ubus-cli Ethernet.RMONStats.{i}.MulticastPackets?</t>
  </si>
  <si>
    <t>1. Run the following commands on the CPE console:
root@prplOS:/# ubus-cli Ethernet.RMONStats.1.MulticastPackets?
&gt; Ethernet.RMONStats.1.MulticastPackets?
Ethernet.RMONStats.1.MulticastPackets=0</t>
  </si>
  <si>
    <t>CRCErroredPackets</t>
  </si>
  <si>
    <t>ubus-cli Ethernet.RMONStats.{i}.CRCErroredPackets?</t>
  </si>
  <si>
    <t>1. Run the following commands on the CPE console:
root@prplOS:/# ubus-cli Ethernet.RMONStats.1.CRCErroredPackets?
&gt; Ethernet.RMONStats.1.CRCErroredPackets?
Ethernet.RMONStats.1.CRCErroredPackets=0</t>
  </si>
  <si>
    <t>UndersizePackets</t>
  </si>
  <si>
    <t>ubus-cli Ethernet.RMONStats.{i}.UndersizePackets?</t>
  </si>
  <si>
    <t>1. Run the following commands on the CPE console:
root@prplOS:/# ubus-cli Ethernet.RMONStats.1.UndersizePackets?
&gt; Ethernet.RMONStats.1.UndersizePackets?
Ethernet.RMONStats.1.UndersizePackets=0</t>
  </si>
  <si>
    <t>OversizePackets</t>
  </si>
  <si>
    <t>ubus-cli Ethernet.RMONStats.{i}.OversizePackets?</t>
  </si>
  <si>
    <t>1. Run the following commands on the CPE console:
root@prplOS:/# ubus-cli Ethernet.RMONStats.1.OversizePackets?
&gt; Ethernet.RMONStats.1.OversizePackets?
Ethernet.RMONStats.1.OversizePackets=0</t>
  </si>
  <si>
    <t>Packets64Bytes</t>
  </si>
  <si>
    <t>ubus-cli Ethernet.RMONStats.{i}.Packets64Bytes?</t>
  </si>
  <si>
    <t>1. Run the following commands on the CPE console:
root@prplOS:/# ubus-cli Ethernet.RMONStats.1.Packets64Bytes?
&gt; Ethernet.RMONStats.1.Packets64Bytes?
Ethernet.RMONStats.1.Packets64Bytes=0</t>
  </si>
  <si>
    <t>Packets65to127Bytes</t>
  </si>
  <si>
    <t>ubus-cli Ethernet.RMONStats.{i}.Packets65to127Bytes?</t>
  </si>
  <si>
    <t>1. Run the following commands on the CPE console:
root@prplOS:/# ubus-cli Ethernet.RMONStats.1.Packets65to127Bytes?
&gt; Ethernet.RMONStats.1.Packets65to127Bytes?
Ethernet.RMONStats.1.Packets65to127Bytes=0</t>
  </si>
  <si>
    <t>Packets128to255Bytes</t>
  </si>
  <si>
    <t>ubus-cli Ethernet.RMONStats.{i}.Packets128to255Bytes?</t>
  </si>
  <si>
    <t>1. Run the following commands on the CPE console:
root@prplOS:/# ubus-cli Ethernet.RMONStats.1.Packets128to255Bytes?
&gt; Ethernet.RMONStats.1.Packets128to255Bytes?
Ethernet.RMONStats.1.Packets128to255Bytes=0</t>
  </si>
  <si>
    <t>Packets256to511Bytes</t>
  </si>
  <si>
    <t>ubus-cli Ethernet.RMONStats.{i}.Packets256to511Bytes?</t>
  </si>
  <si>
    <t>1. Run the following commands on the CPE console:
root@prplOS:/# ubus-cli Ethernet.RMONStats.1.Packets256to511Bytes?
&gt; Ethernet.RMONStats.1.Packets256to511Bytes?
Ethernet.RMONStats.1.Packets256to511Bytes=0</t>
  </si>
  <si>
    <t>Packets512to1023Bytes</t>
  </si>
  <si>
    <t>ubus-cli Ethernet.RMONStats.{i}.Packets512to1023Bytes?</t>
  </si>
  <si>
    <t>1. Run the following commands on the CPE console:
root@prplOS:/# ubus-cli Ethernet.RMONStats.1.Packets512to1023Bytes?
&gt; Ethernet.RMONStats.1.Packets512to1023Bytes?
Ethernet.RMONStats.1.Packets512to1023Bytes=0</t>
  </si>
  <si>
    <t>Packets1024to1518Bytes</t>
  </si>
  <si>
    <t>ubus-cli Ethernet.RMONStats.{i}.Packets1024to1518Bytes?</t>
  </si>
  <si>
    <t>1. Run the following commands on the CPE console:
root@prplOS:/# ubus-cli Ethernet.RMONStats.1.Packets1024to1518Bytes?
&gt; Ethernet.RMONStats.1.Packets1024to1518Bytes?
Ethernet.RMONStats.1.Packets1024to1518Bytes=0</t>
  </si>
  <si>
    <t>Parameter Name</t>
    <phoneticPr fontId="1" type="noConversion"/>
  </si>
  <si>
    <t>HLAPI</t>
    <phoneticPr fontId="1" type="noConversion"/>
  </si>
  <si>
    <t>LLAPI</t>
    <phoneticPr fontId="1" type="noConversion"/>
  </si>
  <si>
    <t>LEDs.</t>
  </si>
  <si>
    <t xml:space="preserve">BrightnessLimiter   </t>
  </si>
  <si>
    <t xml:space="preserve">ubus-cli LEDs.BrightnessLimiter   </t>
  </si>
  <si>
    <t>Ignored</t>
  </si>
  <si>
    <t>LEDNumberOfEntries</t>
  </si>
  <si>
    <t>ubus-cli LEDs.LEDNumberOfEntries</t>
  </si>
  <si>
    <t>LEDs.LED.{i}.</t>
  </si>
  <si>
    <t xml:space="preserve">ubus-cli LEDs.LED.{i}.Alias                       </t>
  </si>
  <si>
    <t xml:space="preserve">ubus-cli LEDs.LED.{i}.Enable                      </t>
  </si>
  <si>
    <t>/sys/class/leds/&lt;led_name&gt;/brightness</t>
  </si>
  <si>
    <t>1. Run the following commands on the CPE console to light up the LED:
root@prplOS:/# ubus-cli LEDs.LED.1.Enable=1
&gt; LEDs.LED.1.Enable=1
LEDs.LED.1.
LEDs.LED.1.Enable=1
root@prplOS:/# ubus-cli LEDs.LED.2.Enable=1
&gt; LEDs.LED.2.Enable=1
LEDs.LED.2.
LEDs.LED.2.Enable=1
root@prplOS:/# ubus-cli LEDs.LED.3.Enable=1
&gt; LEDs.LED.3.Enable=1
LEDs.LED.3.
LEDs.LED.3.Enable=1
root@prplOS:/# ubus-cli LEDs.LED.4.Enable=1
&gt; LEDs.LED.4.Enable=1
LEDs.LED.4.
LEDs.LED.4.Enable=1
root@prplOS:/# ubus-cli LEDs.LED.5.Enable=1
&gt; LEDs.LED.5.Enable=1
LEDs.LED.5.
LEDs.LED.5.Enable=1
2. Run the following commands on the CPE console to light down the LED:
root@prplOS:/sys/class/leds# ubus-cli LEDs.LED.1.Enable=0
&gt; LEDs.LED.1.Enable=0
LEDs.LED.1.
LEDs.LED.1.Enable=0
root@prplOS:~# ubus-cli LEDs.LED.2.Enable=0
&gt; LEDs.LED.2.Enable=0
LEDs.LED.2.
LEDs.LED.2.Enable=0
root@prplOS:~# ubus-cli LEDs.LED.3.Enable=0
&gt; LEDs.LED.3.Enable=0
LEDs.LED.3.
LEDs.LED.3.Enable=0
root@prplOS:~# ubus-cli LEDs.LED.4.Enable=0
&gt; LEDs.LED.4.Enable=0
LEDs.LED.4.
LEDs.LED.4.Enable=0
root@prplOS:~# ubus-cli LEDs.LED.5.Enable=0
&gt; LEDs.LED.5.Enable=0
LEDs.LED.5.
LEDs.LED.5.Enable=0</t>
  </si>
  <si>
    <t>1.
root@prplOS:/# cat /sys/class/leds/PON/brightness
255
root@prplOS:/# cat /sys/class/leds/Service_B/brightness
255
root@prplOS:/# cat /sys/class/leds/Service_G/brightness
255
root@prplOS:/# cat /sys/class/leds/Service_R/brightness
255
root@prplOS:/# cat /sys/class/leds/Service_W/brightness
255
2.
root@prplOS:/sys/class/leds# cat /sys/class/leds/PON/brightness
0
root@prplOS:~# cat /sys/class/leds/Service_B/brightness
0
root@prplOS:~# cat /sys/class/leds/Service_G/brightness
0
root@prplOS:~# cat /sys/class/leds/Service_R/brightness
0
root@prplOS:~# cat /sys/class/leds/Service_W/brightness
0</t>
  </si>
  <si>
    <t xml:space="preserve">ubus-cli LEDs.LED.{i}.Name                        </t>
  </si>
  <si>
    <t xml:space="preserve">ubus-cli LEDs.LED.{i}.Status                      </t>
  </si>
  <si>
    <t>Reason</t>
  </si>
  <si>
    <t xml:space="preserve">ubus-cli LEDs.LED.{i}.Reason                      </t>
  </si>
  <si>
    <t>CyclePeriodRepetitions</t>
  </si>
  <si>
    <t xml:space="preserve">ubus-cli LEDs.LED.{i}.CyclePeriodRepetitions      </t>
  </si>
  <si>
    <t>Location</t>
  </si>
  <si>
    <t xml:space="preserve">ubus-cli LEDs.LED.{i}.Location                    </t>
  </si>
  <si>
    <t>RelativeXPosition</t>
  </si>
  <si>
    <t xml:space="preserve">ubus-cli LEDs.LED.{i}.RelativeXPosition           </t>
  </si>
  <si>
    <t>RelativeYPosition</t>
  </si>
  <si>
    <t xml:space="preserve">ubus-cli LEDs.LED.{i}.RelativeYPosition           </t>
  </si>
  <si>
    <t>MaxBrightness</t>
  </si>
  <si>
    <t xml:space="preserve">ubus-cli LEDs.LED.{i}.MaxBrightness               </t>
  </si>
  <si>
    <t>/sys/class/leds/&lt;led_name&gt;/max_brightness</t>
  </si>
  <si>
    <t>1. Run the following commands on the CPE console :
root@prplOS:/# ubus-cli LEDs.LED.*.MaxBrightness?
&gt; LEDs.LED.*.MaxBrightness?
LEDs.LED.1.MaxBrightness=255
LEDs.LED.2.MaxBrightness=255
LEDs.LED.3.MaxBrightness=255
LEDs.LED.4.MaxBrightness=255
LEDs.LED.5.MaxBrightness=255
LEDs.LED.6.MaxBrightness=255
LEDs.LED.7.MaxBrightness=255
LEDs.LED.8.MaxBrightness=255
LEDs.LED.9.MaxBrightness=255</t>
  </si>
  <si>
    <t>root@prplOS:/# cat /sys/class/leds/PON/max_brightness
255
root@prplOS:/# cat /sys/class/leds/Service_B/max_brightness
255
root@prplOS:/# cat /sys/class/leds/Service_G/max_brightness
255
root@prplOS:/# cat /sys/class/leds/Service_W/max_brightness
255
root@prplOS:/# cat /sys/class/leds/Service_R/max_brightness
255
root@prplOS:/# cat /sys/class/leds/serial-port_xphy1-led_0/max_brightness
255
root@prplOS:/# cat /sys/class/leds/serial-port_xphy2-led_0/max_brightness
255
root@prplOS:/# cat /sys/class/leds/serial-port_xphy3-led_0/max_brightness
255
root@prplOS:/# cat /sys/class/leds/serial-port_xphy4-led_0/max_brightness
255</t>
  </si>
  <si>
    <t>CycleElementNumberOfEntries</t>
  </si>
  <si>
    <t xml:space="preserve">ubus-cli LEDs.LED.{i}.CycleElementNumberOfEntries </t>
  </si>
  <si>
    <t>LEDs.LED.{i}.CycleElement.{i}.</t>
  </si>
  <si>
    <t xml:space="preserve">ubus-cli LEDs.LED.{i}.CycleElement.{i}.Alias       </t>
  </si>
  <si>
    <t xml:space="preserve">ubus-cli LEDs.LED.{i}.CycleElement.{i}.Enable      </t>
  </si>
  <si>
    <t>1. Run the following commands on the CPE console :
root@prplOS:/sys/class/leds/PON# ubus-cli LEDs.LED.1.CycleElement.1.Enable=1
&gt; LEDs.LED.1.CycleElement.1.Enable=1
LEDs.LED.1.CycleElement.1.
LEDs.LED.1.CycleElement.1.Enable=1
root@prplOS:/sys/class/leds# ubus-cli LEDs.LED.2.CycleElement.1.Enable=1
&gt; LEDs.LED.2.CycleElement.1.Enable=1
LEDs.LED.2.CycleElement.1.
LEDs.LED.2.CycleElement.1.Enable=1
root@prplOS:/sys/class/leds# ubus-cli LEDs.LED.3.CycleElement.1.Enable=1
&gt; LEDs.LED.3.CycleElement.1.Enable=1
LEDs.LED.3.CycleElement.1.
LEDs.LED.3.CycleElement.1.Enable=1
root@prplOS:/sys/class/leds# ubus-cli LEDs.LED.4.CycleElement.1.Enable=1
&gt; LEDs.LED.4.CycleElement.1.Enable=1
LEDs.LED.4.CycleElement.1.
LEDs.LED.4.CycleElement.1.Enable=1
root@prplOS:/sys/class/leds# ubus-cli LEDs.LED.5.CycleElement.1.Enable=1
&gt; LEDs.LED.5.CycleElement.1.Enable=1
LEDs.LED.5.CycleElement.1.
LEDs.LED.5.CycleElement.1.Enable=1</t>
  </si>
  <si>
    <t>root@prplOS:/# cat /sys/class/leds/PON/brightness
255
root@prplOS:/# cat /sys/class/leds/Service_B/brightness
255
root@prplOS:/# cat /sys/class/leds/Service_G/brightness
255
root@prplOS:/# cat /sys/class/leds/Service_R/brightness
255
root@prplOS:/# cat /sys/class/leds/Service_W/brightness
255</t>
  </si>
  <si>
    <t>Order</t>
  </si>
  <si>
    <t xml:space="preserve">ubus-cli LEDs.LED.{i}.CycleElement.{i}.Order       </t>
  </si>
  <si>
    <t>Color</t>
  </si>
  <si>
    <t xml:space="preserve">ubus-cli LEDs.LED.{i}.CycleElement.{i}.Color       </t>
  </si>
  <si>
    <t>HLAPI has binding error to the LED.
/sys/class/leds/&lt;led_name&gt;/brightness</t>
  </si>
  <si>
    <t>ARC: HLAPI didn't bind to the correct LEDs.</t>
  </si>
  <si>
    <t>Duration</t>
  </si>
  <si>
    <t xml:space="preserve">ubus-cli LEDs.LED.{i}.CycleElement.{i}.Duration    </t>
  </si>
  <si>
    <t>FadeInterval</t>
  </si>
  <si>
    <t>ubus-cli LEDs.LED.{i}.CycleElement.{i}.FadeInterval</t>
  </si>
  <si>
    <t>Led trigger not support fade mode.</t>
  </si>
  <si>
    <t>Brightness</t>
  </si>
  <si>
    <t xml:space="preserve">ubus-cli LEDs.LED.{i}.CycleElement.{i}.Brightness  </t>
  </si>
  <si>
    <t>1. Run the following commands on the CPE console :
root@prplOS:/sys/class/leds# ubus-cli LEDs.LED.1.CycleElement.1.Brightness=50
&gt; LEDs.LED.1.CycleElement.1.Brightness=50
LEDs.LED.1.CycleElement.1.
LEDs.LED.1.CycleElement.1.Brightness=50
root@prplOS:/sys/class/leds# ubus-cli LEDs.LED.2.CycleElement.1.Brightness=50
&gt; LEDs.LED.2.CycleElement.1.Brightness=50
LEDs.LED.2.CycleElement.1.
LEDs.LED.2.CycleElement.1.Brightness=50
root@prplOS:/sys/class/leds# ubus-cli LEDs.LED.3.CycleElement.1.Brightness=25
&gt; LEDs.LED.3.CycleElement.1.Brightness=25
LEDs.LED.3.CycleElement.1.
LEDs.LED.3.CycleElement.1.Brightness=25
root@prplOS:/sys/class/leds# ubus-cli LEDs.LED.4.CycleElement.1.Brightness=25
&gt; LEDs.LED.4.CycleElement.1.Brightness=25
LEDs.LED.4.CycleElement.1.
LEDs.LED.4.CycleElement.1.Brightness=25
root@prplOS:/sys/class/leds# ubus-cli LEDs.LED.5.CycleElement.1.Brightness=75
&gt; LEDs.LED.5.CycleElement.1.Brightness=75
LEDs.LED.5.CycleElement.1.
LEDs.LED.5.CycleElement.1.Brightness=75</t>
  </si>
  <si>
    <t>root@prplOS:~# cat /sys/class/leds/PON/brightness
125
root@prplOS:~# cat /sys/class/leds/Service_B/brightness
125
root@prplOS:~# cat /sys/class/leds/Service_G/brightness
61
root@prplOS:~# cat /sys/class/leds/Service_R/brightness
61
root@prplOS:~# cat /sys/class/leds/Service_W/brightness
189</t>
  </si>
  <si>
    <t>LEDs.LED.{i}.CurrentCycleElement.</t>
  </si>
  <si>
    <t>CycleElementReference</t>
  </si>
  <si>
    <t>ubus-cli LEDs.LED.{i}.CurrentCycleElement.CycleElementReference</t>
  </si>
  <si>
    <t>Event ID</t>
  </si>
  <si>
    <t>Priority</t>
  </si>
  <si>
    <t>Event Type</t>
  </si>
  <si>
    <t>wpa_ctrl standard event</t>
  </si>
  <si>
    <t>nl80211 event</t>
  </si>
  <si>
    <t>Test Result</t>
  </si>
  <si>
    <t>Event log</t>
  </si>
  <si>
    <t>802.11r</t>
  </si>
  <si>
    <t>BEACON-REQ-TX-STATUS
BEACON-RESP-RX</t>
  </si>
  <si>
    <t>General Management Frame</t>
  </si>
  <si>
    <t>NL80211_CMD_FRAME</t>
  </si>
  <si>
    <t>Required for all type of management frames including Assoc &amp; Probe Requests. The full Frame content will be parsed.</t>
  </si>
  <si>
    <t>AP-MGMT-FRAME-RECEIVED</t>
  </si>
  <si>
    <t>NL80211_CMD_FRAME_TX_STATUS</t>
  </si>
  <si>
    <t xml:space="preserve">802.11v </t>
  </si>
  <si>
    <t>BSS-TM-QUERY</t>
  </si>
  <si>
    <t>BSS-TM-RESP</t>
  </si>
  <si>
    <t>Access Point</t>
  </si>
  <si>
    <t>AP-DISABLED</t>
  </si>
  <si>
    <t xml:space="preserve">
1. Disbable Access Point and verify the event messages
ubus-cli WiFi.AccessPoint.1.Enable=0
2. Check Access Point Status
root@prplOS:/# ubus-cli WiFi.AccessPoint.*.Status?
&gt; WiFi.AccessPoint.*.Status?
WiFi.AccessPoint.1.Status="Disabled"
WiFi.AccessPoint.3.Status="Disabled"
WiFi.AccessPoint.5.Status="Disabled"
</t>
  </si>
  <si>
    <t>5G:
tc_netdev_event:98 dev wl0 event 10
br-lan: port 5(wl0) entered disabled state
6G:
tc_netdev_event:98 dev wl1 event 10
br-lan: port 7(wl1) entered disabled state
2.4G
tc_netdev_event:98 dev wl2 event 10
br-lan: port 9(wl2) entered disabled state</t>
  </si>
  <si>
    <t>AP-ENABLED</t>
  </si>
  <si>
    <t>1. Enable Access Point and verify the event messages
root@prplOS:/# ubus-cli WiFi.AccessPoint.{i}.Enable=1
2. Check Access Point Status
root@prplOS:/#  ubus-cli WiFi.AccessPoint.*.Status?
&gt; WiFi.AccessPoint.*.Status?
WiFi.AccessPoint.1.Status="Enabled"
WiFi.AccessPoint.3.Status="Enabled"
WiFi.AccessPoint.5.Status="Enabled"</t>
  </si>
  <si>
    <t xml:space="preserve">
5G:
br-lan: port 5(wl0) entered blocking state
br-lan: port 5(wl0) entered forwarding state
CONSOLE[wl0]: 001220.992 wl0: link up (wl0.1)
CONSOLE[wl0]: 001221.000 wl0: link up (wl0)
6G
br-lan: port 7(wl1) entered blocking state
br-lan: port 7(wl1) entered forwarding state
CONSOLE[wl1]: 001293.796 wl1: link up (wl1.1)
CONSOLE[wl1]: 001293.804 wl1: link up (wl1)
2.4G
br-lan: port 9(wl2) entered blocking state
br-lan: port 9(wl2) entered forwarding state
CONSOLE[wl2]: 001426.285 wl2: link up (wl2.1)
CONSOLE[wl2]: 001426.293 wl2: link up (wl2)</t>
  </si>
  <si>
    <t>Beacon</t>
  </si>
  <si>
    <t>BEACON-REQ-TX-STATUS</t>
  </si>
  <si>
    <t>Endpoint assoc failure</t>
  </si>
  <si>
    <t>CTRL-EVENT-AUTH-REJECT</t>
  </si>
  <si>
    <t>NA</t>
  </si>
  <si>
    <t>Endpoint Assoc success</t>
  </si>
  <si>
    <t>NL80211_CMD_JOIN_IBSS</t>
  </si>
  <si>
    <t>Endpoint association detailed steps
- Association
- Authorised (after EAPOL)</t>
  </si>
  <si>
    <t>No standard event available.</t>
  </si>
  <si>
    <t>Endpoint deauth</t>
  </si>
  <si>
    <t>NL80211_CMD_DEAUTHENTICATE</t>
  </si>
  <si>
    <t>Endpoint disassoc</t>
  </si>
  <si>
    <t>NL80211_CMD_DISASSOCIATE</t>
  </si>
  <si>
    <t>Linux status interface status</t>
  </si>
  <si>
    <t xml:space="preserve">1. Disable Primary SSID and check Event log
 ubus-cli WiFi.SSID.{i}.Enable=0
2. Check Status
root@prplOS:/# ubus-cli WiFi.SSID.*.Status?
&gt; WiFi.SSID.*.Status?
WiFi.SSID.4.Status="Down"
WiFi.SSID.6.Status="Down"
WiFi.SSID.8.Status="Down"
1. Disable Primary SSID and check Event log
 ubus-cli WiFi.SSID.{i}.Enable=1
2. Check Status
root@prplOS:/# ubus-cli WiFi.SSID.*.Status?
&gt; WiFi.SSID.*.Status?
WiFi.SSID.4.Status="Up"
WiFi.SSID.6.Status="Up"
WiFi.SSID.8.Status="Up"
</t>
  </si>
  <si>
    <t>Interface Disable Event log
5G:
br-lan: port 5(wl0) entered disabled state
6G:
br-lan: port 7(wl1) entered disabled state
2.4G
br-lan: port 9(wl2) entered disabled state
Interface Enable Evant log
5G:
br-lan: port 5(wl0) entered blocking state
br-lan: port 5(wl0) entered forwarding state
CONSOLE[wl0]: 001220.992 wl0: link up (wl0.1)
CONSOLE[wl0]: 001221.000 wl0: link up (wl0)
6G
br-lan: port 7(wl1) entered blocking state
br-lan: port 7(wl1) entered forwarding state
CONSOLE[wl1]: 001293.796 wl1: link up (wl1.1)
CONSOLE[wl1]: 001293.804 wl1: link up (wl1)
2.4G
br-lan: port 9(wl2) entered blocking state
br-lan: port 9(wl2) entered forwarding state
CONSOLE[wl2]: 001426.285 wl2: link up (wl2.1)
CONSOLE[wl2]: 001426.293 wl2: link up (wl2)</t>
  </si>
  <si>
    <t>ProbeReq</t>
  </si>
  <si>
    <t>RX-PROBE-REQUEST</t>
  </si>
  <si>
    <t>NL80211_CMD_PROBE_CLIENT</t>
  </si>
  <si>
    <t>Radar Management</t>
  </si>
  <si>
    <t>DFS-CAC-START
DFS-CAC-COMPLETED
DFS-RADAR-DETECTED
DFS-NOP-FINISHED
DFS-NEW-CHANNEL</t>
  </si>
  <si>
    <t>NL80211_CMD_RADAR_DETECT
and event type
NL80211_RADAR_DETECTED,
NL80211_RADAR_CAC_FINISHED,
NL80211_RADAR_CAC_ABORTED,
NL80211_RADAR_NOP_FINISHED,
NL80211_RADAR_PRE_CAC_EXPIRED,
NL80211_RADAR_CAC_STARTED,</t>
  </si>
  <si>
    <t>1. Check Operational Channel
root@prplOS:/# ubus-cli WiFi.Radio.1.Channel?
&gt; WiFi.Radio.1.Channel?
WiFi.Radio.1.Channel=36
2 Set Channel to 100
root@prplOS:/# ubus-cli WiFi.Radio.1.Channel=100
3. Check channel operational Channel
root@prplOS:/# ubus-cli WiFi.Radio.1.Channel?
&gt; WiFi.Radio.1.Channel?
WiFi.Radio.1.Channel=100
4. Simulate Radar
wl -i wl0 radar 2
5. Check Channel 
root@prplOS:/# ubus-cli WiFi.Radio.1.Channel?
&gt; WiFi.Radio.1.Channel?
WiFi.Radio.1.Channel=40</t>
  </si>
  <si>
    <t> No DFS event log is printed on the GW console after Execute the command to simulate Radar and channel switch</t>
  </si>
  <si>
    <t>Radio CSA</t>
  </si>
  <si>
    <t>CTRL-EVENT-CHANNEL-SWITCH
AP-CSA-FINISHED</t>
  </si>
  <si>
    <t>NL80211_CMD_CHANNEL_SWITCH</t>
  </si>
  <si>
    <t>SCAN</t>
  </si>
  <si>
    <t>CTRL-EVENT-SCAN-RESULTS
CTRL-EVENT-SCAN-FAILED</t>
  </si>
  <si>
    <t>NL80211_CMD_TRIGGER_SCAN
NL80211_CMD_NEW_SCAN_RESULTS
NL80211_CMD_SCAN_ABORTED</t>
  </si>
  <si>
    <t>STA assoc</t>
  </si>
  <si>
    <t>NL80211_CMD_ASSOCIATE</t>
  </si>
  <si>
    <t>1. Associate Station and check Event log</t>
  </si>
  <si>
    <t xml:space="preserve">
Station Association Event log:
5G:
CONSOLE[wl0]: 009794.536 wl0: STA 4a:0a:a5:80:23:7b has associated tx_type 33 
6G:
CONSOLE[wl1]: 010209.899 wl1: STA 38:06:e6:92:b0:4a has associated tx_type 33
2.4G:
CONSOLE[wl2]: 010113.733 wl2: STA e6:52:af:e9:4e:08 has associated tx_type 33</t>
  </si>
  <si>
    <t>AP-STA-CONNECTED</t>
  </si>
  <si>
    <t>NL80211_CMD_NEW_STATION</t>
  </si>
  <si>
    <t>STA Auth</t>
  </si>
  <si>
    <t>NL80211_CMD_AUTHENTICATE</t>
  </si>
  <si>
    <t>STA deauth</t>
  </si>
  <si>
    <t>1. Use kick command to Deauthenticate Station
 ubus-cli WiFi.AccessPoint.*.kickStationReason"(macaddress=&lt;MAC&gt;,reason=1)"
5G: ubus-cli WiFi.AccessPoint.1.kickStationReason"(macaddress=4a:0a:a5:80:23:7b,reason=1)"
6G: ubus-cli WiFi.AccessPoint.3.kickStationReason"(macaddress=38:06:e6:92:b0:4a,reason=1)"
2.4G: ubus-cli WiFi.AccessPoint.5.kickStationReason"(macaddress=e6:52:af:e9:4e:08,reason=1)"</t>
  </si>
  <si>
    <t xml:space="preserve">
Station Deauthenticated Event log:
5G: 
CFG80211-ERROR) wl_cfg80211_change_station : WLC_SCB_DEAUTHORIZE error (-30)
6G:
CFG80211-ERROR) wl_cfg80211_change_station : WLC_SCB_DEAUTHORIZE error (-30)
2.4G:
CFG80211-ERROR) wl_cfg80211_change_station : WLC_SCB_DEAUTHORIZE error (-30
</t>
  </si>
  <si>
    <t>STA Discconnect</t>
  </si>
  <si>
    <t>AP-STA-DISCONNECTED</t>
  </si>
  <si>
    <t>NL80211_CMD_DEL_STATION</t>
  </si>
  <si>
    <t>1. Disconnect the Associated Station and check Event log</t>
  </si>
  <si>
    <t xml:space="preserve">
Station Disconnect Event log:
5G: 
CONSOLE[wl0]: 010412.099 wl0: STA 4a:0a:a5:80:23:7b has disassociated tx_type 33
6G: 
CONSOLE[wl1]: 010460.129 wl1: STA 38:06:e6:92:b0:4a has disassociated tx_type 33
2.4G:
CONSOLE[wl2]: 010267.959 wl2: STA e6:52:af:e9:4e:08 has disassociated tx_type 33
</t>
  </si>
  <si>
    <t>WLC_E_LINK</t>
  </si>
  <si>
    <t>CTRL-EVENT-CONNECTED
CTRL-EVENT-DISCONNECTED</t>
  </si>
  <si>
    <t>NL80211_CMD_CONNECT
NL80211_CMD_DISCONNECT</t>
  </si>
  <si>
    <t>WPS-CRED-RECEIVED</t>
  </si>
  <si>
    <t>WPS-TIMEOUT</t>
  </si>
  <si>
    <t>WPS-OVERLAP-DETECTED</t>
  </si>
  <si>
    <t>1. Prepare another GW.
2. Start WPS first in aother GW.
3. Start WPS in test GW
4. Start WPS in Station</t>
  </si>
  <si>
    <t> -No WPS overlapping  printed on the GW console</t>
  </si>
  <si>
    <t>WPS-FAIL</t>
  </si>
  <si>
    <t xml:space="preserve">1. Start WPS in the GW.
ubus-cli -a "WiFi.AccessPoint.{i}.WPS.InitiateWPSPBC()"
3. Start WPS in Station
4. Then Disable WPS in the GW
ubus-cli WiFi.AccessPoint.{i}.WPS.Enable=0
</t>
  </si>
  <si>
    <t> -No WPS Pairing Failed printed on the GW console</t>
  </si>
  <si>
    <t>WPS-REG-SUCCESS</t>
  </si>
  <si>
    <t>1. Start WPS in the GW.
ubus-cli -a "WiFi.AccessPoint.{i}.WPS.InitiateWPSPBC()"
3. Start WPS in Station
4. Wait for WPS pairing Success</t>
  </si>
  <si>
    <t>No WPS event log is printed on the GW console after the station successfully pairs with the GW.</t>
  </si>
  <si>
    <t>WPS-ENROLLEE-SEEN</t>
  </si>
  <si>
    <t>"1. Start WPS in the GW.
ubus-cli -a ""WiFi.AccessPoint.{i}.WPS.InitiateWPSPBC()""
3. Start WPS in Station
4. Check for event log like "WPS-ENROLLEE-SEEN: STA=&lt;MAC&gt; method=PBC"</t>
  </si>
  <si>
    <t>  -No WPS WPS-ENROLLEE-SEEN printed on the GW console</t>
  </si>
  <si>
    <t>STA assoc failure</t>
  </si>
  <si>
    <t>AP-STA-POSSIBLE-PSK-MISMATCH</t>
  </si>
  <si>
    <t xml:space="preserve">
Station Deauthenticated Event log:
5G: 
 CFG80211-ERROR) wl_cfg80211_external_auth : External auth failed with status = (15)
6G:
CONSOLE[wl1]: 000692.181 wl1: STA 38:06:e6:92:b0:4a has disassociated tx_type 33
2.4G:
 CFG80211-ERROR) wl_cfg80211_external_auth : External auth failed with status = (15)
</t>
  </si>
  <si>
    <t>INTERFACE-ENABLED</t>
  </si>
  <si>
    <t>INTERFACE-DISABLED</t>
  </si>
  <si>
    <t>NL80211_CMD_NEW_SURVEY_RESULTS</t>
  </si>
  <si>
    <t>NL80211_CMD_NEW_SCAN_RESULTS</t>
  </si>
  <si>
    <t>Ref:
https://w1.fi/cgit/hostap/plain/src/common/wpa_ctrl.h
https://raw.githubusercontent.com/torvalds/linux/master/include/uapi/linux/nl80211.h</t>
  </si>
  <si>
    <t>comment</t>
    <phoneticPr fontId="1" type="noConversion"/>
  </si>
  <si>
    <t>Internal comment</t>
  </si>
  <si>
    <t>Buttons.Button.{i}.</t>
  </si>
  <si>
    <t>Push()</t>
  </si>
  <si>
    <t>ubus-cli "Buttons.Button.1.Push()"</t>
  </si>
  <si>
    <t>evtest /dev/input/eventX</t>
  </si>
  <si>
    <t>Not Spported</t>
  </si>
  <si>
    <t>1. Run the following commands on the CPE console to factory reset:
ubus-cli "Buttons.Button.1.Push()"</t>
  </si>
  <si>
    <t>root@prplOS:/# ubus-cli "Buttons.Button.1.Push()"
&gt; Buttons.Button.1.Push()
Buttons.Button.1.Push() returned
[
    0
]</t>
  </si>
  <si>
    <t>To test button, need to 
enable BUILD_STAND
ARD_GPIO_INTR_DRIVER
enable
CONFIG_KEYBOARD_GPIO
and change DTS</t>
  </si>
  <si>
    <t>Release()</t>
  </si>
  <si>
    <t>ubus-cli "Buttons.Button.1.Release()"</t>
  </si>
  <si>
    <t xml:space="preserve">1. Run the following commands on the CPE console to reboot:
ubus-cli "Buttons.Button.1.Push()"; sleep 1; ubus-cli "Buttons.Button.1.Release()"
</t>
  </si>
  <si>
    <t>root@prplOS:/# ubus-cli "Buttons.Button.1.Push()"
&gt; Buttons.Button.1.Push()
Buttons.Button.1.Push() returned
[
    0
]
root@prplOS:/# ubus-cli "Buttons.Button.1.Release()"
&gt; Buttons.Button.1.Release()
Buttons.Button.1.Release() returned
[
    0
]</t>
  </si>
  <si>
    <t>XPON.ONU.{i}.</t>
  </si>
  <si>
    <t>ubus-cli XPON.ONU.{i}.Enable=[0|1]</t>
  </si>
  <si>
    <t>set_max_nr_of_onus()</t>
  </si>
  <si>
    <t>1. Prior to testing, modify the value of name within the cage_info object in the file /etc/networklayout.json to 'gpondef'.
    "cage_info": [
        {
            "cageNumber": 1,
            "attachType": "SFP",
            "name": "gpondef"   }
    ]
2. Run the following commands on the CPE console to disable the XPON ONU:
root@prplOS:/# ubus-cli XPON.ONU.1.Enable=0
&gt; XPON.ONU.1.Enable=0
XPON.ONU.1.
XPON.ONU.1.Enable=0
3. Run the following commands on the CPE console to enable XPON the ONU
root@prplOS:/# ubus-cli XPON.ONU.1.Enable=1
&gt; XPON.ONU.1.Enable=1
XPON.ONU.1.
XPON.ONU.1.Enable=1</t>
  </si>
  <si>
    <t>1. Verify that the XPON ONU is disabled.
root@prplOS:/# gponctl getstate
======== Control State Status ========
   Administrative state: OFF
   Operational    state: INIT (O1)
======================================
root@prplOS:/# echo dumpmdm | gpon_mdmcli | grep "&lt;ONU instance=\"1\"&gt;" -A 1
      &lt;ONU instance="1"&gt;
        &lt;Enable&gt;FALSE&lt;/Enable&gt;
2. Verify that the XPON ONU is enabled.
root@prplOS:/# gponctl getstate
======== Control State Status ========
   Administrative state: ON
   Operational    state: OPERATION (O5)
======================================
root@prplOS:/# echo dumpmdm | gpon_mdmcli | grep "&lt;ONU instance=\"1\"&gt;" -A 1
      &lt;ONU instance="1"&gt;
        &lt;Enable&gt;TRUE&lt;/Enable&gt;</t>
  </si>
  <si>
    <t>All of these tests are performed in 6813 board</t>
  </si>
  <si>
    <t>XPON.ONU.{i}.ANI.{i}.</t>
  </si>
  <si>
    <t>ubus-cli XPON.ONU.{i}.ANI.{i}.Enable=[0|1]</t>
  </si>
  <si>
    <t>1. Run the following commands on the CPE console to disable:
root@prplOS:/# ubus-cli XPON.ONU.1.ANI.1.Enable=0
&gt; XPON.ONU.1.ANI.1.Enable=0
XPON.ONU.1.ANI.1.
XPON.ONU.1.ANI.1.Enable=0
2. Run the following commands on the CPE console to enable:
root@prplOS:/# ubus-cli XPON.ONU.1.ANI.1.Enable=1
&gt; XPON.ONU.1.ANI.1.Enable=1
XPON.ONU.1.ANI.1.
XPON.ONU.1.ANI.1.Enable=1</t>
  </si>
  <si>
    <t>(1) 
root@prplOS:/# gponctl getstate
======== Control State Status ========
   Administrative state: OFF
   Operational    state: INIT (O1)
======================================
root@prplOS:/# echo dumpmdm | gpon_mdmcli | grep "&lt;ANI instance=\"1\"&gt;" -A 1
        &lt;ANI instance="1"&gt;
          &lt;Enable&gt;FALSE&lt;/Enable&gt;
(2) 
root@prplOS:/# gponctl getstate
======== Control State Status ========
   Administrative state: ON
   Operational    state: OPERATION (O5)
======================================
root@prplOS:/# echo dumpmdm | gpon_mdmcli | grep "&lt;ANI instance=\"1\"&gt;" -A 1
        &lt;ANI instance="1"&gt;
          &lt;Enable&gt;TRUE&lt;/Enable&gt;</t>
  </si>
  <si>
    <t>XPON.ONU.{i}.ANI.{i}.Transceiver.{i}.</t>
  </si>
  <si>
    <t>RxPower</t>
  </si>
  <si>
    <t>ubus-cli XPON.ONU.{i}.ANI.{i}.Transceiver.{i}.RxPower?</t>
  </si>
  <si>
    <t>get_param_values()</t>
  </si>
  <si>
    <t>1. Run the following commands on the CPE console:
root@prplOS:/# ubus-cli XPON.ONU.1.ANI.1.Transceiver.1.RxPower?
&gt; XPON.ONU.1.ANI.1.Transceiver.1.RxPower?
XPON.ONU.1.ANI.1.Transceiver.1.RxPower=-242</t>
  </si>
  <si>
    <t>root@prplOS:/#echo "dumpmdm" | gpon_mdmcli | grep "&lt;Transceiver instance=\"1\"&gt;
" -A 15 | grep RxPower
            &lt;RxPower&gt;-242&lt;/RxPower&gt;</t>
  </si>
  <si>
    <t>如果未重新開機跟換 Transceiver 的話，Transceiver instatnce 會遞增，導致 LLAPI 會無法取得到值</t>
  </si>
  <si>
    <t>TxPower</t>
  </si>
  <si>
    <t>ubus-cli XPON.ONU.{i}.ANI.{i}.Transceiver.{i}.TxPower?</t>
  </si>
  <si>
    <t>1. Run the following commands on the CPE console:
root@prplOS:/# ubus-cli XPON.ONU.1.ANI.1.Transceiver.1.TxPower?
&gt; XPON.ONU.1.ANI.1.Transceiver.1.TxPower?
XPON.ONU.1.ANI.1.Transceiver.1.TxPower=35</t>
  </si>
  <si>
    <t>root@prplOS:/# echo "dumpmdm" | gpon_mdmcli | grep "&lt;Transceiver instance=\"1\"&gt;
" -A 15 |grep TxPower
            &lt;TxPower&gt;35&lt;/TxPower&gt;</t>
  </si>
  <si>
    <t>Voltage</t>
  </si>
  <si>
    <t>ubus-cli XPON.ONU.{i}.ANI.{i}.Transceiver.{i}.Voltage?</t>
  </si>
  <si>
    <t>1. Run the following commands on the CPE console:
root@prplOS:/# ubus-cli -a "XPON.ONU.1.ANI.1.Transceiver.1.Voltage?"
&gt; XPON.ONU.1.ANI.1.Transceiver.1.Voltage?
XPON.ONU.1.ANI.1.Transceiver.1.Voltage=3290</t>
  </si>
  <si>
    <t>root@prplOS:/# echo "dumpmdm" | gpon_mdmcli | grep "&lt;Transceiver instance=\"1\"&gt;
" -A 15 | grep "Voltage"
            &lt;Voltage&gt;3290&lt;/Voltage&gt;</t>
  </si>
  <si>
    <t>Bias</t>
  </si>
  <si>
    <t>ubus-cli XPON.ONU.{i}.ANI.{i}.Transceiver.{i}.Bias?</t>
  </si>
  <si>
    <t>1. Run the following commands on the CPE console:
root@prplOS:/# ubus-cli XPON.ONU.1.ANI.1.Transceiver.1.Bias?
&gt; XPON.ONU.1.ANI.1.Transceiver.1.Bias?
XPON.ONU.1.ANI.1.Transceiver.1.Bias=7870</t>
  </si>
  <si>
    <t>root@prplOS:/# echo "dumpmdm" | gpon_mdmcli | grep "&lt;Transceiver instance=\"1\"&gt;
" -A 15 | grep "Bias"
            &lt;Bias&gt;7870&lt;/Bias&gt;</t>
  </si>
  <si>
    <t>ubus-cli XPON.ONU.{i}.ANI.{i}.Transceiver.{i}.Temperature?</t>
  </si>
  <si>
    <t>1. Run the following commands on the CPE console:
root@prplOS:/# ubus-cli XPON.ONU.1.ANI.1.Transceiver.1.Temperature?
&gt; XPON.ONU.1.ANI.1.Transceiver.1.Temperature?
XPON.ONU.1.ANI.1.Transceiver.1.Temperature=52</t>
  </si>
  <si>
    <t>root@prplOS:/# echo "dumpmdm" | gpon_mdmcli | grep "&lt;Transceiver instance=\"1\"&gt;
" -A 15 | grep "Temperature"
            &lt;Temperature&gt;52&lt;/Temperature&gt;</t>
  </si>
  <si>
    <t>XPON.ONU.{i}.ANI.{i}.TC.Authentication.</t>
  </si>
  <si>
    <t>Password</t>
  </si>
  <si>
    <t>ubus-cli XPON.ONU.{i}.ANI.{i}.TC.Authentication.Password=="xxx..."</t>
  </si>
  <si>
    <t>set_password()</t>
  </si>
  <si>
    <t>1. Run the following commands on the CPE console:
root@prplOS:/# ubus-cli XPON.ONU.1.ANI.1.TC.Authentication.Password="arcadyan"
&gt; XPON.ONU.1.ANI.1.TC.Authentication.Password=arcadyan
XPON.ONU.1.ANI.1.TC.Authentication.
XPON.ONU.1.ANI.1.TC.Authentication.Password="arcadyan"</t>
  </si>
  <si>
    <t>root@prplOS:/# echo "dumpmdm" | gpon_mdmcli | grep "&lt;Password&gt;"
              &lt;Password&gt;arcadyan&lt;/Password&gt;</t>
  </si>
  <si>
    <t>Parameter</t>
  </si>
  <si>
    <t>SFPs.Cage.1.SFP.Transceiver.</t>
  </si>
  <si>
    <t>BRMax</t>
  </si>
  <si>
    <t>ubus-cli -a "protected; SFPs.Cage.1.SFP.Transceiver.BRMax?"</t>
  </si>
  <si>
    <t>prpl</t>
  </si>
  <si>
    <t xml:space="preserve">1. 
Prior to testing, modify the value of name within the cage_info object in the file /etc/networklayout.json to 'gpondef'.
    "cage_info": [
        {
            "cageNumber": 1,
            "attachType": "SFP",
            "name": "gpondef"   }
    ]
2. Run the following commands on the CPE console:
ubus-cli -a "protected; SFPs.Cage.1.SFP.Transceiver.BRMax?"
3. Verify the actual values on the system.
ethtool -m gpondef | grep "BR margin, max"
</t>
  </si>
  <si>
    <t>2.
root@prplOS:/# ubus-cli -a "protected; SFPs.Cage.1.SFP.Transceiver.BRMax?"
&gt; protected
&gt; !addon select mod_ba
&gt; connection access ubus: protected
&gt; !addon select mod_ba cli
&gt; SFPs.Cage.1.SFP.Transceiver.BRMax?
SFPs.Cage.1.SFP.Transceiver.BRMax=0
3.
root@prplOS:/# ethtool -m gpondef | grep "BR margin, max"
        BR margin, max                            : 0%</t>
  </si>
  <si>
    <t>before the test, run "/etc/rc.d/S30tr181-sfp restart" to update the SFP data model manually</t>
  </si>
  <si>
    <t>BRMin</t>
  </si>
  <si>
    <t>ubus-cli -a "protected; SFPs.Cage.1.SFP.Transceiver.BRMin?"</t>
  </si>
  <si>
    <t>1. Run the following commands on the CPE console:
ubus-cli -a "protected; SFPs.Cage.1.SFP.Transceiver.BRMin?"
2. Verify the actual values on the system.
ethtool -m gpondef | grep "BR margin, min"</t>
  </si>
  <si>
    <t xml:space="preserve">1.
root@prplOS:/# ubus-cli -a "protected; SFPs.Cage.1.SFP.Transceiver.BRMin?"
&gt; protected
&gt; !addon select mod_ba
&gt; connection access ubus: protected
&gt; !addon select mod_ba cli
&gt; SFPs.Cage.1.SFP.Transceiver.BRMin?
SFPs.Cage.1.SFP.Transceiver.BRMin=0
2
root@prplOS:/# ethtool -m gpondef | grep "BR margin, min"
        BR margin, min                            : 0%
</t>
  </si>
  <si>
    <t>BRNominal</t>
  </si>
  <si>
    <t>ubus-cli -a "protected; SFPs.Cage.1.SFP.Transceiver.BRNominal?"</t>
  </si>
  <si>
    <t>1. Run the following commands on the CPE console:
ubus-cli -a "protected; SFPs.Cage.1.SFP.Transceiver.BRNominal?"
2. Verify the actual values on the system.
ethtool -m gpondef | grep "BR, Nominal"</t>
  </si>
  <si>
    <t xml:space="preserve">1.
root@prplOS:/# ubus-cli -a "protected; SFPs.Cage.1.SFP.Transceiver.BRNominal?"
&gt; protected
&gt; !addon select mod_ba
&gt; connection access ubus: protected
&gt; !addon select mod_ba cli
&gt; SFPs.Cage.1.SFP.Transceiver.BRNominal?
SFPs.Cage.1.SFP.Transceiver.BRNominal=100
2.
root@prplOS:/# ethtool -m gpondef | grep "BR, Nominal"
        BR, Nominal                               : 10000MBd
</t>
  </si>
  <si>
    <t>ARC:
src/sfpmgr_params.c
408:            sscanf(value, "%hu", &amp;sfp_ethtool_param-&gt;br_nominal);
409:            sfp_ethtool_param-&gt;br_nominal = sfp_ethtool_param-&gt;br_nominal / 100;
src/sfpmgr_method.c
115:    retval |= setint32Param(&amp;static_transaction, "BRNominal", sfp_param-&gt;br_nominal);</t>
  </si>
  <si>
    <t>Connector</t>
  </si>
  <si>
    <t>ubus-cli -a "protected; SFPs.Cage.1.SFP.Transceiver.Connector?"</t>
  </si>
  <si>
    <t>1. Run the following commands on the CPE console:
ubus-cli -a "protected; SFPs.Cage.1.SFP.Transceiver.Connector?"
2. Verify the actual values on the system.
ethtool -m gpondef | grep "Connector"</t>
  </si>
  <si>
    <t xml:space="preserve">1.
root@prplOS:/# ubus-cli -a "protected; SFPs.Cage.1.SFP.Transceiver.Connector?"
&gt; protected
&gt; !addon select mod_ba
&gt; connection access ubus: protected
&gt; !addon select mod_ba cli
&gt; SFPs.Cage.1.SFP.Transceiver.Connector?
SFPs.Cage.1.SFP.Transceiver.Connector=1
2.
root@prplOS:/# ethtool -m gpondef | grep "Connector"
        Connector                                 : 0x01 (SC)
</t>
  </si>
  <si>
    <t>DMCtypeExternalCal</t>
  </si>
  <si>
    <t>ubus-cli -a "protected; SFPs.Cage.1.SFP.Transceiver.DMCtypeExternalCal?"</t>
  </si>
  <si>
    <t xml:space="preserve">1. Run the following commands on the CPE console:
ubus-cli -a "protected; SFPs.Cage.1.SFP.Transceiver.DMCtypeExternalCal?"
2. Verify the actual values on the system.
 ethtool -m gpondef | grep "Diagnostic Monitoring Type"
</t>
  </si>
  <si>
    <t xml:space="preserve">1.
root@prplOS:/# ubus-cli -a "protected; SFPs.Cage.1.SFP.Transceiver.DMCtypeExternalCal?"
&gt; protected
&gt; !addon select mod_ba
&gt; connection access ubus: protected
&gt; !addon select mod_ba cli
&gt; SFPs.Cage.1.SFP.Transceiver.DMCtypeExternalCal?
SFPs.Cage.1.SFP.Transceiver.DMCtypeExternalCal=0
2.
value=$( ethtool -m gpondef | grep "Diagnostic Monitoring Type" | awk '{print $NF}' ) 
if [ $(( value &amp; 0x10 )) -gt 0 ]; then echo "1"; else echo "0"; fi
</t>
  </si>
  <si>
    <t>bit 4</t>
  </si>
  <si>
    <t>BRCM ticket: CS00012440375
[0106] Apply patch openwrt_ethtool_sfp_diag.tar
[0106] Solved issue</t>
  </si>
  <si>
    <t>DMCtypeImplemented</t>
  </si>
  <si>
    <t>ubus-cli -a "protected; SFPs.Cage.1.SFP.Transceiver.DMCtypeImplemented?"</t>
  </si>
  <si>
    <t>1. Run the following commands on the CPE console:
ubus-cli -a "protected; SFPs.Cage.1.SFP.Transceiver.DMCtypeImplemented?"
2. Verify the actual values on the system.
ethtool -m gpondef | grep "Diagnostic Monitoring Type"</t>
  </si>
  <si>
    <t xml:space="preserve">1.
root@prplOS:/# ubus-cli -a "protected; SFPs.Cage.1.SFP.Transceiver.DMCtypeImplem
ented?"
&gt; protected
&gt; !addon select mod_ba
&gt; connection access ubus: protected
&gt; !addon select mod_ba cli
&gt; SFPs.Cage.1.SFP.Transceiver.DMCtypeImplemented?
SFPs.Cage.1.SFP.Transceiver.DMCtypeImplemented=1
2.
root@prplOS:/# value=$( ethtool -m gpondef | grep "Diagnostic Monitoring Type" |
 awk '{print $NF}' )
if [ $(( value &amp; 0x40 )) -gt 0 ]; then echo "1"; else echo "0"; firoot@prplOS:/# if [ $(( value &amp; 0x40 )) -gt 0 ]; then echo "1"; else echo "0"; f
i
1
</t>
  </si>
  <si>
    <t>bit 6</t>
  </si>
  <si>
    <t>DMCtypeInternalCal</t>
  </si>
  <si>
    <t>ubus-cli -a "protected; SFPs.Cage.1.SFP.Transceiver.DMCtypeInternalCal?"</t>
  </si>
  <si>
    <t>1. Run the following commands on the CPE console:
ubus-cli -a "protected; SFPs.Cage.1.SFP.Transceiver.DMCtypeInternalCal?"
2. Verify the actual values on the system.
ethtool -m gpondef | grep "Diagnostic Monitoring Type"</t>
  </si>
  <si>
    <t>1.
root@prplOS:/# ubus-cli -a "protected; SFPs.Cage.1.SFP.Transceiver.DMCtypeIntern
alCal?"
&gt; protected
&gt; !addon select mod_ba
&gt; connection access ubus: protected
&gt; !addon select mod_ba cli
&gt; SFPs.Cage.1.SFP.Transceiver.DMCtypeInternalCal?
SFPs.Cage.1.SFP.Transceiver.DMCtypeInternalCal=1
2.
root@prplOS:/# value=$( ethtool -m gpondef | grep "Diagnostic Monitoring Type" |
 awk '{print $NF}' )
if [ $(( value &amp; 0x20 )) -gt 0 ]; then echo "1"; else echo "0"; firoot@prplOS:/# if [ $(( value &amp; 0x20 )) -gt 0 ]; then echo "1"; else echo "0"; f
i
1</t>
  </si>
  <si>
    <t>bit 5</t>
  </si>
  <si>
    <t>DMCtypeRxAvgPwr</t>
  </si>
  <si>
    <t>ubus-cli -a "protected; SFPs.Cage.1.SFP.Transceiver.DMCtypeRxAvgPwr?"</t>
  </si>
  <si>
    <t>1. Run the following commands on the CPE console:
ubus-cli -a "protected; SFPs.Cage.1.SFP.Transceiver.DMCtypeRxAvgPwr?"
2. Verify the actual values on the system.
ethtool -m gpondef | grep "Diagnostic Monitoring Type"</t>
  </si>
  <si>
    <t>1.
root@prplOS:/# ubus-cli -a "protected; SFPs.Cage.1.SFP.Transceiver.DMCtypeRxAvgPwr?"
&gt; protected
&gt; !addon select mod_ba
&gt; connection access ubus: protected
&gt; !addon select mod_ba cli
&gt; SFPs.Cage.1.SFP.Transceiver.DMCtypeRxAvgPwr?
SFPs.Cage.1.SFP.Transceiver.DMCtypeRxAvgPwr=0
2.
value=$( ethtool -m gpondef | grep "Diagnostic Monitoring Type" | awk '{print $NF}' )
if [ $(( value &amp; 0x08 )) -gt 0 ]; then echo "1"; else echo "0"; fi</t>
  </si>
  <si>
    <t>bit 3</t>
  </si>
  <si>
    <t>DateCode</t>
  </si>
  <si>
    <t>ubus-cli -a "protected; SFPs.Cage.1.SFP.Transceiver.DateCode?"</t>
  </si>
  <si>
    <t>1. Run the following commands on the CPE console:
ubus-cli -a "protected; SFPs.Cage.1.SFP.Transceiver.DateCode?"
2. Verify the actual values on the system.
ethtool -m gpondef | grep "Date code"</t>
  </si>
  <si>
    <t>1.
root@prplOS:/# ubus-cli -a "protected; SFPs.Cage.1.SFP.Transceiver.DateCode?"
&gt; protected
&gt; !addon select mod_ba
&gt; connection access ubus: protected
&gt; !addon select mod_ba cli
&gt; SFPs.Cage.1.SFP.Transceiver.DateCode?
SFPs.Cage.1.SFP.Transceiver.DateCode="250829"
2.
root@prplOS:/# ethtool -m gpondef | grep "Date code"
        Date code                                 : 250829</t>
  </si>
  <si>
    <t>EMCSPowerLvlOp</t>
  </si>
  <si>
    <t>ubus-cli -a "protected; SFPs.Cage.1.SFP.Transceiver.EMCSPowerLvlOp?"</t>
  </si>
  <si>
    <t>1. Run the following commands on the CPE console:
root@prplOS:/# ubus-cli -a "protected; SFPs.Cage.1.SFP.Transceiver.EMCSPowerLvlOp?"
&gt; protected
&gt; !addon select mod_ba
&gt; connection access ubus: protected
&gt; !addon select mod_ba cli
&gt; SFPs.Cage.1.SFP.Transceiver.EMCSPowerLvlOp?
SFPs.Cage.1.SFP.Transceiver.EMCSPowerLvlOp=0</t>
  </si>
  <si>
    <t xml:space="preserve">1.
root@prplOS:/# ubus-cli -a "protected; SFPs.Cage.1.SFP.Transceiver.EMCSPowerLvlO
p?"
&gt; protected
&gt; !addon select mod_ba
&gt; connection access ubus: protected
&gt; !addon select mod_ba cli
&gt; SFPs.Cage.1.SFP.Transceiver.EMCSPowerLvlOp?
SFPs.Cage.1.SFP.Transceiver.EMCSPowerLvlOp=0
2.
root@prplOS:/# i2cget -y 0 0x51 0x76
0x00 // 0x00 --&gt;  refer to bit 1
</t>
  </si>
  <si>
    <t xml:space="preserve">PRPL plugin tr181-sfp only declare but not implement it. </t>
  </si>
  <si>
    <t>Extended Module Control and Status</t>
  </si>
  <si>
    <t>EMCSPowerLvlSelect</t>
  </si>
  <si>
    <t>ubus-cli -a "protected; SFPs.Cage.1.SFP.Transceiver.EMCSPowerLvlSelect?"</t>
  </si>
  <si>
    <t>1. Run the following commands on the CPE console:
root@prplOS:/# ubus-cli -a "protected; SFPs.Cage.1.SFP.Transceiver.EMCSPowerLvlSelect?"
&gt; protected
&gt; !addon select mod_ba
&gt; connection access ubus: protected
&gt; !addon select mod_ba cli
&gt; SFPs.Cage.1.SFP.Transceiver.EMCSPowerLvlSelect?
SFPs.Cage.1.SFP.Transceiver.EMCSPowerLvlSelect=0</t>
  </si>
  <si>
    <t>1.
root@prplOS:/# ubus-cli -a "protected; SFPs.Cage.1.SFP.Transceiver.EMCSPowerLvlS
elect?"
&gt; protected
&gt; !addon select mod_ba
&gt; connection access ubus: protected
&gt; !addon select mod_ba cli
&gt; SFPs.Cage.1.SFP.Transceiver.EMCSPowerLvlSelect?
SFPs.Cage.1.SFP.Transceiver.EMCSPowerLvlSelect=0
2.
root@prplOS:/# i2cget -y 0 0x51 0x76
0x00 // 0x00 --&gt;  refer to bit 0</t>
  </si>
  <si>
    <t>PRPL plugin tr181-sfp only declare but not implement it.</t>
  </si>
  <si>
    <t>EMCSSoftRS1Select</t>
  </si>
  <si>
    <t>ubus-cli -a "protected; SFPs.Cage.1.SFP.Transceiver.EMCSSoftRS1Select?"</t>
  </si>
  <si>
    <t>1. Run the following commands on the CPE console:
root@prplOS:/# ubus-cli -a "protected; SFPs.Cage.1.SFP.Transceiver.EMCSSoftRS1Select?"
&gt; protected
&gt; !addon select mod_ba
&gt; connection access ubus: protected
&gt; !addon select mod_ba cli
&gt; SFPs.Cage.1.SFP.Transceiver.EMCSSoftRS1Select?
SFPs.Cage.1.SFP.Transceiver.EMCSSoftRS1Select=0</t>
  </si>
  <si>
    <t>1.
root@prplOS:/# ubus-cli -a "protected; SFPs.Cage.1.SFP.Transceiver.EMCSSoftRS1Se
lect?"
&gt; protected
&gt; !addon select mod_ba
&gt; connection access ubus: protected
&gt; !addon select mod_ba cli
&gt; SFPs.Cage.1.SFP.Transceiver.EMCSSoftRS1Select?
SFPs.Cage.1.SFP.Transceiver.EMCSSoftRS1Select=0
2.
root@prplOS:/# i2cget -y 0 0x51 0x76
0x00 // 0x00 --&gt;  refer to bit 3</t>
  </si>
  <si>
    <t>EOCSoftRateSelect</t>
  </si>
  <si>
    <t>ubus-cli -a "protected; SFPs.Cage.1.SFP.Transceiver.EOCSoftRateSelect?"</t>
  </si>
  <si>
    <t xml:space="preserve">1. Run the following commands on the CPE console:
 ubus-cli -a "protected; SFPs.Cage.1.SFP.Transceiver.EOCSoftRateSelect?"
2. Verify the actual values on the system.
ethtool -m gpondef | grep "Enhanced Options" </t>
  </si>
  <si>
    <t>1.
root@prplOS:/# ubus-cli -a "protected; SFPs.Cage.1.SFP.Transceiver.EOCSoftRateSe
lect?"
&gt; protected
&gt; !addon select mod_ba
&gt; connection access ubus: protected
&gt; !addon select mod_ba cli
&gt; SFPs.Cage.1.SFP.Transceiver.EOCSoftRateSelect?
SFPs.Cage.1.SFP.Transceiver.EOCSoftRateSelect=0
2.
root@prplOS:/# value=$( ethtool -m gpondef | grep "Enhanced Options" | awk '{pri
nt $NF}' )
if [ $(( value &amp; 0x08 )) -gt 0 ]; then echo "1"; else echo "0"; firoot@prplOS:/# if [ $(( value &amp; 0x08 )) -gt 0 ]; then echo "1"; else echo "0"; f
i
0</t>
  </si>
  <si>
    <t>EOCSoftRxLOS</t>
  </si>
  <si>
    <t>ubus-cli -a "protected; SFPs.Cage.1.SFP.Transceiver.EOCSoftRxLOS?"</t>
  </si>
  <si>
    <t xml:space="preserve">1. Run the following commands on the CPE console:
ubus-cli -a "protected; SFPs.Cage.1.SFP.Transceiver.EOCSoftRxLOS?"
2. Verify the actual values on the system.
ethtool -m gpondef | grep "Enhanced Options" 
</t>
  </si>
  <si>
    <t>1.
root@prplOS:/# ubus-cli -a "protected; SFPs.Cage.1.SFP.Transceiver.EOCSoftRxLOS?"
&gt; protected
&gt; !addon select mod_ba
&gt; connection access ubus: protected
&gt; !addon select mod_ba cli
&gt; SFPs.Cage.1.SFP.Transceiver.EOCSoftRxLOS?
SFPs.Cage.1.SFP.Transceiver.EOCSoftRxLOS=0
2.
value=$( ethtool -m gpondef | grep "Enhanced Options" | awk '{print $NF}' )
if [ $(( value &amp; 0x10 )) -gt 0 ]; then echo "1"; else echo "0"; fi</t>
  </si>
  <si>
    <t>EOCSoftTxDisable</t>
  </si>
  <si>
    <t>ubus-cli -a "protected; SFPs.Cage.1.SFP.Transceiver.EOCSoftTxDisable?"</t>
  </si>
  <si>
    <t>1. Run the following commands on the CPE console:
ubus-cli -a "protected; SFPs.Cage.1.SFP.Transceiver.EOCSoftTxDisable?"
2. Verify the actual values on the system.
ethtool -m gpondef | grep "Enhanced Options"</t>
  </si>
  <si>
    <t>1.
root@prplOS:/# ubus-cli -a "protected; SFPs.Cage.1.SFP.Transceiver.EOCSoftTxDisa
ble?"
&gt; protected
&gt; !addon select mod_ba
&gt; connection access ubus: protected
&gt; !addon select mod_ba cli
&gt; SFPs.Cage.1.SFP.Transceiver.EOCSoftTxDisable?
SFPs.Cage.1.SFP.Transceiver.EOCSoftTxDisable=1
2.
root@prplOS:/# value=$( ethtool -m gpondef | grep "Enhanced Options" | awk '{pri
nt $NF}' )
if [ $(( value &amp; 0x40 )) -gt 0 ]; then echo "1"; else echo "0"; firoot@prplOS:/# if [ $(( value &amp; 0x40 )) -gt 0 ]; then echo "1"; else echo "0"; f
i
1</t>
  </si>
  <si>
    <t>EOCSoftTxFault</t>
  </si>
  <si>
    <t>ubus-cli -a "protected; SFPs.Cage.1.SFP.Transceiver.EOCSoftTxFault?"</t>
  </si>
  <si>
    <t>1. Run the following commands on the CPE console:
ubus-cli -a "protected; SFPs.Cage.1.SFP.Transceiver.EOCSoftTxFault?"
2. Verify the actual values on the system.
ethtool -m gpondef | grep "Enhanced Options"</t>
  </si>
  <si>
    <t xml:space="preserve">1.
root@prplOS:/# ubus-cli -a "protected; SFPs.Cage.1.SFP.Transceiver.EOCSoftTxFaul
t?"
&gt; protected
&gt; !addon select mod_ba
&gt; connection access ubus: protected
&gt; !addon select mod_ba cli
&gt; SFPs.Cage.1.SFP.Transceiver.EOCSoftTxFault?
SFPs.Cage.1.SFP.Transceiver.EOCSoftTxFault=1
2.
root@prplOS:/# value=$( ethtool -m gpondef | grep "Enhanced Options" | awk '{pri
nt $NF}' )
if [ $(( value &amp; 0x20 )) -gt 0 ]; then echo "1"; else echo "0"; firoot@prplOS:/# if [ $(( value &amp; 0x20 )) -gt 0 ]; then echo "1"; else echo "0"; f
i
1
</t>
  </si>
  <si>
    <t>EOCalarmsImplemented</t>
  </si>
  <si>
    <t>ubus-cli -a "protected; SFPs.Cage.1.SFP.Transceiver.EOCalarmsImplemented?"</t>
  </si>
  <si>
    <t>1. Run the following commands on the CPE console:
ubus-cli -a "protected; SFPs.Cage.1.SFP.Transceiver.EOCalarmsImplemented?"
2. Verify the actual values on the system.
ethtool -m gpondef | grep "Enhanced Options"</t>
  </si>
  <si>
    <t xml:space="preserve">1.
root@prplOS:/# ubus-cli -a "protected; SFPs.Cage.1.SFP.Transceiver.EOCalarmsImpl
emented?"
&gt; protected
&gt; !addon select mod_ba
&gt; connection access ubus: protected
&gt; !addon select mod_ba cli
&gt; SFPs.Cage.1.SFP.Transceiver.EOCalarmsImplemented?
SFPs.Cage.1.SFP.Transceiver.EOCalarmsImplemented=1
2.
root@prplOS:/# value=$( ethtool -m gpondef | grep "Enhanced Options" | awk '{pri
nt $NF}' )
if [ $(( value &amp; 0x80 )) -gt 0 ]; then echo "1"; else echo "0"; firoot@prplOS:/# if [ $(( value &amp; 0x80 )) -gt 0 ]; then echo "1"; else echo "0"; f
i
1
</t>
  </si>
  <si>
    <t>bit 7</t>
  </si>
  <si>
    <t>Encoding</t>
  </si>
  <si>
    <t>ubus-cli -a "protected; SFPs.Cage.1.SFP.Transceiver.Encoding?"</t>
  </si>
  <si>
    <t>1. Run the following commands on the CPE console:
ubus-cli -a "protected; SFPs.Cage.1.SFP.Transceiver.Encoding?"
2. Verify the actual values on the system.
ethtool -m gpondef | grep "Encoding"</t>
  </si>
  <si>
    <t xml:space="preserve">1.
root@prplOS:/# ubus-cli -a "protected; SFPs.Cage.1.SFP.Transceiver.Encoding?"
&gt; protected
&gt; !addon select mod_ba
&gt; connection access ubus: protected
&gt; !addon select mod_ba cli
&gt; SFPs.Cage.1.SFP.Transceiver.Encoding?
SFPs.Cage.1.SFP.Transceiver.Encoding=3
2.
root@prplOS:/# ethtool -m gpondef | grep "Encoding"
        Encoding                                  : 0x03 (NRZ)
</t>
  </si>
  <si>
    <t>ARC:
src/sfpmgr_params.c
406:            sscanf(value, "%hhx", &amp;sfp_ethtool_param-&gt;encoding);
src/sfpmgr_method.c
114:    retval |= setUint32Param(&amp;static_transaction, "Encoding", sfp_param-&gt;encoding);</t>
  </si>
  <si>
    <t>Length50uM</t>
  </si>
  <si>
    <t>ubus-cli -a "protected; SFPs.Cage.1.SFP.Transceiver.Length50uM?"</t>
  </si>
  <si>
    <t>1. Run the following commands on the CPE console:
ubus-cli -a "protected; SFPs.Cage.1.SFP.Transceiver.Length50uM?"
2. Verify the actual values on the system.
ethtool -m gpondef | grep "Length (50um)"</t>
  </si>
  <si>
    <t xml:space="preserve">1.
root@prplOS:/# ubus-cli -a "protected; SFPs.Cage.1.SFP.Transceiver.Length50uM?"
&gt; protected
&gt; !addon select mod_ba
&gt; connection access ubus: protected
&gt; !addon select mod_ba cli
&gt; SFPs.Cage.1.SFP.Transceiver.Length50uM?
SFPs.Cage.1.SFP.Transceiver.Length50uM=0
2.
root@prplOS:/# ethtool -m gpondef | grep "Length (50um)"
        Length (50um)                             : 0m
</t>
  </si>
  <si>
    <t>Length62dot5uM</t>
  </si>
  <si>
    <t>ubus-cli -a "protected; SFPs.Cage.1.SFP.Transceiver.Length62dot5uM?"</t>
  </si>
  <si>
    <t xml:space="preserve">1. Run the following commands on the CPE console:
ubus-cli -a "protected; SFPs.Cage.1.SFP.Transceiver.Length62dot5uM?"
2. Verify the actual values on the system.
ethtool -m gpondef | grep "Length (62.5um)"
</t>
  </si>
  <si>
    <t xml:space="preserve">1.
root@prplOS:/# ubus-cli -a "protected; SFPs.Cage.1.SFP.Transceiver.Length62dot5uM?"
&gt; protected
&gt; !addon select mod_ba
&gt; connection access ubus: protected
&gt; !addon select mod_ba cli
&gt; SFPs.Cage.1.SFP.Transceiver.Length62dot5uM?
SFPs.Cage.1.SFP.Transceiver.Length62dot5uM=0
2.
root@prplOS:/# ethtool -m gpondef | grep "Length (62.5um)"
        Length (62.5um)                           : 0m
</t>
  </si>
  <si>
    <t>LengthOM3</t>
  </si>
  <si>
    <t>ubus-cli -a "protected; SFPs.Cage.1.SFP.Transceiver.LengthOM3?"</t>
  </si>
  <si>
    <t xml:space="preserve">1. Run the following commands on the CPE console:
ubus-cli -a "protected; SFPs.Cage.1.SFP.Transceiver.LengthOM3?"
2. Verify the actual values on the system.
ethtool -m gpondef | grep "Length (OM3)"
</t>
  </si>
  <si>
    <t xml:space="preserve">1.
root@prplOS:/# ubus-cli -a "protected; SFPs.Cage.1.SFP.Transceiver.LengthOM3?"
&gt; protected
&gt; !addon select mod_ba
&gt; connection access ubus: protected
&gt; !addon select mod_ba cli
&gt; SFPs.Cage.1.SFP.Transceiver.LengthOM3?
SFPs.Cage.1.SFP.Transceiver.LengthOM3=0
2.
root@prplOS:/# ethtool -m gpondef | grep "Length (OM3)"
        Length (OM3)                              : 0m
</t>
  </si>
  <si>
    <t>LengthSMF</t>
  </si>
  <si>
    <t>ubus-cli -a "protected; SFPs.Cage.1.SFP.Transceiver.LengthSMF?"</t>
  </si>
  <si>
    <t xml:space="preserve">1. Run the following commands on the CPE console:
ubus-cli -a "protected; SFPs.Cage.1.SFP.Transceiver.LengthSMF?"
2. Verify the actual values on the system.
ethtool -m gpondef | grep "Length (SMF)"
</t>
  </si>
  <si>
    <t xml:space="preserve">1.
root@prplOS:/# ubus-cli -a "protected; SFPs.Cage.1.SFP.Transceiver.LengthSMF?"
&gt; protected
&gt; !addon select mod_ba
&gt; connection access ubus: protected
&gt; !addon select mod_ba cli
&gt; SFPs.Cage.1.SFP.Transceiver.LengthSMF?
SFPs.Cage.1.SFP.Transceiver.LengthSMF=200
2.
root@prplOS:/# ethtool -m gpondef | grep "Length (SMF)"
        Length (SMF)                              : 20000m
</t>
  </si>
  <si>
    <t>ARC:
src/sfpmgr_params.c
414:        } else if(strstr(key, "Length (SMF)") != NULL) {
415-            if(strstr(value, "km")) {
416:                SAH_TRACEZ_WARNING(ME, "Length (SMF) is in km while m is expected");
417-            } else {
418-                rc = sscanf(value, "%u", &amp;val_u32);
419-                if(rc == 1) {
420-                    /* len_SMF_100m is in units of 100 m (SFF-8472 6.2) */
421-                    val_u32 = val_u32 / 100;
422-                    if(val_u32 &lt; 256) {
423-                        sfp_ethtool_param-&gt;len_SMF_100m = val_u32;
424-                    }
425-                }
426-            }</t>
  </si>
  <si>
    <t>LengthSMFkm</t>
  </si>
  <si>
    <t>ubus-cli -a "protected; SFPs.Cage.1.SFP.Transceiver.LengthSMFkm?"</t>
  </si>
  <si>
    <t>1. Run the following commands on the CPE console:
ubus-cli -a "protected; SFPs.Cage.1.SFP.Transceiver.LengthSMFkm?"
2. Verify the actual values on the system.
ethtool -m gpondef | grep "Length (SMF,km)"</t>
  </si>
  <si>
    <t xml:space="preserve">1.
root@prplOS:/# ubus-cli -a "protected; SFPs.Cage.1.SFP.Transceiver.LengthSMFkm?"
&gt; protected
&gt; !addon select mod_ba
&gt; connection access ubus: protected
&gt; !addon select mod_ba cli
&gt; SFPs.Cage.1.SFP.Transceiver.LengthSMFkm?
SFPs.Cage.1.SFP.Transceiver.LengthSMFkm=20
2.
root@prplOS:/# ethtool -m gpondef | grep "Length (SMF,km)"
        Length (SMF,km)                           : 20km
</t>
  </si>
  <si>
    <t>OptInvertedLOS</t>
  </si>
  <si>
    <t>ubus-cli -a "protected; SFPs.Cage.1.SFP.Transceiver.OptInvertedLOS?"</t>
  </si>
  <si>
    <t>1. Run the following commands on the CPE console:
ubus-cli -a "protected; SFPs.Cage.1.SFP.Transceiver.OptInvertedLOS?"
2. Verify the actual values on the system.
(1) ethtool -m gpondef | grep "Option values"
(2) value=$( ethtool -m gpondef | grep "Option values" | awk -F'(: )' '{print $NF}' | awk '{print $2}' ); if [ $(( value &amp; 0x04 )) -gt 0 ]; then echo "1"; else echo "0"; fi</t>
  </si>
  <si>
    <t xml:space="preserve">1.
root@prplOS:/# ubus-cli -a "protected; SFPs.Cage.1.SFP.Transceiver.OptInvertedLOS?"
&gt; protected
&gt; !addon select mod_ba
&gt; connection access ubus: protected
&gt; !addon select mod_ba cli
&gt; SFPs.Cage.1.SFP.Transceiver.OptInvertedLOS?
SFPs.Cage.1.SFP.Transceiver.OptInvertedLOS=0
2.
(1)
root@prplOS:/# ethtool -m gpondef | grep "Option values"
        Option values                             : 0x00 0x00
(2)
root@prplOS:/# value=$( ethtool -m gpondef | grep "Option values" | awk -F'(: )' '{print $NF}' | awk '{print $2}' ); if [ $(( value &amp; 0x04 )) -gt 0 ]; then echo "1"; else echo "0"; fi
0
</t>
  </si>
  <si>
    <t>byte 1, bit 2</t>
  </si>
  <si>
    <t>OptLOS</t>
  </si>
  <si>
    <t>ubus-cli -a "protected; SFPs.Cage.1.SFP.Transceiver.OptLOS?"</t>
  </si>
  <si>
    <t>1. Run the following commands on the CPE console:
ubus-cli -a "protected; SFPs.Cage.1.SFP.Transceiver.OptLOS?"
2. Verify the actual values on the system.
(1) ethtool -m gpondef | grep "Option values"
(2) value=$( ethtool -m gpondef | grep "Option values" | awk -F'(: )' '{print $NF}' | awk '{print $2}' ); if [ $(( value &amp; 0x02 )) -gt 0 ]; then echo
 "1"; else echo "0"; fi</t>
  </si>
  <si>
    <t xml:space="preserve">1.
root@prplOS:/# ubus-cli -a "protected; SFPs.Cage.1.SFP.Transceiver.OptLOS?"
&gt; protected
&gt; !addon select mod_ba
&gt; connection access ubus: protected
&gt; !addon select mod_ba cli
&gt; SFPs.Cage.1.SFP.Transceiver.OptLOS?
SFPs.Cage.1.SFP.Transceiver.OptLOS=0
2.
(1)
root@prplOS:/# ethtool -m gpondef | grep "Option values"
        Option values                             : 0x00 0x00
(2)
root@prplOS:/# value=$( ethtool -m gpondef | grep "Option values" | awk -F'(: )' '{print $NF}' | awk '{print $2}' ); if [ $(( value &amp; 0x02 )) -gt 0 ]; then echo
 "1"; else echo "0"; fi
0
</t>
  </si>
  <si>
    <t>byte 1, bit 1</t>
  </si>
  <si>
    <t>OptRateSelect</t>
  </si>
  <si>
    <t>ubus-cli -a "protected; SFPs.Cage.1.SFP.Transceiver.OptRateSelect?"</t>
  </si>
  <si>
    <t>1. Run the following commands on the CPE console:
ubus-cli -a "protected; SFPs.Cage.1.SFP.Transceiver.OptRateSelect?"
2. Verify the actual values on the system.
(1) ethtool -m gpondef | grep "Option values"
(2) value=$( ethtool -m gpondef | grep "Option values" | awk -F'(: )' '{print $NF}' | awk '{print $2}' ); if [ $(( value &amp; 0x20 )) -gt 0 ]; then echo
 "1"; else echo "0"; fi</t>
  </si>
  <si>
    <t xml:space="preserve">1.
root@prplOS:/# ubus-cli -a "protected; SFPs.Cage.1.SFP.Transceiver.OptRateSelect?"
&gt; protected
&gt; !addon select mod_ba
&gt; connection access ubus: protected
&gt; !addon select mod_ba cli
&gt; SFPs.Cage.1.SFP.Transceiver.OptRateSelect?
SFPs.Cage.1.SFP.Transceiver.OptRateSelect=0
2.
(1)
root@prplOS:/# ethtool -m gpondef | grep "Option values"
        Option values                             : 0x00 0x00
(2)
root@prplOS:/# value=$( ethtool -m gpondef | grep "Option values" | awk -F'(: )' '{print $NF}' | awk '{print $2}' ); if [ $(( value &amp; 0x20 )) -gt 0 ]; then echo
 "1"; else echo "0"; fi
0
</t>
  </si>
  <si>
    <t>byte 1, bit 5</t>
  </si>
  <si>
    <t>OptTxDisable</t>
  </si>
  <si>
    <t>ubus-cli -a "protected; SFPs.Cage.1.SFP.Transceiver.OptTxDisable?"</t>
  </si>
  <si>
    <t>1. Run the following commands on the CPE console:
ubus-cli -a "protected; SFPs.Cage.1.SFP.Transceiver.OptTxDisable?"
2. Verify the actual values on the system.
(1) ethtool -m gpondef | grep "Option values"
(2) value=$(ethtool -m gpondef | grep "Option values" | awk -F'(: )' '{print $NF}' | awk '{print $2}' ); if [ $(( value &amp; 0x10 )) -gt 0 ]; then echo "1"; else echo "0"; fi</t>
  </si>
  <si>
    <t xml:space="preserve">1.
root@prplOS:/# ubus-cli -a "protected; SFPs.Cage.1.SFP.Transceiver.OptTxDisable?"
&gt; protected
&gt; !addon select mod_ba
&gt; connection access ubus: protected
&gt; !addon select mod_ba cli
&gt; SFPs.Cage.1.SFP.Transceiver.OptTxDisable?
SFPs.Cage.1.SFP.Transceiver.OptTxDisable=0
2
(1)
root@prplOS:/# ethtool -m gpondef | grep "Option values"
        Option values                             : 0x00 0x00
(2)
root@prplOS:/# value=$( ethtool -m gpondef | grep "Option values" | awk -F'(: )'
 '{print $NF}' | awk '{print $2}' ); if [ $(( value &amp; 0x10 )) -gt 0 ]; then echo
 "1"; else echo "0"; fi
0
</t>
  </si>
  <si>
    <t>byte 1, bit 4</t>
  </si>
  <si>
    <t>OptTxFault</t>
  </si>
  <si>
    <t>ubus-cli -a "protected; SFPs.Cage.1.SFP.Transceiver.OptTxFault?"</t>
  </si>
  <si>
    <t>1. Run the following commands on the CPE console:
ubus-cli -a "protected; SFPs.Cage.1.SFP.Transceiver.OptTxFault?"
2. Verify the actual values on the system.
(1) ethtool -m gpondef | grep "Option values"
(2) value=$(ethtool -m gpondef | grep "Option values" | awk -F'(: )' '{print $NF}' | awk '{print $2}' ); if [ $(( value &amp; 0x08 )) -gt 0 ]; then echo "1"; else echo "0"; fi</t>
  </si>
  <si>
    <t>1.
root@prplOS:/# ubus-cli -a "protected; SFPs.Cage.1.SFP.Transceiver.OptTxFault?"
&gt; protected
&gt; !addon select mod_ba
&gt; connection access ubus: protected
&gt; !addon select mod_ba cli
&gt; SFPs.Cage.1.SFP.Transceiver.OptTxFault?
SFPs.Cage.1.SFP.Transceiver.OptTxFault=0
2.
root@prplOS:/# value=$(ethtool -m gpondef | grep "Option values" | awk -F'(: )'
'{print $NF}' | awk '{print $2}' ); if [ $(( value &amp; 0x08 )) -gt 0 ]; then echo
"1"; else echo "0"; fi
0</t>
  </si>
  <si>
    <t>byte 1, bit 3</t>
  </si>
  <si>
    <t>OptlCooledTrans</t>
  </si>
  <si>
    <t>ubus-cli -a "protected; SFPs.Cage.1.SFP.Transceiver.OptlCooledTrans?"</t>
  </si>
  <si>
    <t xml:space="preserve">1. Run the following commands on the CPE console:
ubus-cli -a "protected; SFPs.Cage.1.SFP.Transceiver.OptlCooledTrans?"
2. Verify the actual values on the system.
(1) ethtool -m gpondef | grep "Option values"
(2) value=$(ethtool -m gpondef | grep "Option values" | awk -F'(: )' '{print $NF}' | awk '{print $2}' ); if [ $(( value &amp; 0x04 )) -gt 0 ]; then echo "1"; else echo "0"; fi
</t>
  </si>
  <si>
    <t>1.
root@prplOS:/# ubus-cli -a "protected; SFPs.Cage.1.SFP.Transceiver.OptlCooledTrans?"
&gt; protected
&gt; !addon select mod_ba
&gt; connection access ubus: protected
&gt; !addon select mod_ba cli
&gt; SFPs.Cage.1.SFP.Transceiver.OptlCooledTrans?
SFPs.Cage.1.SFP.Transceiver.OptlCooledTrans=0
2.
root@prplOS:/# ethtool -m gpondef | grep "Option values"
        Option values                             : 0x00 0x00
root@prplOS:/# value=$(ethtool -m gpondef | grep "Option values" | awk -F'(: )'
'{print $NF}' | awk '{print $2}' ); if [ $(( value &amp; 0x04 )) -gt 0 ]; then echo
"1"; else echo "0"; fi
0</t>
  </si>
  <si>
    <t>byte 0, bit2, arca script is wrong, it grabs bit3</t>
  </si>
  <si>
    <t>BRCM: Hint extracting bit 2 (0x04) instead of bit 3 (0x08)
ARCA: Fixed</t>
  </si>
  <si>
    <t>OptlLinearRcvr</t>
  </si>
  <si>
    <t>ubus-cli -a "protected; SFPs.Cage.1.SFP.Transceiver.OptlLinearRcvr?"</t>
  </si>
  <si>
    <t>1. Run the following commands on the CPE console:
ubus-cli -a "protected; SFPs.Cage.1.SFP.Transceiver.OptlLinearRcvr?"
2. Verify the actual values on the system.
(1) ethtool -m gpondef | grep "Option values"
(2)  value=$( ethtool -m gpondef | grep "Option values" | awk -F'(: )'
 '{print $NF}' | awk '{print $1}' );if [ $(( value &amp; 0x01 )) -gt 0 ]; then echo
"1"; else echo "0"; fi</t>
  </si>
  <si>
    <t xml:space="preserve">1.
root@prplOS:/# ubus-cli -a "protected; SFPs.Cage.1.SFP.Transceiver.OptlLinearRcvr?"
&gt; protected
&gt; !addon select mod_ba
&gt; connection access ubus: protected
&gt; !addon select mod_ba cli
&gt; SFPs.Cage.1.SFP.Transceiver.OptlLinearRcvr?
SFPs.Cage.1.SFP.Transceiver.OptlLinearRcvr=0
2.
(1)
root@prplOS:/# ethtool -m gpondef | grep "Option values"
        Option values                             : 0x00 0x00
(2)
root@prplOS:/# value=$( ethtool -m gpondef | grep "Option values" | awk -F'(: )'
 '{print $NF}' | awk '{print $1}' );if [ $(( value &amp; 0x01 )) -gt 0 ]; then echo
"1"; else echo "0"; fi
0
</t>
  </si>
  <si>
    <t>byte 0, bit 0</t>
  </si>
  <si>
    <t>OptlPowerlvl</t>
  </si>
  <si>
    <t>ubus-cli -a "protected; SFPs.Cage.1.SFP.Transceiver.OptlPowerlvl?"</t>
  </si>
  <si>
    <t>1. Run the following commands on the CPE console:
 ubus-cli -a "protected; SFPs.Cage.1.SFP.Transceiver.OptlPowerlvl?"
2. Verify the actual values on the system.
(1) ethtool -m gpondef | grep "Option values"
(2) value=$( ethtool -m gpondef | grep "Option values" | awk -F'(: )' '{print $NF}' | awk '{print $1}' );if [ $(( value &amp; 0x02 )) -gt 0 ]; then echo
"1"; else echo "0"; fi</t>
  </si>
  <si>
    <t xml:space="preserve">1.
root@prplOS:/# ubus-cli -a "protected; SFPs.Cage.1.SFP.Transceiver.OptlPowerlvl?"
&gt; protected
&gt; !addon select mod_ba
&gt; connection access ubus: protected
&gt; !addon select mod_ba cli
&gt; SFPs.Cage.1.SFP.Transceiver.OptlPowerlvl?
SFPs.Cage.1.SFP.Transceiver.OptlPowerlvl=0
2.
(1)
root@prplOS:/# ethtool -m gpondef | grep "Option values"
        Option values                             : 0x00 0x00
(2)
root@prplOS:/# value=$( ethtool -m gpondef | grep "Option values" | awk -F'(: )' '{print $NF}' | awk '{print $1}' );if [ $(( value &amp; 0x02 )) -gt 0 ]; then echo
"1"; else echo "0"; fi
0
</t>
  </si>
  <si>
    <t>byte 0, bit 1</t>
  </si>
  <si>
    <t>ARC:
warn: PRPL post-processing, determine final value.
0 -&gt; 1
1 -&gt; 2
334:    sfp_ethtool_param-&gt;optpwrlvl = (SFF_8472_A0_BYTE_64_POWER_LVL_1 &amp; sfp_ethtool_param-&gt;options[0]) ? true : false;
335-    if(sfp_ethtool_param-&gt;optpwrlvl == POWER_LEVEL_0) {
336-        sfp_ethtool_param-&gt;optpwrlvl = POWER_LEVEL_1;         /* if value is 0 it indicates power level 1 */
337-    } else if(sfp_ethtool_param-&gt;optpwrlvl == POWER_LEVEL_1) {
338-        sfp_ethtool_param-&gt;optpwrlvl = POWER_LEVEL_2;         /* if value is 1 it indicates power level 2 */
339-    } else {
340-        sfp_ethtool_param-&gt;optpwrlvl = POWER_LEVEL_0;
341-    }</t>
  </si>
  <si>
    <t>RateIdentifier</t>
  </si>
  <si>
    <t>ubus-cli -a "protected; SFPs.Cage.1.SFP.Transceiver.RateIdentifier?"</t>
  </si>
  <si>
    <t>1. Run the following commands on the CPE console:
ubus-cli -a "protected; SFPs.Cage.1.SFP.Transceiver.RateIdentifier?"
2. Verify the actual values on the system.
ethtool -m gpondef | grep "Rate identifier"</t>
  </si>
  <si>
    <t>1.
root@prplOS:/# ubus-cli -a "protected; SFPs.Cage.1.SFP.Transceiver.RateIdentifier?"
&gt; protected
&gt; !addon select mod_ba
&gt; connection access ubus: protected
&gt; !addon select mod_ba cli
&gt; SFPs.Cage.1.SFP.Transceiver.RateIdentifier?
SFPs.Cage.1.SFP.Transceiver.RateIdentifier=0
2.
root@prplOS:/# ethtool -m gpondef | grep "Rate identifier"
        Rate identifier                           : 0x00 (unspecified)</t>
  </si>
  <si>
    <t>SFF8079AppSelect</t>
  </si>
  <si>
    <t>ubus-cli -a "protected; SFPs.Cage.1.SFP.Transceiver.SFF8079AppSelect?"</t>
  </si>
  <si>
    <t>1. Run the following commands on the CPE console:
ubus-cli -a "protected; SFPs.Cage.1.SFP.Transceiver.SFF8079AppSelect?"
2. Verify the actual values on the system.
ethtool -m gpondef | grep "Enhanced Options"
3,.
value=$( ethtool -m gpondef | grep "Enhanced Options" | awk '{print $NF}' );if [ $(( value &amp; 0x04 )) -gt 0 ]; then echo "1"; else echo "0"; fi
if [ $(( value &amp; 0x04 )) -gt 0 ]; then echo "1"; else echo "0"; fi</t>
  </si>
  <si>
    <t>1.
root@prplOS:/# ubus-cli -a "protected; SFPs.Cage.1.SFP.Transceiver.SFF8079AppSelect?"
&gt; protected
&gt; !addon select mod_ba
&gt; connection access ubus: protected
&gt; !addon select mod_ba cli
&gt; SFPs.Cage.1.SFP.Transceiver.SFF8079AppSelect?
SFPs.Cage.1.SFP.Transceiver.SFF8079AppSelect=0
2.
root@prplOS:/# ethtool -m gpondef | grep "Enhanced Options"
        Enhanced Options                          : 0xf0
3.
root@prplOS:/# value=$( ethtool -m gpondef | grep "Enhanced Options" | awk '{pri
nt $NF}' );if [ $(( value &amp; 0x04 )) -gt 0 ]; then echo "1"; else echo "0"; fi
 [ $(( value &amp; 0x04 )) -gt 0 ]; then echo "1"; else echo "0"; fi0
root@prplOS:/# if [ $(( value &amp; 0x04 )) -gt 0 ]; then echo "1"; else echo "0"; f
i
0</t>
  </si>
  <si>
    <t>bit 2</t>
  </si>
  <si>
    <t>SFF8431SoftRateSelect</t>
  </si>
  <si>
    <t>ubus-cli -a "protected; SFPs.Cage.1.SFP.Transceiver.SFF8431SoftRateSelect?"</t>
  </si>
  <si>
    <t>1. Run the following commands on the CPE console:
root@prplOS:/# ubus-cli -a "protected; SFPs.Cage.1.SFP.Transceiver.SFF8079AppSelect?"
&gt; protected
&gt; !addon select mod_ba
&gt; connection access ubus: protected
&gt; !addon select mod_ba cli
&gt; SFPs.Cage.1.SFP.Transceiver.SFF8079AppSelect?
SFPs.Cage.1.SFP.Transceiver.SFF8079AppSelect=0
2. Verify the actual values on the system.
ethtool -m gpondef | grep "Enhanced Options"
3.
value=$( ethtool -m gpondef | grep "Enhanced Options" | awk '{print $NF}' );if [ $(( value &amp; 0x02 )) -gt 0 ]; then echo "1"; else echo "0"; fi
if [ $(( value &amp; 0x02 )) -gt 0 ]; then echo "1"; else echo "0"; fi</t>
  </si>
  <si>
    <t>1.
root@prplOS:/# ubus-cli -a "protected; SFPs.Cage.1.SFP.Transceiver.SFF8079AppSelect?"
&gt; protected
&gt; !addon select mod_ba
&gt; connection access ubus: protected
&gt; !addon select mod_ba cli
&gt; SFPs.Cage.1.SFP.Transceiver.SFF8079AppSelect?
SFPs.Cage.1.SFP.Transceiver.SFF8079AppSelect=0
2.
root@prplOS:/# ethtool -m gpondef | grep "Enhanced Options"
        Enhanced Options                          : 0xf0
3.
root@prplOS:/# value=$( ethtool -m gpondef | grep "Enhanced Options" | awk '{pri
nt $NF}' );if [ $(( value &amp; 0x02 )) -gt 0 ]; then echo "1"; else echo "0"; fi
value &amp; 0x02 )) -gt 0 ]; then echo "1"; else echo "0"; fi0
root@prplOS:/# if [ $(( value &amp; 0x02 )) -gt 0 ]; then echo "1"; else echo "0"; f
i
0</t>
  </si>
  <si>
    <t>bit 1, Arca F&amp;G are wrong</t>
  </si>
  <si>
    <t>SFPCategory</t>
  </si>
  <si>
    <t>ubus-cli -a "protected; SFPs.Cage.1.SFP.Transceiver.SFPCategory?"</t>
  </si>
  <si>
    <t>1. Run the following commands on the CPE console:
root@prplOS:/# ubus-cli -a "protected; SFPs.Cage.1.SFP.Transceiver.SFPCategory?"
&gt; protected
&gt; !addon select mod_ba
&gt; connection access ubus: protected
&gt; !addon select mod_ba cli
&gt; SFPs.Cage.1.SFP.Transceiver.SFPCategory?
SFPs.Cage.1.SFP.Transceiver.SFPCategory="SFP_XGSPON"
2. Verify the actual values on the system.
output=$(ethtool -m "gpondef" hex on); \
buffer_6=$(echo "$output" | grep "0x0000:" | awk '{print $8}');\
buffer_6=${buffer_6:-0};\
buffer_12=$(echo "$output" | grep "0x0000:" | awk '{print $14}');\
buffer_12=${buffer_12:-0};\
v_buffer_12=$(printf "%d\n" $(( 0x$buffer_12 )));\
if [ "$buffer_36" == "1C" ]; then \
        sfp_type="SFP_COPPER"; \
fi \
if [ "$buffer_36" == "1C" ]; then \
        sfp_type="SFP_COPPER"; \
fi \
if [ "$buffer_6" == "00" ]; then \
         if [ $v_buffer_12 -ge 12 ] &amp;&amp; [ $v_buffer_12 -le 25 ]; then \
                 sfp_type="SFP_GPON"; \
         elif [ $v_buffer_12 -ge 80 ]; then \
                 sfp_type="SFP_XGPON"; \
         fi \
else \
        sfp_type="SFP_AE"; \
fi \
echo "SFP_TYPE: ${sfp_type}";</t>
  </si>
  <si>
    <t>1.
root@prplOS:/# ubus-cli -a "protected; SFPs.Cage.1.SFP.Transceiver.SFPCategory?"
&gt; protected
&gt; !addon select mod_ba
&gt; connection access ubus: protected
&gt; !addon select mod_ba cli
&gt; SFPs.Cage.1.SFP.Transceiver.SFPCategory?
SFPs.Cage.1.SFP.Transceiver.SFPCategory="SFP_XGSPON"
root@prplOS:/# output=$(ethtool -m "gpondef" hex on); \
e&gt; buffer_6=$(echo "$output" | grep "0x0000:" | awk '{print $8}');\
&gt; buffer_6=${buffer_6:-0};\
&gt; buffer_12=$(echo "$output" | grep "0x0000:" | awk '{print $14}');\
&gt; buffer_12=${buffer_12:-0};\
&gt; v_buffer_12=$(printf "%d\n" $(( 0x$buffer_12 )));\
&gt;
if [ "$buffer_36" == "1C" ]; then \
        sfp_type="SFP_COPPER"; \
fi \
root@prplOS:/# if [ "$buffer_36" == "1C" ]; then \
&gt;         sfp_type="SFP_COPPER"; \
&gt; fi \
&gt;
root@prplOS:/# if [ "$buffer_6" == "00" ]; then \
&gt;         if [ $v_buffer_12 -ge 12 ] &amp;&amp; [ $v_buffer_12 -le 25 ]; then \
&gt;                 sfp_type="SFP_GPON"; \
&gt;         elif [ $v_buffer_12 -ge 80 ]; then \
&gt;                 sfp_type="SFP_XGPON"; \
&gt;         fi \
&gt; else \
&gt;         sfp_type="SFP_AE"; \
&gt; fi \
&gt;
root@prplOS:/# echo "SFP_TYPE: ${sfp_type}";
SFP_TYPE: SFP_XGPON</t>
  </si>
  <si>
    <t>SFPType</t>
  </si>
  <si>
    <t>ubus-cli -a "protected; SFPs.Cage.1.SFP.Transceiver.SFPType?"</t>
  </si>
  <si>
    <t xml:space="preserve">1. Run the following commands on the CPE console:
ubus-cli -a "protected; SFPs.Cage.1.SFP.Transceiver.SFPType?"
2. Verify the actual values on the system.
ethtool -m gpondef | grep Identifier |awk -F'[()]' '/Identifier/ { print $2 }'
</t>
  </si>
  <si>
    <t xml:space="preserve">1.
root@prplOS:/# ubus-cli -a "protected; SFPs.Cage.1.SFP.Transceiver.SFPType?"
&gt; protected
&gt; !addon select mod_ba
&gt; connection access ubus: protected
&gt; !addon select mod_ba cli
&gt; SFPs.Cage.1.SFP.Transceiver.SFPType?
SFPs.Cage.1.SFP.Transceiver.SFPType="SFP"
2.
root@prplOS:~# ethtool -m gpondef | grep Identifier |awk -F'[()]' '/Identifier/ { print $2 }'
SFP
</t>
  </si>
  <si>
    <t>Arca uses another way to grab the data of SFPType. Prpl: ethtool -m gpondef | grep "Identifier"</t>
  </si>
  <si>
    <t>ARC: const char* sfpType = json_string_value(attachType);
BRCM: Hint prpl adopting "Identifier" value by ehtool -m gpondef 
ARC: Fixed
src/sfpmgr_params.c
479-        if(strstr(key, "Identifier") != NULL) {
480:            /* This logic is for SFPType implementation */
481-            const char* start = strchr(value, '(');
482-            const char* end = strchr(value, ')');
483-
484-            if((start != NULL) &amp;&amp; (end != NULL) &amp;&amp; (end &gt; start)) {
485-                /* Copy the content inside the brackets */
486-                size_t length = end - start - 1;
487-                if(length &lt; sizeof(sfp_ethtool_param-&gt;id)) {
488-                    strncpy((char*) sfp_ethtool_param-&gt;id, start + 1, length);
489-                    sfp_ethtool_param-&gt;id[length] = '\0';  /* Null-terminate the string */
490-                }</t>
  </si>
  <si>
    <t>Transceiver</t>
  </si>
  <si>
    <t>ubus-cli -a "protected; SFPs.Cage.1.SFP.Transceiver.Transceiver?"</t>
  </si>
  <si>
    <t>1. Run the following commands on the CPE console:
ubus-cli -a "protected; SFPs.Cage.1.SFP.Transceiver.Transceiver?"
2. Verify the actual values on the system.
ethtool -m gpondef | grep "Transceiver codes"</t>
  </si>
  <si>
    <t xml:space="preserve">1.
root@prplOS:/# ubus-cli -a "protected; SFPs.Cage.1.SFP.Transceiver.Transceiver?"
&gt; protected
&gt; !addon select mod_ba
&gt; connection access ubus: protected
&gt; !addon select mod_ba cli
&gt; SFPs.Cage.1.SFP.Transceiver.Transceiver?
SFPs.Cage.1.SFP.Transceiver.Transceiver="000000000000000000"
2.
root@prplOS:/# ethtool -m gpondef | grep "Transceiver codes"
        Transceiver codes                         : 0x00 0x00 0x00 0x00 0x00 0x00 0x00 0x00 0x00
</t>
  </si>
  <si>
    <t>TransceiverType</t>
  </si>
  <si>
    <t>ubus-cli -a "protected; SFPs.Cage.1.SFP.Transceiver.TransceiverType?"</t>
  </si>
  <si>
    <r>
      <rPr>
        <sz val="9"/>
        <color rgb="FFFF0000"/>
        <rFont val="Calibri"/>
        <scheme val="minor"/>
      </rPr>
      <t xml:space="preserve">SCOPE: GPON/XGSPON SFP
</t>
    </r>
    <r>
      <rPr>
        <sz val="9"/>
        <color rgb="FF000000"/>
        <rFont val="Calibri"/>
        <scheme val="minor"/>
      </rPr>
      <t>1. Run the following commands on the CPE console:
root@prplOS:/# ubus-cli -a "protected; SFPs.Cage.1.SFP.Transceiver.TransceiverType?"
&gt; protected
&gt; !addon select mod_ba
&gt; connection access ubus: protected
&gt; !addon select mod_ba cli
&gt; SFPs.Cage.1.SFP.Transceiver.TransceiverType?
SFPs.Cage.1.SFP.Transceiver.TransceiverType="Unavailable"
2. Check if "Transceiver codes" with all 0x00
ethtool -m gpondef | grep "Transceiver codes"</t>
    </r>
  </si>
  <si>
    <t>1.
root@prplOS:/# ubus-cli -a "protected; SFPs.Cage.1.SFP.Transceiver.TransceiverType?"
&gt; protected
&gt; !addon select mod_ba
&gt; connection access ubus: protected
&gt; !addon select mod_ba cli
&gt; SFPs.Cage.1.SFP.Transceiver.TransceiverType?
SFPs.Cage.1.SFP.Transceiver.TransceiverType="Unavailable"
2.
root@prplOS:/# ethtool -m gpondef | grep "Transceiver codes"
        Transceiver codes                         : 0x00 0x00 0x00 0x00 0x00 0x00 0x00 0x00 0x00</t>
  </si>
  <si>
    <t xml:space="preserve">ethtool -m gpondef | grep "Transceiver type: " | grep  "Ethernet:", if output is empty, show "Unavailable" </t>
  </si>
  <si>
    <t>VendorName</t>
  </si>
  <si>
    <t>ubus-cli -a "protected; SFPs.Cage.1.SFP.Transceiver.VendorName?"</t>
  </si>
  <si>
    <t xml:space="preserve">1. Run the following commands on the CPE console:
root@prplOS:/# ubus-cli -a "protected; SFPs.Cage.1.SFP.Transceiver.VendorName?"
&gt; protected
&gt; !addon select mod_ba
&gt; connection access ubus: protected
&gt; !addon select mod_ba cli
&gt; SFPs.Cage.1.SFP.Transceiver.VendorName?
SFPs.Cage.1.SFP.Transceiver.VendorName="HUMAX Networks"
2. Verify the actual values on the system.
ethtool -m gpondef | grep "Vendor name"
</t>
  </si>
  <si>
    <t xml:space="preserve">1.
root@prplOS:/# ubus-cli -a "protected; SFPs.Cage.1.SFP.Transceiver.VendorName?"
&gt; protected
&gt; !addon select mod_ba
&gt; connection access ubus: protected
&gt; !addon select mod_ba cli
&gt; SFPs.Cage.1.SFP.Transceiver.VendorName?
SFPs.Cage.1.SFP.Transceiver.VendorName="HUMAX Networks"
2.
root@prplOS:/# ethtool -m gpondef | grep "Vendor name"
        Vendor name                               : HUMAX Networks
</t>
  </si>
  <si>
    <t>ubus-cli -a "protected; SFPs.Cage.1.SFP.Transceiver.VendorOUI?"</t>
  </si>
  <si>
    <t>1. Run the following commands on the CPE console:
ubus-cli -a "protected; SFPs.Cage.1.SFP.Transceiver.VendorOUI?"
2. Verify the actual values on the system.
ethtool -m gpondef | grep "Vendor OUI"</t>
  </si>
  <si>
    <t xml:space="preserve">1.
root@prplOS:/# ubus-cli -a "protected; SFPs.Cage.1.SFP.Transceiver.VendorOUI?"
&gt; protected
&gt; !addon select mod_ba
&gt; connection access ubus: protected
&gt; !addon select mod_ba cli
&gt; SFPs.Cage.1.SFP.Transceiver.VendorOUI?
SFPs.Cage.1.SFP.Transceiver.VendorOUI="484D58"
2.
root@prplOS:/# ethtool -m gpondef | grep "Vendor OUI"
        Vendor OUI                                : 48:4d:58
</t>
  </si>
  <si>
    <t>VendorPN</t>
  </si>
  <si>
    <t>ubus-cli -a "protected; SFPs.Cage.1.SFP.Transceiver.VendorPN?"</t>
  </si>
  <si>
    <t xml:space="preserve">1. Run the following commands on the CPE console:
root@prplOS:/# ubus-cli -a "protected; SFPs.Cage.1.SFP.Transceiver.VendorPN?"
&gt; protected
&gt; !addon select mod_ba
&gt; connection access ubus: protected
&gt; !addon select mod_ba cli
&gt; SFPs.Cage.1.SFP.Transceiver.VendorPN?
SFPs.Cage.1.SFP.Transceiver.VendorPN="HNXGSPP-MAAMC"
2. Verify the actual values on the system.
ethtool -m gpondef | grep "Vendor PN"
</t>
  </si>
  <si>
    <t xml:space="preserve">1.
root@prplOS:/# ubus-cli -a "protected; SFPs.Cage.1.SFP.Transceiver.VendorPN?"
&gt; protected
&gt; !addon select mod_ba
&gt; connection access ubus: protected
&gt; !addon select mod_ba cli
&gt; SFPs.Cage.1.SFP.Transceiver.VendorPN?
SFPs.Cage.1.SFP.Transceiver.VendorPN="HNXGSPP-MAAMC"
2.
root@prplOS:/# ethtool -m gpondef | grep "Vendor PN"
        Vendor PN                                 : HNXGSPP-MAAMC
</t>
  </si>
  <si>
    <t>VendorRev</t>
  </si>
  <si>
    <t>ubus-cli -a "protected; SFPs.Cage.1.SFP.Transceiver.VendorRev?"</t>
  </si>
  <si>
    <t>1. Run the following commands on the CPE console:
ubus-cli -a "protected; SFPs.Cage.1.SFP.Transceiver.VendorRev?"
2. Verify the actual values on the system.
ethtool -m gpondef | grep "Vendor rev"</t>
  </si>
  <si>
    <t xml:space="preserve">1.
root@prplOS:/# ubus-cli -a "protected; SFPs.Cage.1.SFP.Transceiver.VendorRev?"
&gt; protected
&gt; !addon select mod_ba
&gt; connection access ubus: protected
&gt; !addon select mod_ba cli
&gt; SFPs.Cage.1.SFP.Transceiver.VendorRev?
SFPs.Cage.1.SFP.Transceiver.VendorRev="V.01"
2.
root@prplOS:/# ethtool -m gpondef | grep "Vendor rev"
        Vendor rev                                : V.01
</t>
  </si>
  <si>
    <t>VendorSN</t>
  </si>
  <si>
    <t>ubus-cli -a "protected; SFPs.Cage.1.SFP.Transceiver.VendorSN?"</t>
  </si>
  <si>
    <t xml:space="preserve">1. Run the following commands on the CPE console:
ubus-cli -a "protected; SFPs.Cage.1.SFP.Transceiver.VendorSN?"
2. Verify the actual values on the system.
ethtool -m gpondef | grep "Vendor SN"
</t>
  </si>
  <si>
    <t xml:space="preserve">1.
root@prplOS:/# ubus-cli -a "protected; SFPs.Cage.1.SFP.Transceiver.VendorSN?"
&gt; protected
&gt; !addon select mod_ba
&gt; connection access ubus: protected
&gt; !addon select mod_ba cli
&gt; SFPs.Cage.1.SFP.Transceiver.VendorSN?
SFPs.Cage.1.SFP.Transceiver.VendorSN="DV90B2534A1768"
2.
root@prplOS:/# ethtool -m gpondef | grep "Vendor SN"
        Vendor SN                                 : DV90B2534A1768
</t>
  </si>
  <si>
    <t>VerCompliance</t>
  </si>
  <si>
    <t>ubus-cli -a "protected; SFPs.Cage.1.SFP.Transceiver.VerCompliance?"</t>
  </si>
  <si>
    <t>1. Run the following commands on the CPE console:
ubus-cli -a "protected; SFPs.Cage.1.SFP.Transceiver.VerCompliance?"
2. Verify the actual values on the system.
ethtool -m gpondef | grep "SFF-8472 Compliance"</t>
  </si>
  <si>
    <t>1.
root@prplOS:/# ubus-cli -a "protected; SFPs.Cage.1.SFP.Transceiver.VerCompliance?"
&gt; protected
&gt; !addon select mod_ba
&gt; connection access ubus: protected
&gt; !addon select mod_ba cli
&gt; SFPs.Cage.1.SFP.Transceiver.VerCompliance?
SFPs.Cage.1.SFP.Transceiver.VerCompliance=5
2.
root@prplOS:/# ethtool -m gpondef | grep "SFF-8472 Compliance"
        SFF-8472 Compliance                       : 0x05</t>
  </si>
  <si>
    <t>Wavelength</t>
  </si>
  <si>
    <t>ubus-cli -a "protected; SFPs.Cage.1.SFP.Transceiver.Wavelength?"</t>
  </si>
  <si>
    <t xml:space="preserve">1. Run the following commands on the CPE console:
ubus-cli -a "protected; SFPs.Cage.1.SFP.Transceiver.Wavelength?"
2. Verify the actual values on the system.
value=$( ethtool -m gpondef | grep "Laser wavelength" | awk -F: '{print $2}' | sed 's|nm||'); \
printf "%hu\n" $(( ( value &gt;&gt; 8 &amp; 0xFF ) * 10  ));
</t>
  </si>
  <si>
    <t xml:space="preserve">1.
root@prplOS:/# ubus-cli -a "protected; SFPs.Cage.1.SFP.Transceiver.Wavelength?"
&gt; protected
&gt; !addon select mod_ba
&gt; connection access ubus: protected
&gt; !addon select mod_ba cli
&gt; SFPs.Cage.1.SFP.Transceiver.Wavelength?
SFPs.Cage.1.SFP.Transceiver.Wavelength=1270
2. 
root@prplOS:/# value=$( ethtool -m gpondef | grep "Laser wavelength" | awk -F: '
{print $2}' | sed 's|nm||'); \
&gt; printf "%hu\n" $(( ( value &gt;&gt; 8 &amp; 0xFF ) * 10  ));
1270
</t>
  </si>
  <si>
    <t>ARC:
src/sfpmgr_params.c
566:        } else if(strstr(key, "Laser wavelength") != NULL) {
567-            sscanf(value, "%hu", &amp;laserWavelength);
568:            /* Split the laser wavelength into 8-bit MSB (wavelength) */
569-            u_int8_t msb = (laserWavelength &gt;&gt; 8) &amp; 0xFF;
570:            /* The wavelength read  is in the units of 10nm.
571-               Converting it to nm by multiplying with 10. */
572-            sfp_ethtool_param-&gt;wave_length[0] = msb * 10;</t>
  </si>
  <si>
    <t>SFPs.Cage.1.SFP.Transceiver.Thresholds.</t>
  </si>
  <si>
    <t>HighRxPowerAlarm</t>
  </si>
  <si>
    <t>ubus-cli -a "protected; SFPs.Cage.1.SFP.Transceiver.Thresholds.HighRxPowerAlarm?"</t>
  </si>
  <si>
    <t xml:space="preserve">1. Run the following commands on the CPE console:
ubus-cli -a "protected; SFPs.Cage.1.SFP.Transceiver.Thresholds.HighRxPowerAlarm?"
2. Verify the actual values on the system.
ethtool -m gpondef | grep "Laser rx power high alarm threshold"
</t>
  </si>
  <si>
    <t>1.
root@prplOS:/f# ubus-cli -a "protected; SFPs.Cage.1.SFP.Transceiver.Thresholds.HighRxPowerAlarm?"
&gt; protected
&gt; !addon select mod_ba
&gt; connection access ubus: protected
&gt; !addon select mod_ba cli
&gt; SFPs.Cage.1.SFP.Transceiver.Thresholds.HighRxPowerAlarm?
SFPs.Cage.1.SFP.Transceiver.Thresholds.HighRxPowerAlarm=-90
2.
root@prplOS:/# ethtool -m gpondef | grep "Laser rx power high alarm threshold"
        Laser rx power high alarm threshold       : 0.1258 mW / -9.00 dBm
'</t>
  </si>
  <si>
    <t xml:space="preserve">ARC:
src/sfpmgr_params.c
294:        } else if(strstr(key, LASER_RX_POWER_HIGH_ALARM_THRESHOLD) != NULL) {
295-            if(sscanf(value, "%*f %*s / %lf %*s", &amp;threshold_power) == 1) {
296-                sfp_ethtool_param-&gt;rx_power_high_alarm = (int16_t) (threshold_power * 10);
297-            }
</t>
  </si>
  <si>
    <t>HighRxPowerWarning</t>
  </si>
  <si>
    <t>ubus-cli -a "protected; SFPs.Cage.1.SFP.Transceiver.Thresholds.HighRxPowerWarning?"</t>
  </si>
  <si>
    <t>1. Run the following commands on the CPE console:
ubus-cli -a "protected; SFPs.Cage.1.SFP.Transceiver.Thresholds.HighRxPowerWarning?"
2. Verify the actual values on the system.
ethtool -m gpondef | grep "Laser rx power high warning threshold"</t>
  </si>
  <si>
    <t xml:space="preserve">1.
root@prplOS:/# ubus-cli -a "protected; SFPs.Cage.1.SFP.Transceiver.Thresholds.HighRxPowerWarning?"
&gt; protected
&gt; !addon select mod_ba
&gt; connection access ubus: protected
&gt; !addon select mod_ba cli
&gt; SFPs.Cage.1.SFP.Transceiver.Thresholds.HighRxPowerWarning?
SFPs.Cage.1.SFP.Transceiver.Thresholds.HighRxPowerWarning=-100
2.
root@prplOS:/# ethtool -m gpondef | grep "Laser rx power high warning threshold"
        Laser rx power high warning threshold     : 0.1000 mW / -10.00 dBm
</t>
  </si>
  <si>
    <t>ARC:
src/sfpmgr_params.c
302:        } else if(strstr(key, LASER_RX_POWER_HIGH_WARNING_THRESHOLD) != NULL) {
303-            if(sscanf(value, "%*f %*s / %lf %*s", &amp;threshold_power) == 1) {
304-                sfp_ethtool_param-&gt;rx_power_high_warning = (int16_t) (threshold_power * 10);
305-            }</t>
  </si>
  <si>
    <t>HighTempAlarm</t>
  </si>
  <si>
    <t>ubus-cli -a "protected; SFPs.Cage.1.SFP.Transceiver.Thresholds.HighTempAlarm?"</t>
  </si>
  <si>
    <t xml:space="preserve">1. Run the following commands on the CPE console:
ubus-cli -a "protected; SFPs.Cage.1.SFP.Transceiver.Thresholds.HighTempAlarm?"
2. Verify the actual values on the system.
ethtool -m gpondef | grep "Module temperature high alarm threshold"
</t>
  </si>
  <si>
    <t xml:space="preserve">1.
root@prplOS:/# ubus-cli -a "protected; SFPs.Cage.1.SFP.Transceiver.Thresholds.HighTempAlarm?"
&gt; protected
&gt; !addon select mod_ba
&gt; connection access ubus: protected
&gt; !addon select mod_ba cli
&gt; SFPs.Cage.1.SFP.Transceiver.Thresholds.HighTempAlarm?
SFPs.Cage.1.SFP.Transceiver.Thresholds.HighTempAlarm=80
2.
root@prplOS:/# ethtool -m gpondef | grep "Module temperature high alarm threshold"
        Module temperature high alarm threshold   : 80.00 degrees C / 176.00 degrees F
</t>
  </si>
  <si>
    <t>HighTempWarning</t>
  </si>
  <si>
    <t>ubus-cli -a "protected; SFPs.Cage.1.SFP.Transceiver.Thresholds.HighTempWarning?"</t>
  </si>
  <si>
    <t xml:space="preserve">1. Run the following commands on the CPE console:
ubus-cli -a "protected; SFPs.Cage.1.SFP.Transceiver.Thresholds.HighTempWarning?"
2. Verify the actual values on the system.
ethtool -m gpondef | grep "Module temperature high warning threshold"
</t>
  </si>
  <si>
    <t xml:space="preserve">1.
root@prplOS:/# ubus-cli -a "protected; SFPs.Cage.1.SFP.Transceiver.Thresholds.HighTempWarning?"
&gt; protected
&gt; !addon select mod_ba
&gt; connection access ubus: protected
&gt; !addon select mod_ba cli
&gt; SFPs.Cage.1.SFP.Transceiver.Thresholds.HighTempWarning?
SFPs.Cage.1.SFP.Transceiver.Thresholds.HighTempWarning=75
2.
root@prplOS:/# ethtool -m gpondef | grep "Module temperature high warning threshold"
        Module temperature high warning threshold : 75.00 degrees C / 167.00 degrees F
</t>
  </si>
  <si>
    <t>HighTxBiasAlarm</t>
  </si>
  <si>
    <t>ubus-cli -a "protected; SFPs.Cage.1.SFP.Transceiver.Thresholds.HighTxBiasAlarm?"</t>
  </si>
  <si>
    <t>1. Run the following commands on the CPE console:
ubus-cli -a "protected; SFPs.Cage.1.SFP.Transceiver.Thresholds.HighTxBiasAlarm?"
2. Verify the actual values on the system.
ethtool -m gpondef | grep "Laser bias current high alarm threshold"</t>
  </si>
  <si>
    <t xml:space="preserve">1.
root@prplOS:/# ubus-cli -a "protected; SFPs.Cage.1.SFP.Transceiver.Thresholds.HighTxBiasAlarm?"
&gt; protected
&gt; !addon select mod_ba
&gt; connection access ubus: protected
&gt; !addon select mod_ba cli
&gt; SFPs.Cage.1.SFP.Transceiver.Thresholds.HighTxBiasAlarm?
SFPs.Cage.1.SFP.Transceiver.Thresholds.HighTxBiasAlarm=500
2.
root@prplOS:/# ethtool -m gpondef | grep "Laser bias current high alarm threshold"
        Laser bias current high alarm threshold   : 50.000 mA
</t>
  </si>
  <si>
    <t>ARC:
src/sfpmgr_params.c
265:        } else if(strstr(key, LASER_BIAS_HIGH_ALARM_THRESHOLD) != NULL) {
266-            sscanf(value, "%hu", &amp;sfp_ethtool_param-&gt;bias_high_alarm);
267-            sfp_ethtool_param-&gt;bias_high_alarm *= 10;</t>
  </si>
  <si>
    <t>HighTxBiasWarning</t>
  </si>
  <si>
    <t>ubus-cli -a "protected; SFPs.Cage.1.SFP.Transceiver.Thresholds.HighTxBiasWarning?"</t>
  </si>
  <si>
    <t xml:space="preserve">1. Run the following commands on the CPE console:
ubus-cli -a "protected; SFPs.Cage.1.SFP.Transceiver.Thresholds.HighTxBiasWarning?"
2. Verify the actual values on the system.
 ethtool -m gpondef | grep "Laser bias current high warning threshold"
</t>
  </si>
  <si>
    <t xml:space="preserve">1.
root@prplOS:/f# ubus-cli -a "protected; SFPs.Cage.1.SFP.Tran
sceiver.Thresholds.HighTxBiasWarning?"
&gt; protected
&gt; !addon select mod_ba
&gt; connection access ubus: protected
&gt; !addon select mod_ba cli
&gt; SFPs.Cage.1.SFP.Transceiver.Thresholds.HighTxBiasWarning?
SFPs.Cage.1.SFP.Transceiver.Thresholds.HighTxBiasWarning=400
2.
root@prplOS:/# ethtool -m gpondef | grep "Laser bias current high warning threshold"
        Laser bias current high warning threshold : 40.000 mA
</t>
  </si>
  <si>
    <t>HighTxPowerAlarm</t>
  </si>
  <si>
    <t>ubus-cli -a "protected; SFPs.Cage.1.SFP.Transceiver.Thresholds.HighTxPowerAlarm?"</t>
  </si>
  <si>
    <t>1. Run the following commands on the CPE console:
ubus-cli -a "protected; SFPs.Cage.1.SFP.Transceiver.Thresholds.HighTxPowerAlarm?"
2. Verify the actual values on the system.
ethtool -m gpondef | grep "Laser output power high alarm threshold"</t>
  </si>
  <si>
    <t xml:space="preserve">1.
root@prplOS:/# ubus-cli -a "protected; SFPs.Cage.1.SFP.Transceiver.Thresholds.HighTxPowerAlarm?"
&gt; protected
&gt; !addon select mod_ba
&gt; connection access ubus: protected
&gt; !addon select mod_ba cli
&gt; SFPs.Cage.1.SFP.Transceiver.Thresholds.HighTxPowerAlarm?
SFPs.Cage.1.SFP.Transceiver.Thresholds.HighTxPowerAlarm=80
2.
root@prplOS:/# ethtool -m gpondef | grep "Laser output power high alarm threshold"
        Laser output power high alarm threshold   : 6.3095 mW / 8.00 dBm
</t>
  </si>
  <si>
    <t>ARC:
src/sfpmgr_params.c
271:        } else if(strstr(key, LASER_BIAS_HIGH_WARNING_THRESHOLD) != NULL) {
272-            sscanf(value, "%hu", &amp;sfp_ethtool_param-&gt;bias_high_warning);
273-            sfp_ethtool_param-&gt;bias_high_warning *= 10;</t>
  </si>
  <si>
    <t>HighTxPowerWarning</t>
  </si>
  <si>
    <t>ubus-cli -a "protected; SFPs.Cage.1.SFP.Transceiver.Thresholds.HighTxPowerWarning?"</t>
  </si>
  <si>
    <t xml:space="preserve">1. Run the following commands on the CPE console:
ubus-cli -a "protected; SFPs.Cage.1.SFP.Transceiver.Thresholds.HighTxPowerWarning?"
2. Verify the actual values on the system.
ethtool -m gpondef | grep "Laser output power high warning threshold"
</t>
  </si>
  <si>
    <t xml:space="preserve">1.
root@prplOS:/# ubus-cli -a "protected; SFPs.Cage.1.SFP.Transceiver.Thresholds.HighTxPowerWarning?"
&gt; protected
&gt; !addon select mod_ba
&gt; connection access ubus: protected
&gt; !addon select mod_ba cli
&gt; SFPs.Cage.1.SFP.Transceiver.Thresholds.HighTxPowerWarning?
SFPs.Cage.1.SFP.Transceiver.Thresholds.HighTxPowerWarning=70
2.
root@prplOS:/# ethtool -m gpondef | grep "Laser output power high warning threshold"
        Laser output power high warning threshold : 5.0118 mW / 7.00 dBm
</t>
  </si>
  <si>
    <t>ARC:
src/sfpmgr_params.c
286:        } else if(strstr(key, LASER_POWER_HIGH_WARNING_THRESHOLD) != NULL) {
287-            if(sscanf(value, "%*f %*s / %lf %*s", &amp;threshold_power) == 1) {
288-                sfp_ethtool_param-&gt;tx_power_high_warning = (int16_t) (threshold_power * 10);
289-            }</t>
  </si>
  <si>
    <t>HighVccAlarm</t>
  </si>
  <si>
    <t>ubus-cli -a "protected; SFPs.Cage.1.SFP.Transceiver.Thresholds.HighVccAlarm?"</t>
  </si>
  <si>
    <t xml:space="preserve">1. Run the following commands on the CPE console:
ubus-cli -a "protected; SFPs.Cage.1.SFP.Transceiver.Thresholds.HighVccAlarm?"
2. Verify the actual values on the system.
 ethtool -m gpondef | grep "Module voltage high alarm threshold"
</t>
  </si>
  <si>
    <t xml:space="preserve">1.
root@prplOS:/# ubus-cli -a "protected; SFPs.Cage.1.SFP.Transceiver.Thresholds.HighVccAlarm?"
&gt; protected
&gt; !addon select mod_ba
&gt; connection access ubus: protected
&gt; !addon select mod_ba cli
&gt; SFPs.Cage.1.SFP.Transceiver.Thresholds.HighVccAlarm?
SFPs.Cage.1.SFP.Transceiver.Thresholds.HighVccAlarm=3
2.
root@prplOS:/# ethtool -m gpondef | grep "Module voltage high alarm threshold"
        Module voltage high alarm threshold       : 3.6000 V
</t>
  </si>
  <si>
    <t>truncate ethtool value</t>
  </si>
  <si>
    <t>ARC:
257:        } else if(strstr(key, MODULE_VOLT_HIGH_ALARM_THRESHOLD) != NULL) {
258-            sscanf(value, "%hu", &amp;sfp_ethtool_param-&gt;volt_high_alarm);</t>
  </si>
  <si>
    <t>HighVccWarning</t>
  </si>
  <si>
    <t>ubus-cli -a "protected; SFPs.Cage.1.SFP.Transceiver.Thresholds.HighVccWarning?"</t>
  </si>
  <si>
    <t xml:space="preserve">1. Run the following commands on the CPE console:
ubus-cli -a "protected; SFPs.Cage.1.SFP.Transceiver.Thresholds.HighVccWarning?"
2. Verify the actual values on the system.
ethtool -m gpondef | grep "Module voltage high warning threshold"
</t>
  </si>
  <si>
    <t xml:space="preserve">1.
root@prplOS:/# ubus-cli -a "protected; SFPs.Cage.1.SFP.Transceiver.Thresholds.HighVccWarning?"
&gt; protected
&gt; !addon select mod_ba
&gt; connection access ubus: protected
&gt; !addon select mod_ba cli
&gt; SFPs.Cage.1.SFP.Transceiver.Thresholds.HighVccWarning?
SFPs.Cage.1.SFP.Transceiver.Thresholds.HighVccWarning=3
2.
root@prplOS:/# ethtool -m gpondef | grep "Module voltage high warning threshold"
        Module voltage high warning threshold     : 3.4700 V
</t>
  </si>
  <si>
    <t>ARC:
src/sfpmgr_params.c
261:        } else if(strstr(key, MODULE_VOLT_HIGH_WARNING_THRESHOLD) != NULL) {
262-            sscanf(value, "%hu", &amp;sfp_ethtool_param-&gt;volt_high_warning);</t>
  </si>
  <si>
    <t>LowRxPowerAlarm</t>
  </si>
  <si>
    <t>ubus-cli -a "protected; SFPs.Cage.1.SFP.Transceiver.Thresholds.LowRxPowerAlarm?"</t>
  </si>
  <si>
    <t xml:space="preserve">1. Run the following commands on the CPE console:
ubus-cli -a "protected; SFPs.Cage.1.SFP.Transceiver.Thresholds.LowRxPowerAlarm?"
2. Verify the actual values on the system.
ethtool -m gpondef | grep "Laser rx power low alarm threshold"
</t>
  </si>
  <si>
    <t xml:space="preserve">1.
root@prplOS:/# ubus-cli -a "protected; SFPs.Cage.1.SFP.Transceiver.Thresholds.LowRxPowerAlarm?"
&gt; protected
&gt; !addon select mod_ba
&gt; connection access ubus: protected
&gt; !addon select mod_ba cli
&gt; SFPs.Cage.1.SFP.Transceiver.Thresholds.LowRxPowerAlarm?
SFPs.Cage.1.SFP.Transceiver.Thresholds.LowRxPowerAlarm=-295
2.
root@prplOS:/# ethtool -m gpondef | grep "Laser rx power low alarm threshold"
        Laser rx power low alarm threshold        : 0.0011 mW / -29.59 dBm
</t>
  </si>
  <si>
    <t>ARC:
src/sfpmgr_params.c
298:        } else if(strstr(key, LASER_RX_POWER_LOW_ALARM_THRESHOLD) != NULL) {
299-            if(sscanf(value, "%*f %*s / %lf %*s", &amp;threshold_power) == 1) {
300-                sfp_ethtool_param-&gt;rx_power_low_alarm = (int16_t) (threshold_power * 10);
301-            }</t>
  </si>
  <si>
    <t>LowRxPowerWarning</t>
  </si>
  <si>
    <t>ubus-cli -a "protected; SFPs.Cage.1.SFP.Transceiver.Thresholds.LowRxPowerWarning?"</t>
  </si>
  <si>
    <t xml:space="preserve">1. Run the following commands on the CPE console:
ubus-cli -a "protected; SFPs.Cage.1.SFP.Transceiver.Thresholds.LowRxPowerWarning?"
2. Verify the actual values on the system.
ethtool -m gpondef | grep "Laser rx power low warning threshold"
</t>
  </si>
  <si>
    <t xml:space="preserve">1.
root@prplOS:/# ubus-cli -a "protected; SFPs.Cage.1.SFP.Transceiver.Thresholds.LowRxPowerWarning?"
&gt; protected
&gt; !addon select mod_ba
&gt; connection access ubus: protected
&gt; !addon select mod_ba cli
&gt; SFPs.Cage.1.SFP.Transceiver.Thresholds.LowRxPowerWarning?
SFPs.Cage.1.SFP.Transceiver.Thresholds.LowRxPowerWarning=-292
2.
root@prplOS:/# ethtool -m gpondef | grep "Laser rx power low warning threshold"
        Laser rx power low warning threshold      : 0.0012 mW / -29.21 dBm
</t>
  </si>
  <si>
    <t>ARC:
src/sfpmgr_params.c
306:        } else if(strstr(key, LASER_RX_POWER_LOW_WARNING_THRESHOLD) != NULL) {
307-            if(sscanf(value, "%*f %*s / %lf %*s", &amp;threshold_power) == 1) {
308-                sfp_ethtool_param-&gt;rx_power_low_warning = (int16_t) (threshold_power * 10);
309-            }
310-        }</t>
  </si>
  <si>
    <t>LowTempAlarm</t>
  </si>
  <si>
    <t>ubus-cli -a "protected; SFPs.Cage.1.SFP.Transceiver.Thresholds.LowTempAlarm?"</t>
  </si>
  <si>
    <t xml:space="preserve">1. Run the following commands on the CPE console:
ubus-cli -a "protected; SFPs.Cage.1.SFP.Transceiver.Thresholds.LowTempAlarm?"
2. Verify the actual values on the system.
ethtool -m gpondef | grep "Module temperature low alarm threshold"
</t>
  </si>
  <si>
    <t xml:space="preserve">1.
root@prplOS:/# ubus-cli -a "protected; SFPs.Cage.1.SFP.Transceiver.Thresholds.LowTempAlarm?"
&gt; protected
&gt; !addon select mod_ba
&gt; connection access ubus: protected
&gt; !addon select mod_ba cli
&gt; SFPs.Cage.1.SFP.Transceiver.Thresholds.LowTempAlarm?
SFPs.Cage.1.SFP.Transceiver.Thresholds.LowTempAlarm=-10
2.
root@prplOS:/# ethtool -m gpondef | grep "Module temperature low alarm threshold"
        Module temperature low alarm threshold    : -10.00 degrees C / 14.00 degrees F
</t>
  </si>
  <si>
    <t>LowTempWarning</t>
  </si>
  <si>
    <t>ubus-cli -a "protected; SFPs.Cage.1.SFP.Transceiver.Thresholds.LowTempWarning?"</t>
  </si>
  <si>
    <t xml:space="preserve">1. Run the following commands on the CPE console:
ubus-cli -a "protected; SFPs.Cage.1.SFP.Transceiver.Thresholds.LowTempWarning?"
2. Verify the actual values on the system.
ethtool -m gpondef | grep "Module temperature low warning threshold"
</t>
  </si>
  <si>
    <t xml:space="preserve">1.
root@prplOS:/# ubus-cli -a "protected; SFPs.Cage.1.SFP.Transceiver.Thresholds.LowTempWarning?"
&gt; protected
&gt; !addon select mod_ba
&gt; connection access ubus: protected
&gt; !addon select mod_ba cli
&gt; SFPs.Cage.1.SFP.Transceiver.Thresholds.LowTempWarning?
SFPs.Cage.1.SFP.Transceiver.Thresholds.LowTempWarning=-5
2.
root@prplOS:/# ethtool -m gpondef | grep "Module temperature low warning threshold"
        Module temperature low warning threshold  : -5.00 degrees C / 23.00 degrees F
</t>
  </si>
  <si>
    <t>LowTxBiasAlarm</t>
  </si>
  <si>
    <t>ubus-cli -a "protected; SFPs.Cage.1.SFP.Transceiver.Thresholds.LowTxBiasAlarm?"</t>
  </si>
  <si>
    <t xml:space="preserve">1. Run the following commands on the CPE console:
ubus-cli -a "protected; SFPs.Cage.1.SFP.Transceiver.Thresholds.LowTxBiasAlarm?"
2. Verify the actual values on the system.
ethtool -m gpondef | grep "Laser bias current low alarm threshold"
</t>
  </si>
  <si>
    <t xml:space="preserve">1.
root@prplOS:/# ubus-cli -a "protected; SFPs.Cage.1.SFP.Transceiver.Thresholds.LowTxBiasAlarm?"
&gt; protected
&gt; !addon select mod_ba
&gt; connection access ubus: protected
&gt; !addon select mod_ba cli
&gt; SFPs.Cage.1.SFP.Transceiver.Thresholds.LowTxBiasAlarm?
SFPs.Cage.1.SFP.Transceiver.Thresholds.LowTxBiasAlarm=0
root@prplOS:/# ethtool -m gpondef | grep "Laser bias current low alarm threshold"
        Laser bias current low alarm threshold    : 0.000 mA
</t>
  </si>
  <si>
    <t>LowTxBiasWarning</t>
  </si>
  <si>
    <t>ubus-cli -a "protected; SFPs.Cage.1.SFP.Transceiver.Thresholds.LowTxBiasWarning?"</t>
  </si>
  <si>
    <t xml:space="preserve">1. Run the following commands on the CPE console:
ubus-cli -a "protected; SFPs.Cage.1.SFP.Transceiver.Thresholds.LowTxBiasWarning?"
2. Verify the actual values on the system.
ethtool -m gpondef | grep "Laser bias current low warning threshold"
</t>
  </si>
  <si>
    <t xml:space="preserve">1.
root@prplOS:/# ubus-cli -a "protected; SFPs.Cage.1.SFP.Transceiver.Thresholds.LowTxBiasWarning?"
&gt; protected
&gt; !addon select mod_ba
&gt; connection access ubus: protected
&gt; !addon select mod_ba cli
&gt; SFPs.Cage.1.SFP.Transceiver.Thresholds.LowTxBiasWarning?
SFPs.Cage.1.SFP.Transceiver.Thresholds.LowTxBiasWarning=0
2.
root@prplOS:/# ethtool -m gpondef | grep "Laser bias current low warning threshold"
        Laser bias current low warning threshold  : 0.000 mA
</t>
  </si>
  <si>
    <t>LowTxPowerAlarm</t>
  </si>
  <si>
    <t>ubus-cli -a "protected; SFPs.Cage.1.SFP.Transceiver.Thresholds.LowTxPowerAlarm?"</t>
  </si>
  <si>
    <t xml:space="preserve">1. Run the following commands on the CPE console:
ubus-cli -a "protected; SFPs.Cage.1.SFP.Transceiver.Thresholds.LowTxPowerAlarm?"
2. Verify the actual values on the system.
ethtool -m gpondef | grep "Laser output power low alarm threshold"
</t>
  </si>
  <si>
    <t>1.
root@prplOS:/# ubus-cli -a "protected; SFPs.Cage.1.SFP.Transceiver.Thresholds.Lo
wTxPowerAlarm?"
&gt; protected
&gt; !addon select mod_ba
&gt; connection access ubus: protected
&gt; !addon select mod_ba cli
&gt; SFPs.Cage.1.SFP.Transceiver.Thresholds.LowTxPowerAlarm?
SFPs.Cage.1.SFP.Transceiver.Thresholds.LowTxPowerAlarm=30
2.
root@prplOS:/# ethtool -m gpondef | grep "Laser output power low alarm threshold"
        Laser output power low alarm threshold    : 1.9952 mW / 3.00 dBm</t>
  </si>
  <si>
    <t>ARC:
src/sfpmgr_params.c
282:        } else if(strstr(key, LASER_POWER_LOW_ALARM_THRESHOLD) != NULL) {
283-            if(sscanf(value, "%*f %*s / %lf %*s", &amp;threshold_power) == 1) {
284-                sfp_ethtool_param-&gt;tx_power_low_alarm = (int16_t) (threshold_power * 10);
285-            }</t>
  </si>
  <si>
    <t>LowTxPowerWarning</t>
  </si>
  <si>
    <t>ubus-cli -a "protected; SFPs.Cage.1.SFP.Transceiver.Thresholds.LowTxPowerWarning?"</t>
  </si>
  <si>
    <t xml:space="preserve">1. Run the following commands on the CPE console:
ubus-cli -a "protected; SFPs.Cage.1.SFP.Transceiver.Thresholds.LowTxPowerWarning?"
2. Verify the actual values on the system.
ethtool -m gpondef | grep "Laser output power low warning threshold"
</t>
  </si>
  <si>
    <t>1.
root@prplOS:/# ubus-cli -a "protected; SFPs.Cage.1.SFP.Transceiver.Thresholds.Lo
wTxPowerWarning?"
&gt; protected
&gt; !addon select mod_ba
&gt; connection access ubus: protected
&gt; !addon select mod_ba cli
&gt; SFPs.Cage.1.SFP.Transceiver.Thresholds.LowTxPowerWarning?
SFPs.Cage.1.SFP.Transceiver.Thresholds.LowTxPowerWarning=40
2.
root@prplOS:/# ethtool -m gpondef | grep "Laser output power low warning threshold"
        Laser output power low warning threshold  : 2.5118 mW / 4.00 dBm</t>
  </si>
  <si>
    <t>LowVccAlarm</t>
  </si>
  <si>
    <t>ubus-cli -a "protected; SFPs.Cage.1.SFP.Transceiver.Thresholds.LowVccAlarm?"</t>
  </si>
  <si>
    <t xml:space="preserve">1. Run the following commands on the CPE console:
ubus-cli -a "protected; SFPs.Cage.1.SFP.Transceiver.Thresholds.LowVccAlarm?"
2. Verify the actual values on the system.
ethtool -m gpondef | grep "Module voltage low alarm threshold"
</t>
  </si>
  <si>
    <t xml:space="preserve">1.
root@prplOS:/# ubus-cli -a "protected; SFPs.Cage.1.SFP.Transceiver.Thresholds.LowVccAlarm?"
&gt; protected
&gt; !addon select mod_ba
&gt; connection access ubus: protected
&gt; !addon select mod_ba cli
&gt; SFPs.Cage.1.SFP.Transceiver.Thresholds.LowVccAlarm?
SFPs.Cage.1.SFP.Transceiver.Thresholds.LowVccAlarm=3
2.
root@prplOS:/# ethtool -m gpondef | grep "Module voltage low alarm threshold"
        Module voltage low alarm threshold        : 3.0000 V
</t>
  </si>
  <si>
    <t>LowVccWarning</t>
  </si>
  <si>
    <t>ubus-cli -a "protected; SFPs.Cage.1.SFP.Transceiver.Thresholds.LowVccWarning?"</t>
  </si>
  <si>
    <t xml:space="preserve">1. Run the following commands on the CPE console:
root@prplOS:/# ubus-cli -a "protected; SFPs.Cage.1.SFP.Transceiver.Thresholds.LowVccWarning?"
2. Verify the actual values on the system.
ethtool -m gpondef | grep "Module voltage low warning threshold"
</t>
  </si>
  <si>
    <t>1.
root@prplOS:/# ubus-cli -a "protected; SFPs.Cage.1.SFP.Transceiver.Thresholds.Lo
wVccAlarm?"
&gt; protected
&gt; !addon select mod_ba
&gt; connection access ubus: protected
&gt; !addon select mod_ba cli
&gt; SFPs.Cage.1.SFP.Transceiver.Thresholds.LowVccAlarm?
SFPs.Cage.1.SFP.Transceiver.Thresholds.LowVccAlarm=2
2.
root@prplOS:/# ethtool -m gpondef | grep "Module voltage low alarm threshold"
        Module voltage low alarm threshold        : 2.9700 V</t>
  </si>
  <si>
    <t>truncated</t>
  </si>
  <si>
    <t>ARC:
src/sfpmgr_params.c
263:        } else if(strstr(key, MODULE_VOLT_LOW_WARNING_THRESHOLD) != NULL) {
264-            sscanf(value, "%hu", &amp;sfp_ethtool_param-&gt;volt_low_warning);</t>
  </si>
  <si>
    <t>SFPs.Cage.1.SFP.Transceiver.Status.</t>
  </si>
  <si>
    <t>DataReadyBarState</t>
  </si>
  <si>
    <t>ubus-cli -a "protected; SFPs.Cage.1.SFP.Transceiver.Status.DataReadyBarState?"</t>
  </si>
  <si>
    <t>1. Run the following commands on the CPE console:
ubus-cli -a "protected; SFPs.Cage.1.SFP.Transceiver.Status.DataReadyBarState?"
2. Verify the actual values on the system.
(1)ethtool -m gpondef | grep "Optional Status/Control Bits"
(2)value=$(  ethtool -m gpondef | grep "Optional Status/Control Bits" | awk -F'(: )' '{print $NF}' | awk '{print $1}' ); \
if [ $(( value &amp; 0x01 )) -gt 0 ]; then echo "1"; else echo "0"; fi</t>
  </si>
  <si>
    <t>1.
root@prplOS:/# ubus-cli -a "protected; SFPs.Cage.1.SFP.Transceiver.Status.DataRe
adyBarState?"
&gt; protected
&gt; !addon select mod_ba
&gt; connection access ubus: protected
&gt; !addon select mod_ba cli
&gt; SFPs.Cage.1.SFP.Transceiver.Status.DataReadyBarState?
SFPs.Cage.1.SFP.Transceiver.Status.DataReadyBarState=0
2.
(1) root@prplOS:/# ethtool -m gpondef | grep "Optional Status/Control Bits"
        Optional Status/Control Bits              : 0x00
(2) root@prplOS:/# value=$(  ethtool -m gpondef | grep "Optional Status/Control Bits
" | awk -F'(: )' '{print $NF}' | awk '{print $1}' ); \
&gt; if [ $(( value &amp; 0x01 )) -gt 0 ]; then echo "1"; else echo "0"; fi
0</t>
  </si>
  <si>
    <t>bit 0</t>
  </si>
  <si>
    <t>RS1State</t>
  </si>
  <si>
    <t>ubus-cli -a "protected; SFPs.Cage.1.SFP.Transceiver.Status.RS1State?"</t>
  </si>
  <si>
    <t xml:space="preserve">1. Run the following commands on the CPE console:
ubus-cli -a "protected; SFPs.Cage.1.SFP.Transceiver.Status.RS1State?"
2. Verify the actual values on the system.
(1) ethtool -m gpondef | grep "Optional Status/Control Bits"
(2) value=$(  ethtool -m gpondef | grep "Optional Status/Control Bits" | awk -F'(: )' '{print $NF}' | awk '{print $1}' ); \
if [ $(( value &amp; 0x20 )) -gt 0 ]; then echo "1"; else echo "0"; fi
</t>
  </si>
  <si>
    <t>1.
root@prplOS:/# ubus-cli -a "protected; SFPs.Cage.1.SFP.Transceiver.Status.RS1Sta
te?"
&gt; protected
&gt; !addon select mod_ba
&gt; connection access ubus: protected
&gt; !addon select mod_ba cli
&gt; SFPs.Cage.1.SFP.Transceiver.Status.RS1State?
SFPs.Cage.1.SFP.Transceiver.Status.RS1State=0
2.
(1) root@prplOS:/# ethtool -m gpondef | grep "Optional Status/Control Bits"
        Optional Status/Control Bits              : 0x00
(2) root@prplOS:/#  value=$(  ethtool -m gpondef | grep "Optional Status/Control Bit
s" | awk -F'(: )' '{print $NF}' | awk '{print $1}' ); \
&gt; if [ $(( value &amp; 0x20 )) -gt 0 ]; then echo "1"; else echo "0"; fi
0</t>
  </si>
  <si>
    <t>RateSelectState</t>
  </si>
  <si>
    <t>ubus-cli -a "protected; SFPs.Cage.1.SFP.Transceiver.Status.RateSelectState?"</t>
  </si>
  <si>
    <t xml:space="preserve">1. Run the following commands on the CPE console:
ubus-cli -a "protected; SFPs.Cage.1.SFP.Transceiver.Status.RateSelectState?"
2. Verify the actual values on the system.
(1) ethtool -m gpondef | grep "Optional Status/Control Bits"
(2) value=$(  ethtool -m gpondef | grep "Optional Status/Control Bits" | awk -F'(: )' '{print $NF}' | awk '{print $1}' ); \
if [ $(( value &amp; 0x10 )) -gt 0 ]; then echo "1"; else echo "0"; fi
</t>
  </si>
  <si>
    <t>1.
root@prplOS:/# ubus-cli -a "protected; SFPs.Cage.1.SFP.Transceiver.Status.RateSe
lectState?"
&gt; protected
&gt; !addon select mod_ba
&gt; connection access ubus: protected
&gt; !addon select mod_ba cli
&gt; SFPs.Cage.1.SFP.Transceiver.Status.RateSelectState?
SFPs.Cage.1.SFP.Transceiver.Status.RateSelectState=0
2.
(1) root@prplOS:/# ethtool -m gpondef | grep "Optional Status/Control Bits"
        Optional Status/Control Bits              : 0x00
(2) root@prplOS:/# value=$(  ethtool -m gpondef | grep "Optional Status/Control Bits
" | awk -F'(: )' '{print $NF}' | awk '{print $1}' ); \
&gt; if [ $(( value &amp; 0x10 )) -gt 0 ]; then echo "1"; else echo "0"; fi
0</t>
  </si>
  <si>
    <t>RxLOSState</t>
  </si>
  <si>
    <t>ubus-cli -a "protected; SFPs.Cage.1.SFP.Transceiver.Status.RxLOSState?"</t>
  </si>
  <si>
    <t xml:space="preserve">1. Run the following commands on the CPE console:
ubus-cli -a "protected; SFPs.Cage.1.SFP.Transceiver.Status.RxLOSState?"
2. Verify the actual values on the system.
(1) ethtool -m gpondef | grep "Optional Status/Control Bits"
(2) value=$(  ethtool -m gpondef | grep "Optional Status/Control Bits" | awk -F'(: )' '{print $NF}' | awk '{print $1}' ); \
if [ $(( value &amp; 0x02 )) -gt 0 ]; then echo "1"; else echo "0"; fi
</t>
  </si>
  <si>
    <t>1.
root@prplOS:/# ubus-cli -a "protected; SFPs.Cage.1.SFP.Transceiver.Status.RxLOSS
tate?"
&gt; protected
&gt; !addon select mod_ba
&gt; connection access ubus: protected
&gt; !addon select mod_ba cli
&gt; SFPs.Cage.1.SFP.Transceiver.Status.RxLOSState?
SFPs.Cage.1.SFP.Transceiver.Status.RxLOSState=0
2.
(1) root@prplOS:/# ethtool -m gpondef | grep "Optional Status/Control Bits"
        Optional Status/Control Bits              : 0x00
(2) root@prplOS:/# value=$(  ethtool -m gpondef | grep "Optional Status/Control Bits
" | awk -F'(: )' '{print $NF}' | awk '{print $1}' ); \
&gt; if [ $(( value &amp; 0x02 )) -gt 0 ]; then echo "1"; else echo "0"; fi
0</t>
  </si>
  <si>
    <t>bit 1</t>
  </si>
  <si>
    <t>ubus-cli -a "protected; SFPs.Cage.1.SFP.Transceiver.Status.RxPower?"</t>
  </si>
  <si>
    <t xml:space="preserve">1. Run the following commands on the CPE console:
ubus-cli -a "protected; SFPs.Cage.1.SFP.Transceiver.Status.RxPower?"
2. Verify the actual values on the system.
ethtool -m gpondef | grep "Receiver signal average optical power"
</t>
  </si>
  <si>
    <t xml:space="preserve">1.
root@prplOS:/# ubus-cli -a "protected; SFPs.Cage.1.SFP.Transceiver.Status.RxPowe
r?"
&gt; protected
&gt; !addon select mod_ba
&gt; connection access ubus: protected
&gt; !addon select mod_ba cli
&gt; SFPs.Cage.1.SFP.Transceiver.Status.RxPower?
SFPs.Cage.1.SFP.Transceiver.Status.RxPower=-288
2.
root@prplOS:/# ethtool -m gpondef | grep "Receiver signal average optical power"
        Receiver signal average optical power     : 0.0013 mW / -28.86 dBm
</t>
  </si>
  <si>
    <t>ARC:
src/sfpmgr_params.c
206:        } else if(strncmp(key, RECEIVER_SIGNAL_AVG_OPTICAL_POWER, strlen(key)) == 0) {
207-            float rxpower = 0;
208-            if(sscanf(value, "%*f %*s / %f %*s", &amp;rxpower) != 1) {
209-                SAH_TRACEZ_ERROR(ME, "sscanf failed for '%s'", value);
210-            } else {
211-                sfp_ethtool_param-&gt;rx_power = rxpower * 10; /* converted rxpower in .1 db */
212-            }</t>
  </si>
  <si>
    <t>SoftRateSelectSelect</t>
  </si>
  <si>
    <t>ubus-cli -a "protected; SFPs.Cage.1.SFP.Transceiver.Status.SoftRateSelectSelect?"</t>
  </si>
  <si>
    <t xml:space="preserve">1. Run the following commands on the CPE console:
ubus-cli -a "protected; SFPs.Cage.1.SFP.Transceiver.Status.SoftRateSelectSelect?"
2. Verify the actual values on the system.
(1) ethtool -m gpondef | grep "Enhanced Options"
(2) value=$( ethtool -m gpondef | grep "Enhanced Options" | awk '{print $NF}' )
if [ $(( value &amp; 0x02 )) -gt 0 ]; then echo "1"; else echo "0"; fi
</t>
  </si>
  <si>
    <t xml:space="preserve">1.
root@prplOS:/# ubus-cli -a "protected; SFPs.Cage.1.SFP.Transceiver.Status.SoftRa
teSelectSelect?"
&gt; protected
&gt; !addon select mod_ba
&gt; connection access ubus: protected
&gt; !addon select mod_ba cli
&gt; SFPs.Cage.1.SFP.Transceiver.Status.SoftRateSelectSelect?
SFPs.Cage.1.SFP.Transceiver.Status.SoftRateSelectSelect=0
2.
(1) root@prplOS:/# ethtool -m gpondef | grep "Enhanced Options"
        Enhanced Options                          : 0xf0
(2) root@prplOS:/# value=$( ethtool -m gpondef | grep "Enhanced Options" | awk '{pri
nt $NF}' )
if [ $(( value &amp; 0x02 )) -gt 0 ]; then echo "1"; else echo "0"; firoot@prplOS:/# if [ $(( value &amp; 0x02 )) -gt 0 ]; then echo "1"; else echo "0"; f
i
0
</t>
  </si>
  <si>
    <t>SoftTxDisableSelect</t>
  </si>
  <si>
    <t>ubus-cli -a "protected; SFPs.Cage.1.SFP.Transceiver.Status.SoftTxDisableSelect?"</t>
  </si>
  <si>
    <t xml:space="preserve">1. Run the following commands on the CPE console:
ubus-cli -a "protected; SFPs.Cage.1.SFP.Transceiver.Status.SoftTxDisableSelect?"
2. Verify the actual values on the system.
(1) ethtool -m gpondef | grep "Enhanced Options"
(2) value=$( ethtool -m gpondef | grep "Enhanced Options" | awk '{print $NF}' )
if [ $(( value &amp; 0x40 )) -gt 0 ]; then echo "1"; else echo "0"; fi
</t>
  </si>
  <si>
    <t>1.
root@prplOS:/# ubus-cli -a "protected; SFPs.Cage.1.SFP.Transceiver.Status.SoftTx
DisableSelect?"
&gt; protected
&gt; !addon select mod_ba
&gt; connection access ubus: protected
&gt; !addon select mod_ba cli
&gt; SFPs.Cage.1.SFP.Transceiver.Status.SoftTxDisableSelect?
SFPs.Cage.1.SFP.Transceiver.Status.SoftTxDisableSelect=1
2.
(1) root@prplOS:/# ethtool -m gpondef | grep "Enhanced Options"
        Enhanced Options                          : 0xf0
(2) root@prplOS:/#  value=$( ethtool -m gpondef | grep "Enhanced Options" | awk '{pr
int $NF}' )
if [ $(( value &amp; 0x40 )) -gt 0 ]; then echo "1"; else echo "0"; firoot@prplOS:/# if [ $(( value &amp; 0x40 )) -gt 0 ]; then echo "1"; else echo "0"; f
i
1</t>
  </si>
  <si>
    <t>TXFaultState</t>
  </si>
  <si>
    <t>ubus-cli -a "protected; SFPs.Cage.1.SFP.Transceiver.Status.TXFaultState?"</t>
  </si>
  <si>
    <t xml:space="preserve">1. Run the following commands on the CPE console:
ubus-cli -a "protected; SFPs.Cage.1.SFP.Transceiver.Status.TXFaultState?"
2. Verify the actual values on the system.
(1) ethtool -m gpondef | grep "Optional Status/Control Bits"
(2) value=$(  ethtool -m gpondef | grep "Optional Status/Control Bits" | awk -F'(: )' '{print $NF}' | awk '{print $1}' )
if [ $(( value &amp; 0x04 )) -gt 0 ]; then echo "1"; else echo "0"; fi
</t>
  </si>
  <si>
    <t>1.
root@prplOS:/# ubus-cli -a "protected; SFPs.Cage.1.SFP.Transceiver.Status.TXFaul
tState?"
&gt; protected
&gt; !addon select mod_ba
&gt; connection access ubus: protected
&gt; !addon select mod_ba cli
&gt; SFPs.Cage.1.SFP.Transceiver.Status.TXFaultState?
SFPs.Cage.1.SFP.Transceiver.Status.TXFaultState=0
2.
(1) root@prplOS:/# ethtool -m gpondef | grep "Optional Status/Control Bits"
        Optional Status/Control Bits              : 0x00
(2) root@prplOS:/# value=$(  ethtool -m gpondef | grep "Optional Status/Control Bits
" | awk -F'(: )' '{print $NF}' | awk '{print $1}' )
if [ $(( value &amp; 0x04 )) -gt 0 ]; then echo "1"; else echo "0"; firoot@prplOS:/# if [ $(( value &amp; 0x04 )) -gt 0 ]; then echo "1"; else echo "0"; f
i
0</t>
  </si>
  <si>
    <t>ubus-cli -a "protected; SFPs.Cage.1.SFP.Transceiver.Status.Temperature?"</t>
  </si>
  <si>
    <t xml:space="preserve">1. Run the following commands on the CPE console:
ubus-cli -a "protected; SFPs.Cage.1.SFP.Transceiver.Status.Temperature?"
2. Verify the actual values on the system.
ethtool -m gpondef | grep "Module temperature"
</t>
  </si>
  <si>
    <t xml:space="preserve">1.
root@prplOS:/# ubus-cli -a "protected; SFPs.Cage.1.SFP.Transceiver.Status.Temper
ature?"
&gt; protected
&gt; !addon select mod_ba
&gt; connection access ubus: protected
&gt; !addon select mod_ba cli
&gt; SFPs.Cage.1.SFP.Transceiver.Status.Temperature?
SFPs.Cage.1.SFP.Transceiver.Status.Temperature=40
2.
root@prplOS:/# ethtool -m gpondef | grep "Module temperature"
        Module temperature                        : 40.79 degrees C / 105.42 degrees F
        Module temperature high alarm             : Off
        Module temperature low alarm              : Off
        Module temperature high warning           : Off
        Module temperature low warning            : Off
        Module temperature high alarm threshold   : 80.00 degrees C / 176.00 degrees F
        Module temperature low alarm threshold    : -10.00 degrees C / 14.00 degrees F
        Module temperature high warning threshold : 75.00 degrees C / 167.00 degrees F
        Module temperature low warning threshold  : -5.00 degrees C / 23.00 degrees F
</t>
  </si>
  <si>
    <t xml:space="preserve">ARC:
src/sfpmgr_params.c
213:        } else if(strncmp(key, MODULE_TEMPERATURE, strlen(key)) == 0) {
214-            float temperature = 0;
215-            sscanf(value, "%f", &amp;temperature);
216-            sfp_ethtool_param-&gt;temperature = (int16_t) temperature; /* Celsius */
src/sfpmgr_polldiag.c
56:#define SFPMGR_SFP_DIAG_POLL_TIMEOUT    2000 /*ms */
@brief Periodically polls and updates the SFP cage and transceiver status.
85:    amxp_timer_start(timer, SFPMGR_SFP_DIAG_POLL_TIMEOUT);
</t>
  </si>
  <si>
    <t>TxBias</t>
  </si>
  <si>
    <t>ubus-cli -a "protected; SFPs.Cage.1.SFP.Transceiver.Status.TxBias?"</t>
  </si>
  <si>
    <t xml:space="preserve">1. Run the following commands on the CPE console:
ubus-cli -a "protected; SFPs.Cage.1.SFP.Transceiver.Status.TxBias?"
2. Verify the actual values on the system.
ethtool -m gpondef | grep "Laser bias current"
</t>
  </si>
  <si>
    <t>1.
root@prplOS:/# ubus-cli -a "protected; SFPs.Cage.1.SFP.Transceiver.Status.TxBias
?"
&gt; protected
&gt; !addon select mod_ba
&gt; connection access ubus: protected
&gt; !addon select mod_ba cli
&gt; SFPs.Cage.1.SFP.Transceiver.Status.TxBias?
SFPs.Cage.1.SFP.Transceiver.Status.TxBias=40
2.
root@prplOS:/# ethtool -m gpondef | grep "Laser bias current"
        Laser bias current                        : 40.016 mA
        Laser bias current high alarm             : Off
        Laser bias current low alarm              : Off
        Laser bias current high warning           : Off
        Laser bias current low warning            : Off
        Laser bias current high alarm threshold   : 110.000 mA
        Laser bias current low alarm threshold    : 0.000 mA
        Laser bias current high warning threshold : 100.000 mA
        Laser bias current low warning threshold  : 0.000 mA</t>
  </si>
  <si>
    <t xml:space="preserve">ARC:
src/sfpmgr_params.c
195:        if(strncmp(key, LASER_BIAS_CURRENT, strlen(key)) == 0) {
196-            float bias = 0;
197-            sscanf(value, "%f", &amp;bias);
198-            sfp_ethtool_param-&gt;bias = (uint16_t) bias;
199-        } </t>
  </si>
  <si>
    <t>TxDisableState</t>
  </si>
  <si>
    <t>ubus-cli -a "protected; SFPs.Cage.1.SFP.Transceiver.Status.TxDisableState?"</t>
  </si>
  <si>
    <t xml:space="preserve">1. Run the following commands on the CPE console:
ubus-cli -a "protected; SFPs.Cage.1.SFP.Transceiver.Status.TxDisableState?"
2. Verify the actual values on the system.
(1) ethtool -m gpondef | grep "Optional Status/Control Bits"
(2) value=$(  ethtool -m gpondef | grep "Optional Status/Control Bits" | awk -F'(: )' '{print $NF}' | awk '{print $1}' )
if [ $(( value &amp; 0x80 )) -gt 0 ]; then echo "1"; else echo "0"; fi
</t>
  </si>
  <si>
    <t xml:space="preserve">1.
root@prplOS:/# ubus-cli -a "protected; SFPs.Cage.1.SFP.Transceiver.Status.TxDisa
bleState?"
&gt; protected
&gt; !addon select mod_ba
&gt; connection access ubus: protected
&gt; !addon select mod_ba cli
&gt; SFPs.Cage.1.SFP.Transceiver.Status.TxDisableState?
SFPs.Cage.1.SFP.Transceiver.Status.TxDisableState=0
2.
(1) root@prplOS:/# ethtool -m gpondef | grep "Optional Status/Control Bits"
        Optional Status/Control Bits              : 0x00
(2) root@prplOS:/# value=$(  ethtool -m gpondef | grep "Optional Status/Control Bits
" | awk -F'(: )' '{print $NF}' | awk '{print $1}' )
 [ $(( value &amp; 0x80 )) -gt 0 ]; then echo "1"; else echo "0"; firoot@prplOS:/# if [ $(( value &amp; 0x80 )) -gt 0 ]; then echo "1"; else echo "0"; f
i
0
</t>
  </si>
  <si>
    <t>ubus-cli -a "protected; SFPs.Cage.1.SFP.Transceiver.Status.TxPower?"</t>
  </si>
  <si>
    <t xml:space="preserve">1. Run the following commands on the CPE console:
ubus-cli -a "protected; SFPs.Cage.1.SFP.Transceiver.Status.TxPower?"
2. Verify the actual values on the system.
ethtool -m gpondef | grep "Laser output power"
</t>
  </si>
  <si>
    <t xml:space="preserve">1.
root@prplOS:/# ubus-cli -a "protected; SFPs.Cage.1.SFP.Transceiver.Status.TxPowe
r?"
&gt; protected
&gt; !addon select mod_ba
&gt; connection access ubus: protected
&gt; !addon select mod_ba cli
&gt; SFPs.Cage.1.SFP.Transceiver.Status.TxPower?
SFPs.Cage.1.SFP.Transceiver.Status.TxPower=64
2.
root@prplOS:/# ethtool -m gpondef | grep "Laser output power"
        Laser output power                        : 4.4138 mW / 6.45 dBm
        Laser output power high alarm             : Off
        Laser output power low alarm              : Off
        Laser output power high warning           : Off
        Laser output power low warning            : Off
        Laser output power high alarm threshold   : 6.5463 mW / 8.16 dBm
        Laser output power low alarm threshold    : 1.9952 mW / 3.00 dBm
        Laser output power high warning threshold : 6.5463 mW / 8.16 dBm
        Laser output power low warning threshold  : 2.5118 mW / 4.00 dBm
</t>
  </si>
  <si>
    <t xml:space="preserve">ARC:
src/sfpmgr_params.c
199:        } else if(strncmp(key, LASER_OUTPUT_POWER, strlen(key)) == 0) {
200-            float txpower = 0;
201-            if(sscanf(value, "%*f %*s / %f %*s", &amp;txpower) != 1) {
202-                SAH_TRACEZ_ERROR(ME, "sscanf failed for '%s'", value);
203-            } else {
204-                sfp_ethtool_param-&gt;tx_power = txpower * 10; /* converted txpower in .1 db */
205-            }
206-        } </t>
  </si>
  <si>
    <t>Vcc</t>
  </si>
  <si>
    <t>ubus-cli -a "protected; SFPs.Cage.1.SFP.Transceiver.Status.Vcc?"</t>
  </si>
  <si>
    <t xml:space="preserve">1. Run the following commands on the CPE console:
ubus-cli -a "protected; SFPs.Cage.1.SFP.Transceiver.Status.Vcc?"
2. Verify the actual values on the system.
root@prplOS:/# ethtool -m gpondef | grep "Module voltage"
</t>
  </si>
  <si>
    <t>1.
root@prplOS:/# ubus-cli -a "protected; SFPs.Cage.1.SFP.Transceiver.Status.Vcc?"
&gt; protected
&gt; !addon select mod_ba
&gt; connection access ubus: protected
&gt; !addon select mod_ba cli
&gt; SFPs.Cage.1.SFP.Transceiver.Status.Vcc?
SFPs.Cage.1.SFP.Transceiver.Status.Vcc=3
2.
root@prplOS:/# ethtool -m gpondef | grep "Module voltage"
        Module voltage                            : 3.2813 V
        Module voltage high alarm                 : Off
        Module voltage low alarm                  : Off
        Module voltage high warning               : Off
        Module voltage low warning                : Off
        Module voltage high alarm threshold       : 3.6300 V
        Module voltage low alarm threshold        : 2.9700 V
        Module voltage high warning threshold     : 3.4650 V
        Module voltage low warning threshold      : 3.1350 V</t>
  </si>
  <si>
    <t>ARC:
src/sfpmgr_params.c
217:        } else if(strncmp(key, MODULE_VOLTAGE, strlen(key)) == 0) {
218-            float volt = 0;
219-            sscanf(value, "%f", &amp;volt);
220-            sfp_ethtool_param-&gt;volt = (uint16_t) volt; /* mv */
221-        }</t>
  </si>
  <si>
    <t>SFPs.Cage.1.SFP.Transceiver.Alarms.</t>
  </si>
  <si>
    <t>RxPowerHigh</t>
  </si>
  <si>
    <t>ubus-cli -a "protected; SFPs.Cage.1.SFP.Transceiver.Alarms.RxPowerHigh?"</t>
  </si>
  <si>
    <t xml:space="preserve">1. Run the following commands on the CPE console:
ubus-cli -a "protected; SFPs.Cage.1.SFP.Transceiver.Alarms.RxPowerHigh?"
2. Verify the actual values on the system.
ethtool -m gpondef | grep "Laser rx power high alarm"
</t>
  </si>
  <si>
    <t>1.
root@prplOS:/# ubus-cli -a "protected; SFPs.Cage.1.SFP.Transceiver.Alarms.RxPowe
rHigh?"
&gt; protected
&gt; !addon select mod_ba
&gt; connection access ubus: protected
&gt; !addon select mod_ba cli
&gt; SFPs.Cage.1.SFP.Transceiver.Alarms.RxPowerHigh?
SFPs.Cage.1.SFP.Transceiver.Alarms.RxPowerHigh=0
2.
root@prplOS:/# ethtool -m gpondef | grep "Laser rx power high alarm"
        Laser rx power high alarm                 : Off
        Laser rx power high alarm threshold       : 0.3161 mW / -5.00 dBm</t>
  </si>
  <si>
    <t>RxPowerLow</t>
  </si>
  <si>
    <t>ubus-cli -a "protected; SFPs.Cage.1.SFP.Transceiver.Alarms.RxPowerLow?"</t>
  </si>
  <si>
    <t xml:space="preserve">1. Run the following commands on the CPE console:
ubus-cli -a "protected; SFPs.Cage.1.SFP.Transceiver.Alarms.RxPowerLow?"
2. Verify the actual values on the system.
ethtool -m gpondef | grep "Laser rx power low alarm"
</t>
  </si>
  <si>
    <t xml:space="preserve">1.
root@prplOS:/# ubus-cli -a "protected; SFPs.Cage.1.SFP.Transceiver.Alarms.RxPowerLow?"
&gt; protected
&gt; !addon select mod_ba
&gt; connection access ubus: protected
&gt; !addon select mod_ba cli
&gt; SFPs.Cage.1.SFP.Transceiver.Alarms.RxPowerLow?
SFPs.Cage.1.SFP.Transceiver.Alarms.RxPowerLow=0
2.
root@prplOS:/# ethtool -m gpondef | grep "Laser rx power low alarm"
        Laser rx power low alarm                  : Off
        Laser rx power low alarm threshold        : 0.0010 mW / -30.00 dBm
</t>
  </si>
  <si>
    <t>TemperatureHigh</t>
  </si>
  <si>
    <t>ubus-cli -a "protected; SFPs.Cage.1.SFP.Transceiver.Alarms.TemperatureHigh?"</t>
  </si>
  <si>
    <t xml:space="preserve">1. Run the following commands on the CPE console:
ubus-cli -a "protected; SFPs.Cage.1.SFP.Transceiver.Alarms.TemperatureHigh?"
2. Verify the actual values on the system.
ethtool -m gpondef | grep "Module temperature high alarm"
</t>
  </si>
  <si>
    <t xml:space="preserve">1.
root@prplOS:/# ubus-cli -a "protected; SFPs.Cage.1.SFP.Transceiver.Alarms.TemperatureHigh?"
&gt; protected
&gt; !addon select mod_ba
&gt; connection access ubus: protected
&gt; !addon select mod_ba cli
&gt; SFPs.Cage.1.SFP.Transceiver.Alarms.TemperatureHigh?
SFPs.Cage.1.SFP.Transceiver.Alarms.TemperatureHigh=0
2.
root@prplOS:/# ethtool -m gpondef | grep "Module temperature high alarm"
        Module temperature high alarm             : Off
        Module temperature high alarm threshold   : 80.00 degrees C / 176.00 degrees F
</t>
  </si>
  <si>
    <t>TemperatureLow</t>
  </si>
  <si>
    <t>ubus-cli -a "protected; SFPs.Cage.1.SFP.Transceiver.Alarms.TemperatureLow?"</t>
  </si>
  <si>
    <t xml:space="preserve">1. Run the following commands on the CPE console:
ubus-cli -a "protected; SFPs.Cage.1.SFP.Transceiver.Alarms.TemperatureLow?"
2. Verify the actual values on the system.
ethtool -m gpondef | grep "Module temperature low alarm"
</t>
  </si>
  <si>
    <t xml:space="preserve">1.
root@prplOS:/# ubus-cli -a "protected; SFPs.Cage.1.SFP.Transceiver.Alarms.TemperatureLow?"
&gt; protected
&gt; !addon select mod_ba
&gt; connection access ubus: protected
&gt; !addon select mod_ba cli
&gt; SFPs.Cage.1.SFP.Transceiver.Alarms.TemperatureLow?
SFPs.Cage.1.SFP.Transceiver.Alarms.TemperatureLow=0
root@prplOS:/# ethtool -m gpondef | grep "Module temperature low alarm"
        Module temperature low alarm              : Off
        Module temperature low alarm threshold    : -10.00 degrees C / 14.00 degrees F
</t>
  </si>
  <si>
    <t>TxBiasHigh</t>
  </si>
  <si>
    <t>ubus-cli -a "protected; SFPs.Cage.1.SFP.Transceiver.Alarms.TxBiasHigh?"</t>
  </si>
  <si>
    <t xml:space="preserve">1. Run the following commands on the CPE console:
ubus-cli -a "protected; SFPs.Cage.1.SFP.Transceiver.Alarms.TxBiasHigh?"
2. Verify the actual values on the system.
ethtool -m gpondef | grep "Laser bias current high alarm"
</t>
  </si>
  <si>
    <t xml:space="preserve">1.
root@prplOS:/# ubus-cli -a "protected; SFPs.Cage.1.SFP.Transceiver.Alarms.TxBiasHigh?"
&gt; protected
&gt; !addon select mod_ba
&gt; connection access ubus: protected
&gt; !addon select mod_ba cli
&gt; SFPs.Cage.1.SFP.Transceiver.Alarms.TxBiasHigh?
SFPs.Cage.1.SFP.Transceiver.Alarms.TxBiasHigh=0
2.
root@prplOS:/# ethtool -m gpondef | grep "Laser bias current high alarm"
        Laser bias current high alarm             : Off
        Laser bias current high alarm threshold   : 110.000 mA
</t>
  </si>
  <si>
    <t>TxBiasLow</t>
  </si>
  <si>
    <t>ubus-cli -a "protected; SFPs.Cage.1.SFP.Transceiver.Alarms.TxBiasLow?"</t>
  </si>
  <si>
    <t xml:space="preserve">1. Run the following commands on the CPE console:
ubus-cli -a "protected; SFPs.Cage.1.SFP.Transceiver.Alarms.TxBiasLow?"
2. Verify the actual values on the system.
ethtool -m gpondef | grep "Laser bias current low alarm"
</t>
  </si>
  <si>
    <t xml:space="preserve">1.
root@prplOS:/# ubus-cli -a "protected; SFPs.Cage.1.SFP.Transceiver.Alarms.TxBiasLow?"
&gt; protected
&gt; !addon select mod_ba
&gt; connection access ubus: protected
&gt; !addon select mod_ba cli
&gt; SFPs.Cage.1.SFP.Transceiver.Alarms.TxBiasLow?
SFPs.Cage.1.SFP.Transceiver.Alarms.TxBiasLow=0
2.
root@prplOS:/# ethtool -m gpondef | grep "Laser bias current low alarm"
        Laser bias current low alarm              : Off
        Laser bias current low alarm threshold    : 0.000 mA
</t>
  </si>
  <si>
    <t>TxPowerHigh</t>
  </si>
  <si>
    <t>ubus-cli -a "protected; SFPs.Cage.1.SFP.Transceiver.Alarms.TxPowerHigh?"</t>
  </si>
  <si>
    <t xml:space="preserve">1. Run the following commands on the CPE console:
ubus-cli -a "protected; SFPs.Cage.1.SFP.Transceiver.Alarms.TxPowerHigh?"
2. Verify the actual values on the system.
ethtool -m gpondef | grep "Laser output power high alarm"
</t>
  </si>
  <si>
    <t xml:space="preserve">1.
root@prplOS:/# ubus-cli -a "protected; SFPs.Cage.1.SFP.Transceiver.Alarms.TxPowerHigh?"
&gt; protected
&gt; !addon select mod_ba
&gt; connection access ubus: protected
&gt; !addon select mod_ba cli
&gt; SFPs.Cage.1.SFP.Transceiver.Alarms.TxPowerHigh?
SFPs.Cage.1.SFP.Transceiver.Alarms.TxPowerHigh=0
2.
root@prplOS:/# ethtool -m gpondef | grep "Laser output power high alarm"
        Laser output power high alarm             : Off
        Laser output power high alarm threshold   : 6.5463 mW / 8.16 dBm
</t>
  </si>
  <si>
    <t>TxPowerLow</t>
  </si>
  <si>
    <t>ubus-cli -a "protected; SFPs.Cage.1.SFP.Transceiver.Alarms.TxPowerLow?"</t>
  </si>
  <si>
    <t xml:space="preserve">1. Run the following commands on the CPE console:
ubus-cli -a "protected; SFPs.Cage.1.SFP.Transceiver.Alarms.TxPowerLow?"
2. Verify the actual values on the system.
ethtool -m gpondef | grep "Laser output power low alarm"
</t>
  </si>
  <si>
    <t>1.
root@prplOS:/# ubus-cli -a "protected; SFPs.Cage.1.SFP.Transceiver.Alarms.TxPowerLow?"
&gt; protected
&gt; !addon select mod_ba
&gt; connection access ubus: protected
&gt; !addon select mod_ba cli
&gt; SFPs.Cage.1.SFP.Transceiver.Alarms.TxPowerLow?
SFPs.Cage.1.SFP.Transceiver.Alarms.TxPowerLow=0
2.
root@prplOS:/# ethtool -m gpondef | grep "Laser output power low alarm"
        Laser output power low alarm              : Off
        Laser output power low alarm threshold    : 1.9952 mW / 3.00 dBm</t>
  </si>
  <si>
    <t>VccHigh</t>
  </si>
  <si>
    <t>ubus-cli -a "protected; SFPs.Cage.1.SFP.Transceiver.Alarms.VccHigh?"</t>
  </si>
  <si>
    <t>1. Run the following commands on the CPE console:
ubus-cli -a "protected; SFPs.Cage.1.SFP.Transceiver.Alarms.VccHigh?"
2. Verify the actual values on the system.
ethtool -m gpondef | grep "Module voltage high warning"</t>
  </si>
  <si>
    <t>1.
root@prplOS:/# ubus-cli -a "protected; SFPs.Cage.1.SFP.Transceiver.Alarms.VccHigh?"
&gt; protected
&gt; !addon select mod_ba
&gt; connection access ubus: protected
&gt; !addon select mod_ba cli
&gt; SFPs.Cage.1.SFP.Transceiver.Alarms.VccHigh?
SFPs.Cage.1.SFP.Transceiver.Alarms.VccHigh=0
2.
root@prplOS:/# ethtool -m gpondef | grep "Module voltage high warning"
        Module voltage high warning               : Off
        Module voltage high warning threshold     : 3.4650 V</t>
  </si>
  <si>
    <t>VccLow</t>
  </si>
  <si>
    <t>ubus-cli -a "protected; SFPs.Cage.1.SFP.Transceiver.Alarms.VccLow?"</t>
  </si>
  <si>
    <t xml:space="preserve">1. Run the following commands on the CPE console:
ubus-cli -a "protected; SFPs.Cage.1.SFP.Transceiver.Alarms.VccLow?"
2. Verify the actual values on the system.
ethtool -m gpondef | grep "Module voltage low alarm"
</t>
  </si>
  <si>
    <t>1.
root@prplOS:/# ubus-cli -a "protected; SFPs.Cage.1.SFP.Transceiver.Alarms.VccLow?"
&gt; protected
&gt; !addon select mod_ba
&gt; connection access ubus: protected
&gt; !addon select mod_ba cli
&gt; SFPs.Cage.1.SFP.Transceiver.Alarms.VccLow?
SFPs.Cage.1.SFP.Transceiver.Alarms.VccLow=0
2.
root@prplOS:/# ethtool -m gpondef | grep "Module voltage low alarm"
        Module voltage low alarm                  : Off
        Module voltage low alarm threshold        : 2.9700 V</t>
  </si>
  <si>
    <t>SFPs.Cage.1.SFP.Transceiver.Warnings.</t>
  </si>
  <si>
    <t>ubus-cli -a "protected; SFPs.Cage.1.SFP.Transceiver.Warnings.RxPowerHigh?"</t>
  </si>
  <si>
    <t xml:space="preserve">1. Run the following commands on the CPE console:
ubus-cli -a "protected; SFPs.Cage.1.SFP.Transceiver.Warnings.RxPowerHigh?"
2. Verify the actual values on the system.
ethtool -m gpondef | grep "Laser rx power high warning"
</t>
  </si>
  <si>
    <t>1.
root@prplOS:/# ubus-cli -a "protected; SFPs.Cage.1.SFP.Transceiver.Warnings.RxPowerHigh?"
&gt; protected
&gt; !addon select mod_ba
&gt; connection access ubus: protected
&gt; !addon select mod_ba cli
&gt; SFPs.Cage.1.SFP.Transceiver.Warnings.RxPowerHigh?
SFPs.Cage.1.SFP.Transceiver.Warnings.RxPowerHigh=0
2.
root@prplOS:/# ethtool -m gpondef | grep "Laser rx power high warning"
        Laser rx power high warning               : Off
        Laser rx power high warning threshold     : 0.1994 mW / -7.00 dBm</t>
  </si>
  <si>
    <t>ubus-cli -a "protected; SFPs.Cage.1.SFP.Transceiver.Warnings.RxPowerLow?"</t>
  </si>
  <si>
    <t xml:space="preserve">1. Run the following commands on the CPE console:
ubus-cli -a "protected; SFPs.Cage.1.SFP.Transceiver.Warnings.RxPowerLow?"
2. Verify the actual values on the system.
ethtool -m gpondef | grep "Laser rx power low warning"
</t>
  </si>
  <si>
    <t>1.
root@prplOS:/# ubus-cli -a "protected; SFPs.Cage.1.SFP.Transceiver.Warnings.RxPo
werLow?"
&gt; protected
&gt; !addon select mod_ba
&gt; connection access ubus: protected
&gt; !addon select mod_ba cli
&gt; SFPs.Cage.1.SFP.Transceiver.Warnings.RxPowerLow?
SFPs.Cage.1.SFP.Transceiver.Warnings.RxPowerLow=1
2.
root@prplOS:/# ethtool -m gpondef | grep "Laser rx power low warning"
        Laser rx power low warning                : On
        Laser rx power low warning threshold      : 0.0014 mW / -28.54 dBm</t>
  </si>
  <si>
    <t>ubus-cli -a "protected; SFPs.Cage.1.SFP.Transceiver.Warnings.TemperatureHigh?"</t>
  </si>
  <si>
    <t xml:space="preserve">1. Run the following commands on the CPE console:
ubus-cli -a "protected; SFPs.Cage.1.SFP.Transceiver.Warnings.TemperatureHigh?"
2. Verify the actual values on the system.
ethtool -m gpondef | grep "Module temperature high warning"
</t>
  </si>
  <si>
    <t xml:space="preserve">1.
root@prplOS:/# ubus-cli -a "protected; SFPs.Cage.1.SFP.Transceiver.Warnings.TemperatureHigh?"
&gt; protected
&gt; !addon select mod_ba
&gt; connection access ubus: protected
&gt; !addon select mod_ba cli
&gt; SFPs.Cage.1.SFP.Transceiver.Warnings.TemperatureHigh?
SFPs.Cage.1.SFP.Transceiver.Warnings.TemperatureHigh=0
2.
root@prplOS:/# ethtool -m gpondef | grep "Module temperature high warning"
        Module temperature high warning           : Off
        Module temperature high warning threshold : 75.00 degrees C / 167.00 degrees F
</t>
  </si>
  <si>
    <t>ubus-cli -a "protected; SFPs.Cage.1.SFP.Transceiver.Warnings.TemperatureLow?"</t>
  </si>
  <si>
    <t xml:space="preserve">1. Run the following commands on the CPE console:
ubus-cli -a "protected; SFPs.Cage.1.SFP.Transceiver.Warnings.TemperatureLow?"
2. Verify the actual values on the system.
root@prplOS:/# ethtool -m gpondef | grep "Module temperature low warning"
</t>
  </si>
  <si>
    <t xml:space="preserve">1.
root@prplOS:/# ubus-cli -a "protected; SFPs.Cage.1.SFP.Transceiver.Warnings.TemperatureLow?"
&gt; protected
&gt; !addon select mod_ba
&gt; connection access ubus: protected
&gt; !addon select mod_ba cli
&gt; SFPs.Cage.1.SFP.Transceiver.Warnings.TemperatureLow?
SFPs.Cage.1.SFP.Transceiver.Warnings.TemperatureLow=0
2.
root@prplOS:/# ethtool -m gpondef | grep "Module temperature low warning"
        Module temperature low warning            : Off
        Module temperature low warning threshold  : -5.00 degrees C / 23.00 degrees F
</t>
  </si>
  <si>
    <t>ubus-cli -a "protected; SFPs.Cage.1.SFP.Transceiver.Warnings.TxBiasHigh?"</t>
  </si>
  <si>
    <t xml:space="preserve">1. Run the following commands on the CPE console:
ubus-cli -a "protected; SFPs.Cage.1.SFP.Transceiver.Warnings.TxBiasHigh?"
2. Verify the actual values on the system.
root@prplOS:/# ethtool -m gpondef | grep "Laser bias current high warning"
</t>
  </si>
  <si>
    <t>1.
root@prplOS:/# ubus-cli -a "protected; SFPs.Cage.1.SFP.Transceiver.Warnings.TxBiasHigh?"
&gt; protected
&gt; !addon select mod_ba
&gt; connection access ubus: protected
&gt; !addon select mod_ba cli
&gt; SFPs.Cage.1.SFP.Transceiver.Warnings.TxBiasHigh?
SFPs.Cage.1.SFP.Transceiver.Warnings.TxBiasHigh=0
2.
root@prplOS:/# ethtool -m gpondef | grep "Laser bias current high warning"
        Laser bias current high warning           : Off
        Laser bias current high warning threshold : 100.000 mA</t>
  </si>
  <si>
    <t>ubus-cli -a "protected; SFPs.Cage.1.SFP.Transceiver.Warnings.TxBiasLow?"</t>
  </si>
  <si>
    <t xml:space="preserve">1. Run the following commands on the CPE console:
ubus-cli -a "protected; SFPs.Cage.1.SFP.Transceiver.Warnings.TxBiasLow?"
2. Verify the actual values on the system.
ethtool -m gpondef | grep "Laser bias current low warning"
</t>
  </si>
  <si>
    <t xml:space="preserve">1.
root@prplOS:/# ubus-cli -a "protected; SFPs.Cage.1.SFP.Transceiver.Warnings.TxBiasLow?"
&gt; protected
&gt; !addon select mod_ba
&gt; connection access ubus: protected
&gt; !addon select mod_ba cli
&gt; SFPs.Cage.1.SFP.Transceiver.Warnings.TxBiasLow?
SFPs.Cage.1.SFP.Transceiver.Warnings.TxBiasLow=0
2.
root@prplOS:/# ethtool -m gpondef | grep "Laser bias current low warning"
        Laser bias current low warning            : Off
        Laser bias current low warning threshold  : 0.000 mA
</t>
  </si>
  <si>
    <t>ubus-cli -a "protected; SFPs.Cage.1.SFP.Transceiver.Warnings.TxPowerHigh?"</t>
  </si>
  <si>
    <t xml:space="preserve">1. Run the following commands on the CPE console:
ubus-cli -a "protected; SFPs.Cage.1.SFP.Transceiver.Warnings.TxPowerHigh?"
2. Verify the actual values on the system.
ethtool -m gpondef | grep "Laser output power high warning"
</t>
  </si>
  <si>
    <t>1.
root@prplOS:/# ubus-cli -a "protected; SFPs.Cage.1.SFP.Transceiver.Warnings.TxPowerHigh?"
&gt; protected
&gt; !addon select mod_ba
&gt; connection access ubus: protected
&gt; !addon select mod_ba cli
&gt; SFPs.Cage.1.SFP.Transceiver.Warnings.TxPowerHigh?
SFPs.Cage.1.SFP.Transceiver.Warnings.TxPowerHigh=0
2.
root@prplOS:/# ethtool -m gpondef | grep "Laser output power high warning"
        Laser output power high warning           : Off
        Laser output power high warning threshold : 6.5463 mW / 8.16 dBm</t>
  </si>
  <si>
    <t>ubus-cli -a "protected; SFPs.Cage.1.SFP.Transceiver.Warnings.TxPowerLow?"</t>
  </si>
  <si>
    <t xml:space="preserve">1. Run the following commands on the CPE console:
ubus-cli -a "protected; SFPs.Cage.1.SFP.Transceiver.Warnings.TxPowerLow?"
2. Verify the actual values on the system.
ethtool -m gpondef | grep "Laser output power low warning"
</t>
  </si>
  <si>
    <t>1.
root@prplOS:/# ubus-cli -a "protected; SFPs.Cage.1.SFP.Transceiver.Warnings.TxPowerLow?"
&gt; protected
&gt; !addon select mod_ba
&gt; connection access ubus: protected
&gt; !addon select mod_ba cli
&gt; SFPs.Cage.1.SFP.Transceiver.Warnings.TxPowerLow?
SFPs.Cage.1.SFP.Transceiver.Warnings.TxPowerLow=0
2.
root@prplOS:/# ethtool -m gpondef | grep "Laser output power low warning"
        Laser output power low warning            : Off
        Laser output power low warning threshold  : 2.5118 mW / 4.00 dBm</t>
  </si>
  <si>
    <t>ubus-cli -a "protected; SFPs.Cage.1.SFP.Transceiver.Warnings.VccHigh?"</t>
  </si>
  <si>
    <t xml:space="preserve">1. Run the following commands on the CPE console:
ubus-cli -a "protected; SFPs.Cage.1.SFP.Transceiver.Warnings.VccHigh?"
2. Verify the actual values on the system.
ethtool -m gpondef | grep "Module voltage high warning"
</t>
  </si>
  <si>
    <t>1.
root@prplOS:/# ubus-cli -a "protected; SFPs.Cage.1.SFP.Transceiver.Warnings.VccHigh?"
&gt; protected
&gt; !addon select mod_ba
&gt; connection access ubus: protected
&gt; !addon select mod_ba cli
&gt; SFPs.Cage.1.SFP.Transceiver.Warnings.VccHigh?
SFPs.Cage.1.SFP.Transceiver.Warnings.VccHigh=0
2.
root@prplOS:/# ethtool -m gpondef | grep "Module voltage high warning"
        Module voltage high warning               : Off
        Module voltage high warning threshold     : 3.4650 V</t>
  </si>
  <si>
    <t>ubus-cli -a "protected; SFPs.Cage.1.SFP.Transceiver.Warnings.VccLow?"</t>
  </si>
  <si>
    <t xml:space="preserve">1. Run the following commands on the CPE console:
ubus-cli -a "protected; SFPs.Cage.1.SFP.Transceiver.Warnings.VccLow?"
2. Verify the actual values on the system.
ethtool -m gpondef | grep "Module voltage low warning"
</t>
  </si>
  <si>
    <t>1.
root@prplOS:/# ubus-cli -a "protected; SFPs.Cage.1.SFP.Transceiver.Warnings.VccLow?"
&gt; protected
&gt; !addon select mod_ba
&gt; connection access ubus: protected
&gt; !addon select mod_ba cli
&gt; SFPs.Cage.1.SFP.Transceiver.Warnings.VccLow?
SFPs.Cage.1.SFP.Transceiver.Warnings.VccLow=0
2.
root@prplOS:/# ethtool -m gpondef | grep "Module voltage low warning"
        Module voltage low warning                : Off
        Module voltage low warning threshold      : 3.1350 V</t>
  </si>
  <si>
    <t>Data Model</t>
  </si>
  <si>
    <t>Arcadayn Test  Result</t>
  </si>
  <si>
    <t>Broadcom Response</t>
  </si>
  <si>
    <t>Result</t>
  </si>
  <si>
    <t xml:space="preserve"> ubus-cli WiFi.SSID.{i}.MLDUnit</t>
  </si>
  <si>
    <t>[1210] The setting doesn't sync to nvram
If these two cases are not set in NVRAM, does that mean that these two settings are applied dynamically at runtime via IOCTLs without relying on NVRAM persistence?</t>
  </si>
  <si>
    <t>[1212] The setting doesn't sync to nvram  // no nvram set, only use ioctl(or vendor command) to set
[0116]  Please check whm_brcm_ap_mod_mlo(), it will handle mld_nlinks and mld_unit</t>
  </si>
  <si>
    <t>Clarification</t>
  </si>
  <si>
    <t>[1210] Cannot get DownlinkMCS vaule</t>
  </si>
  <si>
    <t>[1215] Cannot get DownlinkMCS vaule
need to rework in mod( pfta-&gt;mfn_wvap_get_station_stats, pfta-&gt;mfn_wvap_get_single_station_stats), nl80211 doesn't support in old kernel</t>
  </si>
  <si>
    <t>[1210] Only support Enable/Disable, but pWHM need more setting support in wld_he_cap_m.
"wl -i wlx he features" returns 63(0x3f) no matter what value this model is holding.</t>
  </si>
  <si>
    <t>[1215] Only support Enable/Disable, but pWHM need more setting support in wld_he_cap_m.
need to rework(add hecaps setting)</t>
  </si>
  <si>
    <t>[1210] Incorrect set flow in pWHM, lacks TransmitPower implementation in addon</t>
  </si>
  <si>
    <t>[1216] Incorrect set flow in pWHM, lacks TransmitPower implementation in addon
need to rework</t>
  </si>
  <si>
    <t>[1210] The stat always shows `Disabled` even hapd.conf was change to `ieee80211w=2`
[0114] If these two cases are not set in NVRAM, does that mean that these two settings are applied dynamically at runtime via IOCTLs without relying on NVRAM persistence?</t>
  </si>
  <si>
    <t>[1212] The stat always shows `Disabled` even hapd.conf was change to `ieee80211w=2`  // wpa3 related setting, mfp will be required as default.</t>
  </si>
  <si>
    <t>[1210] The netlink output of UplinkRateSpec is not match with pWHM API.</t>
  </si>
  <si>
    <t>[1215] The netlink output of UplinkRateSpec is not match with pWHM API.
need to rework in mod( pfta-&gt;mfn_wvap_get_station_stats, pfta-&gt;mfn_wvap_get_single_station_stats), nl80211 doesn't support in old kernel</t>
  </si>
  <si>
    <t>ubus-cli WiFi.Radio.*.Stats.WmmBytesSent.  (and sub-properties like AC_BK, AC_VI, AC_VO)</t>
  </si>
  <si>
    <t xml:space="preserve">[1215] support </t>
  </si>
  <si>
    <t>[1210] cat /proc/net/dev don't have multicast under Transmit stats</t>
  </si>
  <si>
    <t>[1216] cat /proc/net/dev don't have multicast under Transmit stats
need to check cat proc/net/dev_extstats. But netlink can't get full ext stats</t>
  </si>
  <si>
    <t>[1224] Not sync to "ap_isolate" in hapd.conf</t>
  </si>
  <si>
    <t>[0106] WiFi.AccessPoint.{i}.APBridgeDisable is not a standard TR-181 parameter, but rather a prpl-specific extension (custom parameter) and prpl doesn't implement it yet.</t>
  </si>
  <si>
    <t>[1224] Set InterworkingEnable=1, Internet access available but in the packet it shows "Internet: 0"</t>
  </si>
  <si>
    <t>[0107] Prpl didn't have parameter "internet" in WiFi.AccessPoint.{i}.IEEE80211u. object, and hostapd use default value "0".
BTW: We will not configure 802.11u directly; instead, we will focus on Hotspot 2.0, as 802.11u is the underlying technical standard and Hotspot 2.0 is the application implementation and commercial certification built upon it.</t>
  </si>
  <si>
    <t>[1224] We don't see the seting 'max_num_sta' sync into hapd.conf</t>
  </si>
  <si>
    <t xml:space="preserve">[0106] prpl use wpaCtrlInterface to set max_num_sta from prplosv4.0.1, but brcm hostapd didn't support it.
[0122] In Prplware 4.0.3, we continue to set WiFi.AccessPoint.{i}.MaxAssociatedDevices by using the parameter “max_num_sta” in the configuration file of brcm hostapd. </t>
  </si>
  <si>
    <t>w</t>
  </si>
  <si>
    <t xml:space="preserve">[1224] The settings cannot be save.
[0115] QoSMapSet was applied with your suggession ' " ... " ', and hapd.conf also has this field like what I set.
but during hpad.conf restart, seems some error make interface up fail and hapd.conf will going to force restart loop.
2026 Jan 13 11:20:19 prplOS wld: genHapd - [!]wl0: restarting hostapd - (s_restartHapdCb@wifiGen_hapd.c:232)
2026 Jan 13 11:20:19 prplOS wld: genHapd - [!]wl0: hostapd started - (s_onStartHapdCb@wifiGen_hapd.c:270)
2026 Jan 13 11:20:19 prplOS wld: wldDmn  - [x]Process hostapd stopped unexpectedly (e:1/r:0/k:0/s:0) - (wld_dmn_stopCb@Utils/wld_daemon.c:407)
2026 Jan 13 11:20:19 prplOS wld: genHapd - [!]wl0: hostapd stopped - (s_onStopHapdCb@wifiGen_hapd.c:240)
[0122] For qos map set, would you have a patch to fix this issue in driver?
</t>
  </si>
  <si>
    <t>[0107] You can try ubus-cli WiFi.AccessPoint.{i}.IEEE80211u.QoSMapSet='"0,7,8,15,255,255,255,255,255,255,16,23,24,31,255,255"',now the value will save to hapd.conf.
But broadcom didn't support set qos_map_set through nl80211, so you will find hostapd can't start for this radio.
[0115] That because broadcom doesn't support set qos_map_set through nl80211 in wifi driver, then hostapd will fail to initialize for this radio.
[0122] we will recheck it later.</t>
  </si>
  <si>
    <t>Wait for reply</t>
  </si>
  <si>
    <t>[1224] Set to '1' but no MBO-related parameter is present in wlx_hapd.conf</t>
  </si>
  <si>
    <t>[0108] Brcm hostapd didn't support mbo parameter, so we set MBOEnable in our vendor module.
You can check it with below command:
wl -i wlx.y mbo ap_enable"</t>
  </si>
  <si>
    <t>[1229] driver has accept(wl -i wl[i] fragthresh) from Data Model(FragmentationThreshold=1500), but GW does not send fragmented data packet</t>
  </si>
  <si>
    <t>[0107] It's not pwhm and mod-whm-brcm issue. 1500 may touch bottleneck of other network interface. You can use lower value to retest</t>
  </si>
  <si>
    <t>[1229] only 5G sync to data model, 2.4G and 6G radio still show 0(not support), but there has 11h support in 'wl' cmd</t>
  </si>
  <si>
    <t>[0108] supported; it's ok. Just show 11h in 5Ghz</t>
  </si>
  <si>
    <t>Verifing</t>
  </si>
  <si>
    <t xml:space="preserve">[1229] "wl bw_cap 6g" "wl bw_cap 2g" was not match Data model returned bandwidth
[0114] We know that MaxChB is a read-only field, so we want to verify that MaxChB matches the radio capbility.
For example, if we got WiFi.Radio.2.MaxChannelBandwidth="320MHz" from ubus-cli, 
then we expect the command 'wl bw_cap 6g' to return 0x1f (20/40/80/160/320MHz), but we are getting 0x0 in both the 6G/2G.(5G got 0xf is matched)
Is 'wl bw_cap 6g' the correct command? Or do we need to use a different command to verify this data model?
</t>
  </si>
  <si>
    <t>[0107] MaxChB is readonly. bw_cap keeps auto. Set chanspec can tune the bandwidth
[0116] Please see the logs, capture from BDK version. It's ok
# wl -i wl0 bw_cap 6g; wl -i wl0 bw_cap 5g; wl -i wl0 bw_cap 2g
0x1f 0x0 0x0
# wl -i wl1 bw_cap 6g; wl -i wl1 bw_cap 5g; wl -i wl1 bw_cap 2g
0x0 0xf 0x0
# wl -i wl2 bw_cap 6g; wl -i wl2 bw_cap 5g; wl -i wl2 bw_cap 2g
0x0 0x0 0x3
#</t>
  </si>
  <si>
    <t>[1229] Under 6GHz 802.11be ch.121 setting, bandwidth unable to set to 320MHz.</t>
  </si>
  <si>
    <t>[0105] supported
ubus-cli WiFi.Radio.1.Channel=121; ubus-cli WiFi.Radio.1.Operatin
gChannelBandwidth="320MHz-1"</t>
  </si>
  <si>
    <t>[1229] Data Model could be set to FR, but ' wl -i wl[i] country' still got default '#a' in each radio.</t>
  </si>
  <si>
    <t>[0105] supported;
wl -i wl0 country list
wl -i wl0 contry_rev xx
ubus-cli WiFi.Radio.1.RegulatoryDomain=CA; ubus-cli WiFi.Radio.1.Vendor.Brcm.RegulatoryDomainRev=170</t>
  </si>
  <si>
    <t>ubus-cli WiFi.Radio.{i}.getRadioStats()BroadcastPacketsReceived : 0,
ubus-cli WiFi.Radio.{i}.getRadioStats()BroadcastPacketsSent  : 0,</t>
  </si>
  <si>
    <t>[1229] The BroadcastPackets will need to check fro driver, though "ethtool -S wl*" returns "no stats available"</t>
  </si>
  <si>
    <t>[0116] reworking</t>
  </si>
  <si>
    <t>Done, Need to Commit</t>
  </si>
  <si>
    <t>[1229] The BytesSent counters for 5G /6G are almiost double than embedded command's return values which read from /proc/net/dev</t>
  </si>
  <si>
    <t>ubus-cli WiFi.Radio.{i}.getRadioStats()UnicastPacketsReceived   : 0,
ubus-cli WiFi.Radio.{i}.getRadioStats()UnicastPacketsSent    : 0,</t>
  </si>
  <si>
    <t>[1229] Unicast packets cannot be calculated, while "Bytes" and "Packets" counters work fine.</t>
  </si>
  <si>
    <t>[1229] All radio returns with "status 1 - unknown error"</t>
  </si>
  <si>
    <t>[0105] supported, need to enable autochannel</t>
  </si>
  <si>
    <t>[1229] All radio returns with "status 3 - function not found"</t>
  </si>
  <si>
    <t>[1229] We try to set '1xLTF_1.6us' from data model, but driver got "2xLTF GI 0.8us" which read from `wl -ui wl0 nrate`, Is that the behavior expected by BRCM?</t>
  </si>
  <si>
    <t>[0107] rework gi for ofdma
[0109] support
pwhm only support const char* Rad_SupGI[] = {"Auto", "400nsec", "800nsec", 0}; that means index 0/1/2 and sgi_tx -1/1/0. Basically this property doesn't support EHT guardInterval stetting, just keep the code. And use "Auto" for HE/EHT chip</t>
  </si>
  <si>
    <t>Verified</t>
  </si>
  <si>
    <t>ubus-cli WiFi.Radio.{i}.Stats.Noise=-90
ubus-cli WiFi.Radio.{i}.getRadioStats()Noise</t>
  </si>
  <si>
    <t>[1229] The noise is always 0 even we execute getRadioStats() before get.</t>
  </si>
  <si>
    <t>ubus-cli WiFi.Radio.{i}.ExplicitBeamFormingEnabled=1
ubus-cli WiFi.Radio.{i}.ImplicitBeamFormingEnabled=1</t>
  </si>
  <si>
    <t>[1229] The API value does not change the capablilty info - Beamformer Capable in beacons.
[0114] In our tests, we used the commands `wl -i wl2 txbf` and `wl -i wl2 txbf_imp`. The data returned by the driver was synchronized with the data model settings,
 but we do not see the 'Beamformer Capable' bit set in the captured Beacon frames.
Does changing txbf settings require a BSS restart (or interface down/up) to update the Beacon IEs? Or is there a specific iovar we need to set to trigger a Beacon update?</t>
  </si>
  <si>
    <t>[0107] support: please check wl -i wl{i} txbf (ExplicitBeamForming) and wl -i wl{i} txbf_imp for (ImplicitBeamForming)
[0117] rework(reorg logic in txbf, no need to check wl command)</t>
  </si>
  <si>
    <t>[1229] All Radio supported=1 but representing IE not seen in beacon.</t>
  </si>
  <si>
    <t xml:space="preserve">	
[0108] This parameter is a prpl-specific extension (custom parameter) and enable by default(hardcoding in pwhm).
If you want beacon including MDE IE, you need to set parameters in WiFi.AccessPoint.{i}.IEEE80211r. object.</t>
  </si>
  <si>
    <t>[1229] 2.4GHz beacons contain EHT IE. 5GHz beacons do not contain HE / EHT IE.</t>
  </si>
  <si>
    <t>[0108] rework
[0113] rework(Side Effect in MLO)</t>
  </si>
  <si>
    <t>[1229] The "TWT Responder Supported" bit in beacons are always 1(Enabled).</t>
  </si>
  <si>
    <t>[0107] rework</t>
  </si>
  <si>
    <t>Done, need to commit</t>
  </si>
  <si>
    <t>[1229] The "wl -i wl* country" will inly returns: #a (#a/0) &lt;unknown&gt;, no matter what API value set.</t>
  </si>
  <si>
    <t>[1229] 1.Should not 'None' mode in 6G Set Support.
2.STA can't connect to AP in WPA3-Personal mode for 6G(be)
3.STA can't connect to AP in WEP-64 mode for 2.4G before reboot or restart hostapd.</t>
  </si>
  <si>
    <t>[0106] 1. prpl set 'None' mode by default
2. can work in my side.
root@prplOS:/# wl -i wl0 sta_info all
[VER 8] STA 00:90:4C:52:B4:74:
chanspec 6g1 (0x5001)
aid:17
rateset [ 6 9 12 18 24 36 48 54 ]
idle 1 seconds
in network 43 seconds
state: AUTHENTICATED ASSOCIATED AUTHORIZED
connection: SECURED
auth: WPA3-SAE-PSK
crypto: AES_CCM
flags 0x4141c03b: BRCM WME HE_CAP AMPDU AMSDU DWDS_CAP EHT_CAP
flags2 0x1: PSEUDO_MLO_CAP
HT caps 0x0:
HE caps 0xc6639: LDPC HE-HTC SU-BFR SU&amp;MU-BFE
OMI 0x1221: 20Mhz rx=2ss tx=2ss ER_SU_DISABLE UL_MU_DISABLE
3. if you set security mode to WEP-128, can it work?</t>
  </si>
  <si>
    <t>[1229] The counters recorded in this API are always 0.</t>
  </si>
  <si>
    <t>[0108] support; skip netlink erro in console
1) Sensing.Enable; invoke whm_brcm_csi_setup_withclk(), enable csi
2) csiStats(); invoke whm_brcm_radcsi_updateStats-&gt;whm_brcm_csi_update_stats
root@prplOS:/# wl -i wl1 assoclist; wl -i wl1 csimon reset_cnts;wl -i wl1 csimon
add 00:90:4C:4C:94:31; wl -i wl1 csimon enable; sleep 5; wl -i wl1 csimon disab
le; wl -i wl1 csimon del 00:90:4C:4C:94:31; wl -i wl1 csimon state;ubus call WiF
i.Radio.2.Sensing csiStats
assoclist 00:90:4C:53:25:00
assoclist 00:90:4C:4C:94:31
CSI Monitor: Enabled: 0
CSI record transfer (to DDR) count: 99
Ack fail count: 0
CSI record overflow count: 0
{
"M2MTransmitCounter": 99,
"VendorCounters": {
},
"UserTransmitCounter": 0,
"ReceivedOverflowCounter": 0,
"NullFrameCounter": 99,
"TransmitFailCounter": 0,
"NullFrameAckFailCounter": 0,
"UserTransmitFailCounter": 0
}
{
}
{
"amxd-error-code": 0
}
root@prplOS:/#</t>
  </si>
  <si>
    <t>This data model MaxBitRate always got 0 in each radio, is this behavior match to BRCM design?</t>
  </si>
  <si>
    <t>[0117] Basically, this is dummy function, 0 means auto. I add function in mod. If pwhm was ready, it will work
rework</t>
  </si>
  <si>
    <t>The API does not match "iw phy" return settings</t>
  </si>
  <si>
    <t>[0117] limitation, due to use wlioctl/vendor, doesn't have mechnism to indicate nl80211 layer</t>
  </si>
  <si>
    <t>limitation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</si>
</sst>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64">
    <font>
      <sz val="12"/>
      <color theme="1"/>
      <name val="Calibri"/>
      <family val="2"/>
      <charset val="136"/>
      <scheme val="minor"/>
    </font>
    <font>
      <sz val="9"/>
      <name val="Calibri"/>
      <family val="2"/>
      <charset val="136"/>
      <scheme val="minor"/>
    </font>
    <font>
      <sz val="12"/>
      <color theme="1"/>
      <name val="Calibri"/>
      <family val="2"/>
    </font>
    <font>
      <sz val="11"/>
      <color theme="1"/>
      <name val="Calibri"/>
      <family val="2"/>
      <scheme val="minor"/>
    </font>
    <font>
      <sz val="10"/>
      <name val="Arial"/>
      <family val="2"/>
    </font>
    <font>
      <sz val="12"/>
      <color theme="1"/>
      <name val="Arial"/>
      <family val="2"/>
      <charset val="136"/>
    </font>
    <font>
      <sz val="12"/>
      <color rgb="FF0070C0"/>
      <name val="Calibri"/>
      <family val="2"/>
    </font>
    <font>
      <sz val="11"/>
      <color theme="1"/>
      <name val="Calibri"/>
      <family val="2"/>
      <charset val="136"/>
      <scheme val="minor"/>
    </font>
    <font>
      <u/>
      <sz val="12"/>
      <color theme="10"/>
      <name val="Calibri"/>
      <family val="2"/>
      <charset val="136"/>
      <scheme val="minor"/>
    </font>
    <font>
      <sz val="11"/>
      <color rgb="FF000000"/>
      <name val="Calibri"/>
      <charset val="1"/>
    </font>
    <font>
      <b/>
      <sz val="9"/>
      <color rgb="FF000000"/>
      <name val="Calibri"/>
      <family val="2"/>
      <charset val="136"/>
      <scheme val="minor"/>
    </font>
    <font>
      <sz val="11"/>
      <color theme="1"/>
      <name val="Calibri"/>
      <scheme val="minor"/>
    </font>
    <font>
      <sz val="11"/>
      <color rgb="FF000000"/>
      <name val="Calibri"/>
      <scheme val="minor"/>
    </font>
    <font>
      <sz val="10"/>
      <color theme="1"/>
      <name val="Calibri"/>
      <scheme val="minor"/>
    </font>
    <font>
      <sz val="9"/>
      <color rgb="FF000000"/>
      <name val="Calibri"/>
      <scheme val="minor"/>
    </font>
    <font>
      <sz val="9"/>
      <color rgb="FF000000"/>
      <name val="Calibri"/>
      <family val="2"/>
      <charset val="136"/>
      <scheme val="minor"/>
    </font>
    <font>
      <sz val="9"/>
      <color theme="1"/>
      <name val="Calibri"/>
      <scheme val="minor"/>
    </font>
    <font>
      <b/>
      <sz val="9"/>
      <color theme="1"/>
      <name val="Calibri"/>
      <scheme val="minor"/>
    </font>
    <font>
      <sz val="9"/>
      <color rgb="FFFF0000"/>
      <name val="Calibri"/>
      <family val="2"/>
      <charset val="136"/>
      <scheme val="minor"/>
    </font>
    <font>
      <sz val="9"/>
      <color theme="1"/>
      <name val="Calibri"/>
    </font>
    <font>
      <sz val="9"/>
      <color rgb="FFFF0000"/>
      <name val="Calibri"/>
      <scheme val="minor"/>
    </font>
    <font>
      <b/>
      <sz val="9"/>
      <color theme="1"/>
      <name val="Calibri"/>
    </font>
    <font>
      <sz val="9"/>
      <color rgb="FFFF0000"/>
      <name val="Calibri"/>
    </font>
    <font>
      <sz val="9"/>
      <color rgb="FF000000"/>
      <name val="Calibri"/>
    </font>
    <font>
      <b/>
      <sz val="9"/>
      <color rgb="FF000000"/>
      <name val="Calibri"/>
    </font>
    <font>
      <sz val="9"/>
      <color theme="1"/>
      <name val="Calibri"/>
      <family val="2"/>
      <charset val="136"/>
      <scheme val="minor"/>
    </font>
    <font>
      <b/>
      <sz val="9"/>
      <color theme="1"/>
      <name val="Calibri"/>
      <family val="2"/>
      <charset val="136"/>
      <scheme val="minor"/>
    </font>
    <font>
      <sz val="9"/>
      <name val="Calibri"/>
    </font>
    <font>
      <sz val="9"/>
      <color rgb="FFC00000"/>
      <name val="Calibri"/>
    </font>
    <font>
      <sz val="9"/>
      <color rgb="FF000000"/>
      <name val="Calibri"/>
      <charset val="1"/>
    </font>
    <font>
      <sz val="9"/>
      <color rgb="FF0070C0"/>
      <name val="Calibri"/>
      <scheme val="minor"/>
    </font>
    <font>
      <sz val="9"/>
      <color rgb="FF0070C0"/>
      <name val="Calibri"/>
    </font>
    <font>
      <sz val="9"/>
      <color rgb="FFC00000"/>
      <name val="Calibri"/>
      <family val="2"/>
      <charset val="136"/>
      <scheme val="minor"/>
    </font>
    <font>
      <strike/>
      <sz val="9"/>
      <color rgb="FF000000"/>
      <name val="Calibri"/>
      <scheme val="minor"/>
    </font>
    <font>
      <b/>
      <sz val="9"/>
      <color rgb="FF0070C0"/>
      <name val="Calibri"/>
      <scheme val="minor"/>
    </font>
    <font>
      <b/>
      <sz val="9"/>
      <color rgb="FF000000"/>
      <name val="Calibri"/>
      <charset val="1"/>
    </font>
    <font>
      <sz val="9"/>
      <color theme="1"/>
      <name val="Arial"/>
      <charset val="1"/>
    </font>
    <font>
      <sz val="9"/>
      <color rgb="FFC00000"/>
      <name val="Calibri"/>
      <charset val="1"/>
    </font>
    <font>
      <sz val="9"/>
      <color rgb="FFC00000"/>
      <name val="Calibri"/>
      <scheme val="minor"/>
    </font>
    <font>
      <sz val="9"/>
      <color rgb="FFC00000"/>
      <name val="Calibri"/>
      <family val="2"/>
      <charset val="136"/>
    </font>
    <font>
      <sz val="9"/>
      <color rgb="FF000000"/>
      <name val="新細明體"/>
      <family val="1"/>
    </font>
    <font>
      <sz val="9"/>
      <color rgb="FF0070C0"/>
      <name val="Calibri"/>
      <family val="2"/>
      <charset val="136"/>
      <scheme val="minor"/>
    </font>
    <font>
      <sz val="9"/>
      <color rgb="FFC00000"/>
      <name val="新細明體"/>
    </font>
    <font>
      <sz val="9"/>
      <color theme="1"/>
      <name val="Calibri"/>
      <family val="2"/>
    </font>
    <font>
      <sz val="9"/>
      <color rgb="FF242424"/>
      <name val="Aptos Narrow"/>
      <charset val="1"/>
    </font>
    <font>
      <sz val="9"/>
      <color rgb="FF172B4D"/>
      <name val="Calibri"/>
    </font>
    <font>
      <b/>
      <sz val="9"/>
      <color rgb="FFFF0000"/>
      <name val="Calibri"/>
    </font>
    <font>
      <sz val="9"/>
      <color rgb="FFFF0000"/>
      <name val="Calibri"/>
      <charset val="1"/>
    </font>
    <font>
      <b/>
      <sz val="9"/>
      <color rgb="FFC65911"/>
      <name val="Calibri"/>
    </font>
    <font>
      <sz val="9"/>
      <color rgb="FFC65911"/>
      <name val="Calibri"/>
    </font>
    <font>
      <sz val="9"/>
      <color rgb="FF333333"/>
      <name val="Calibri"/>
      <scheme val="minor"/>
    </font>
    <font>
      <sz val="9"/>
      <color rgb="FF000000"/>
      <name val="Calibri"/>
      <family val="2"/>
    </font>
    <font>
      <sz val="9"/>
      <color rgb="FF000000"/>
      <name val="新細明體"/>
      <charset val="1"/>
    </font>
    <font>
      <sz val="9"/>
      <color rgb="FF000000"/>
      <name val="新細明體"/>
      <family val="1"/>
      <charset val="136"/>
    </font>
    <font>
      <b/>
      <sz val="9"/>
      <color rgb="FFFFFFFF"/>
      <name val="Calibri"/>
      <family val="2"/>
    </font>
    <font>
      <b/>
      <sz val="9"/>
      <color rgb="FFFFFFFF"/>
      <name val="Calibri"/>
    </font>
    <font>
      <sz val="9"/>
      <color rgb="FFFF0000"/>
      <name val="Calibri"/>
      <family val="2"/>
    </font>
    <font>
      <b/>
      <sz val="9"/>
      <color rgb="FFFF0000"/>
      <name val="Calibri"/>
      <family val="2"/>
    </font>
    <font>
      <b/>
      <sz val="9"/>
      <color rgb="FF000000"/>
      <name val="Calibri"/>
      <scheme val="minor"/>
    </font>
    <font>
      <b/>
      <sz val="12"/>
      <color theme="1"/>
      <name val="Calibri"/>
      <family val="2"/>
      <charset val="136"/>
      <scheme val="minor"/>
    </font>
    <font>
      <sz val="10"/>
      <color theme="1"/>
      <name val="Calibri"/>
    </font>
    <font>
      <sz val="10"/>
      <color rgb="FF000000"/>
      <name val="Calibri"/>
    </font>
    <font>
      <sz val="9"/>
      <color rgb="FF00B050"/>
      <name val="Calibri"/>
      <scheme val="minor"/>
    </font>
    <font>
      <b/>
      <sz val="9"/>
      <color rgb="FFFF0000"/>
      <name val="Calibri"/>
      <scheme val="minor"/>
    </font>
  </fonts>
  <fills count="15">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rgb="FFD9E1F2"/>
        <bgColor rgb="FF000000"/>
      </patternFill>
    </fill>
    <fill>
      <patternFill patternType="solid">
        <fgColor rgb="FFFFFFFF"/>
        <bgColor rgb="FF000000"/>
      </patternFill>
    </fill>
    <fill>
      <patternFill patternType="solid">
        <fgColor theme="7" tint="0.79998168889431442"/>
        <bgColor indexed="64"/>
      </patternFill>
    </fill>
    <fill>
      <patternFill patternType="solid">
        <fgColor theme="0"/>
        <bgColor indexed="64"/>
      </patternFill>
    </fill>
    <fill>
      <patternFill patternType="solid">
        <fgColor rgb="FF000000"/>
        <bgColor rgb="FF000000"/>
      </patternFill>
    </fill>
    <fill>
      <patternFill patternType="solid">
        <fgColor theme="4" tint="0.59999389629810485"/>
        <bgColor indexed="64"/>
      </patternFill>
    </fill>
    <fill>
      <patternFill patternType="solid">
        <fgColor theme="5" tint="0.79998168889431442"/>
        <bgColor indexed="64"/>
      </patternFill>
    </fill>
    <fill>
      <patternFill patternType="solid">
        <fgColor rgb="FFFFFFFF"/>
        <bgColor indexed="64"/>
      </patternFill>
    </fill>
    <fill>
      <patternFill patternType="solid">
        <fgColor rgb="FFDAE3F3"/>
        <bgColor indexed="64"/>
      </patternFill>
    </fill>
    <fill>
      <patternFill patternType="solid">
        <fgColor rgb="FFFFFF00"/>
        <bgColor indexed="64"/>
      </patternFill>
    </fill>
    <fill>
      <patternFill patternType="solid">
        <fgColor rgb="FFFFFFFF"/>
        <bgColor rgb="FFFFFFFF"/>
      </patternFill>
    </fill>
  </fills>
  <borders count="5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top/>
      <bottom style="thin">
        <color indexed="64"/>
      </bottom>
      <diagonal/>
    </border>
    <border>
      <left/>
      <right style="thin">
        <color theme="9" tint="0.39997558519241921"/>
      </right>
      <top style="thin">
        <color theme="9" tint="0.39997558519241921"/>
      </top>
      <bottom style="thin">
        <color theme="9" tint="0.39997558519241921"/>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diagonal/>
    </border>
    <border>
      <left/>
      <right/>
      <top style="thin">
        <color rgb="FF000000"/>
      </top>
      <bottom style="thin">
        <color rgb="FF000000"/>
      </bottom>
      <diagonal/>
    </border>
    <border>
      <left/>
      <right/>
      <top style="thin">
        <color indexed="64"/>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38761D"/>
      </left>
      <right style="thin">
        <color rgb="FF38761D"/>
      </right>
      <top style="thin">
        <color rgb="FF38761D"/>
      </top>
      <bottom style="thin">
        <color rgb="FF38761D"/>
      </bottom>
      <diagonal/>
    </border>
    <border>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
      <left/>
      <right style="thin">
        <color rgb="FF38761D"/>
      </right>
      <top style="thin">
        <color rgb="FF38761D"/>
      </top>
      <bottom style="thin">
        <color rgb="FF38761D"/>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style="thin">
        <color rgb="FF38761D"/>
      </left>
      <right/>
      <top style="thin">
        <color rgb="FF38761D"/>
      </top>
      <bottom style="thin">
        <color rgb="FF38761D"/>
      </bottom>
      <diagonal/>
    </border>
    <border>
      <left style="thin">
        <color rgb="FF38761D"/>
      </left>
      <right style="thin">
        <color rgb="FF38761D"/>
      </right>
      <top/>
      <bottom style="thin">
        <color rgb="FF38761D"/>
      </bottom>
      <diagonal/>
    </border>
    <border>
      <left/>
      <right style="thin">
        <color rgb="FF38761D"/>
      </right>
      <top/>
      <bottom style="thin">
        <color rgb="FF38761D"/>
      </bottom>
      <diagonal/>
    </border>
    <border>
      <left/>
      <right style="thin">
        <color rgb="FF000000"/>
      </right>
      <top/>
      <bottom/>
      <diagonal/>
    </border>
    <border>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s>
  <cellStyleXfs count="5">
    <xf numFmtId="0" fontId="0" fillId="0" borderId="0">
      <alignment vertical="center"/>
    </xf>
    <xf numFmtId="0" fontId="3" fillId="0" borderId="0"/>
    <xf numFmtId="0" fontId="4" fillId="0" borderId="0"/>
    <xf numFmtId="0" fontId="5" fillId="0" borderId="0"/>
    <xf numFmtId="0" fontId="8" fillId="0" borderId="0" applyNumberFormat="0" applyFill="0" applyBorder="0" applyAlignment="0" applyProtection="0">
      <alignment vertical="center"/>
    </xf>
  </cellStyleXfs>
  <cellXfs count="456">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2" borderId="0" xfId="0" applyFont="1" applyFill="1">
      <alignment vertical="center"/>
    </xf>
    <xf numFmtId="0" fontId="2" fillId="2" borderId="0" xfId="0" applyFont="1" applyFill="1" applyAlignment="1">
      <alignment vertical="center" wrapText="1"/>
    </xf>
    <xf numFmtId="0" fontId="0" fillId="0" borderId="0" xfId="0" applyAlignment="1">
      <alignment vertical="center" wrapText="1"/>
    </xf>
    <xf numFmtId="0" fontId="3" fillId="0" borderId="0" xfId="1" applyAlignment="1">
      <alignment horizontal="left" vertical="top"/>
    </xf>
    <xf numFmtId="14" fontId="3" fillId="0" borderId="0" xfId="1" applyNumberFormat="1" applyAlignment="1">
      <alignment horizontal="left" vertical="top"/>
    </xf>
    <xf numFmtId="49" fontId="3" fillId="0" borderId="0" xfId="1" applyNumberFormat="1" applyAlignment="1">
      <alignment horizontal="left" vertical="top"/>
    </xf>
    <xf numFmtId="14" fontId="3" fillId="0" borderId="0" xfId="1" applyNumberFormat="1" applyAlignment="1">
      <alignment horizontal="left" vertical="top" wrapText="1"/>
    </xf>
    <xf numFmtId="0" fontId="9" fillId="0" borderId="0" xfId="0" applyFont="1">
      <alignment vertical="center"/>
    </xf>
    <xf numFmtId="0" fontId="11" fillId="0" borderId="0" xfId="0" applyFont="1" applyAlignment="1">
      <alignment vertical="top"/>
    </xf>
    <xf numFmtId="0" fontId="11" fillId="0" borderId="1" xfId="0" applyFont="1" applyBorder="1" applyAlignment="1">
      <alignment vertical="top" wrapText="1"/>
    </xf>
    <xf numFmtId="0" fontId="12" fillId="0" borderId="1" xfId="0" applyFont="1" applyBorder="1" applyAlignment="1">
      <alignment vertical="top" wrapText="1"/>
    </xf>
    <xf numFmtId="0" fontId="11" fillId="0" borderId="0" xfId="0" applyFont="1" applyAlignment="1">
      <alignment vertical="top" wrapText="1"/>
    </xf>
    <xf numFmtId="0" fontId="11" fillId="3" borderId="2" xfId="0" applyFont="1" applyFill="1" applyBorder="1" applyAlignment="1">
      <alignment horizontal="center" vertical="top" wrapText="1"/>
    </xf>
    <xf numFmtId="0" fontId="11" fillId="0" borderId="1" xfId="0" applyFont="1" applyBorder="1" applyAlignment="1">
      <alignment vertical="center" wrapText="1"/>
    </xf>
    <xf numFmtId="0" fontId="11" fillId="7" borderId="1" xfId="0" applyFont="1" applyFill="1" applyBorder="1" applyAlignment="1">
      <alignment vertical="center" wrapText="1"/>
    </xf>
    <xf numFmtId="0" fontId="9" fillId="0" borderId="1" xfId="0" applyFont="1" applyBorder="1">
      <alignment vertical="center"/>
    </xf>
    <xf numFmtId="0" fontId="11" fillId="0" borderId="2" xfId="0" applyFont="1" applyBorder="1" applyAlignment="1">
      <alignment vertical="top" wrapText="1"/>
    </xf>
    <xf numFmtId="0" fontId="11" fillId="0" borderId="0" xfId="0" applyFont="1" applyAlignment="1">
      <alignment horizontal="center" vertical="top"/>
    </xf>
    <xf numFmtId="0" fontId="7" fillId="0" borderId="1" xfId="0" applyFont="1" applyBorder="1" applyAlignment="1">
      <alignment vertical="top" wrapText="1"/>
    </xf>
    <xf numFmtId="0" fontId="11" fillId="3" borderId="1" xfId="0" applyFont="1" applyFill="1" applyBorder="1" applyAlignment="1">
      <alignment horizontal="center" vertical="top"/>
    </xf>
    <xf numFmtId="0" fontId="11" fillId="3" borderId="14" xfId="0" applyFont="1" applyFill="1" applyBorder="1" applyAlignment="1">
      <alignment horizontal="center" vertical="top" wrapText="1"/>
    </xf>
    <xf numFmtId="0" fontId="11" fillId="0" borderId="1" xfId="0" applyFont="1" applyBorder="1" applyAlignment="1">
      <alignment horizontal="center" vertical="top"/>
    </xf>
    <xf numFmtId="0" fontId="11" fillId="0" borderId="7" xfId="0" applyFont="1" applyBorder="1" applyAlignment="1">
      <alignment horizontal="center" vertical="top" wrapText="1"/>
    </xf>
    <xf numFmtId="0" fontId="13" fillId="0" borderId="7" xfId="0" applyFont="1" applyBorder="1" applyAlignment="1">
      <alignment horizontal="center" vertical="center" wrapText="1"/>
    </xf>
    <xf numFmtId="0" fontId="13" fillId="0" borderId="7" xfId="0" applyFont="1" applyBorder="1" applyAlignment="1">
      <alignment horizontal="center" vertical="top" wrapText="1"/>
    </xf>
    <xf numFmtId="0" fontId="11" fillId="0" borderId="14" xfId="0" applyFont="1" applyBorder="1" applyAlignment="1">
      <alignment horizontal="center" vertical="top" wrapText="1"/>
    </xf>
    <xf numFmtId="0" fontId="11" fillId="0" borderId="0" xfId="0" applyFont="1" applyAlignment="1">
      <alignment horizontal="center" vertical="top" wrapText="1"/>
    </xf>
    <xf numFmtId="0" fontId="7" fillId="0" borderId="1" xfId="0" applyFont="1" applyBorder="1" applyAlignment="1">
      <alignment horizontal="center" vertical="top"/>
    </xf>
    <xf numFmtId="0" fontId="14" fillId="12" borderId="1" xfId="0" applyFont="1" applyFill="1" applyBorder="1" applyAlignment="1">
      <alignment horizontal="center" vertical="center"/>
    </xf>
    <xf numFmtId="0" fontId="14" fillId="12" borderId="1" xfId="0" applyFont="1" applyFill="1" applyBorder="1" applyAlignment="1">
      <alignment horizontal="center" vertical="center" wrapText="1"/>
    </xf>
    <xf numFmtId="0" fontId="15" fillId="12" borderId="1" xfId="0" applyFont="1" applyFill="1" applyBorder="1" applyAlignment="1">
      <alignment horizontal="center" vertical="center" wrapText="1"/>
    </xf>
    <xf numFmtId="0" fontId="16" fillId="0" borderId="0" xfId="0" applyFont="1">
      <alignment vertical="center"/>
    </xf>
    <xf numFmtId="0" fontId="15" fillId="0" borderId="1" xfId="0" applyFont="1" applyBorder="1">
      <alignment vertical="center"/>
    </xf>
    <xf numFmtId="0" fontId="17" fillId="11" borderId="1" xfId="0" applyFont="1" applyFill="1" applyBorder="1">
      <alignment vertical="center"/>
    </xf>
    <xf numFmtId="0" fontId="16" fillId="11" borderId="1" xfId="0" applyFont="1" applyFill="1" applyBorder="1">
      <alignment vertical="center"/>
    </xf>
    <xf numFmtId="0" fontId="18" fillId="11" borderId="1" xfId="0" applyFont="1" applyFill="1" applyBorder="1">
      <alignment vertical="center"/>
    </xf>
    <xf numFmtId="0" fontId="19" fillId="0" borderId="1" xfId="0" applyFont="1" applyBorder="1">
      <alignment vertical="center"/>
    </xf>
    <xf numFmtId="0" fontId="19" fillId="0" borderId="7" xfId="0" applyFont="1" applyBorder="1">
      <alignment vertical="center"/>
    </xf>
    <xf numFmtId="0" fontId="20" fillId="11" borderId="1" xfId="0" applyFont="1" applyFill="1" applyBorder="1">
      <alignment vertical="center"/>
    </xf>
    <xf numFmtId="0" fontId="16" fillId="11" borderId="1" xfId="0" applyFont="1" applyFill="1" applyBorder="1" applyAlignment="1">
      <alignment vertical="center" wrapText="1"/>
    </xf>
    <xf numFmtId="0" fontId="22" fillId="0" borderId="1" xfId="0" applyFont="1" applyBorder="1">
      <alignment vertical="center"/>
    </xf>
    <xf numFmtId="0" fontId="23" fillId="0" borderId="7" xfId="0" applyFont="1" applyBorder="1">
      <alignment vertical="center"/>
    </xf>
    <xf numFmtId="0" fontId="16" fillId="0" borderId="1" xfId="0" applyFont="1" applyBorder="1">
      <alignment vertical="center"/>
    </xf>
    <xf numFmtId="0" fontId="20" fillId="11" borderId="1" xfId="0" applyFont="1" applyFill="1" applyBorder="1" applyAlignment="1">
      <alignment vertical="center" wrapText="1"/>
    </xf>
    <xf numFmtId="0" fontId="15" fillId="11" borderId="1" xfId="0" applyFont="1" applyFill="1" applyBorder="1">
      <alignment vertical="center"/>
    </xf>
    <xf numFmtId="0" fontId="25" fillId="11" borderId="1" xfId="0" applyFont="1" applyFill="1" applyBorder="1">
      <alignment vertical="center"/>
    </xf>
    <xf numFmtId="0" fontId="16" fillId="0" borderId="0" xfId="0" applyFont="1" applyAlignment="1">
      <alignment horizontal="left" vertical="center"/>
    </xf>
    <xf numFmtId="0" fontId="19" fillId="3" borderId="1" xfId="0" applyFont="1" applyFill="1" applyBorder="1" applyAlignment="1">
      <alignment horizontal="center" vertical="center"/>
    </xf>
    <xf numFmtId="0" fontId="19" fillId="3" borderId="2"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25" fillId="0" borderId="0" xfId="0" applyFont="1">
      <alignment vertical="center"/>
    </xf>
    <xf numFmtId="0" fontId="25" fillId="0" borderId="1" xfId="0" applyFont="1" applyBorder="1" applyAlignment="1">
      <alignment vertical="center" wrapText="1"/>
    </xf>
    <xf numFmtId="0" fontId="16" fillId="0" borderId="7" xfId="0" applyFont="1" applyBorder="1" applyAlignment="1">
      <alignment horizontal="left" vertical="top" wrapText="1"/>
    </xf>
    <xf numFmtId="0" fontId="16" fillId="0" borderId="1" xfId="0" applyFont="1" applyBorder="1" applyAlignment="1">
      <alignment vertical="center" wrapText="1"/>
    </xf>
    <xf numFmtId="0" fontId="25" fillId="0" borderId="7" xfId="0" applyFont="1" applyBorder="1" applyAlignment="1">
      <alignment horizontal="left" vertical="top" wrapText="1"/>
    </xf>
    <xf numFmtId="0" fontId="16" fillId="0" borderId="1" xfId="0" applyFont="1" applyBorder="1" applyAlignment="1">
      <alignment horizontal="left" vertical="top" wrapText="1"/>
    </xf>
    <xf numFmtId="0" fontId="25" fillId="0" borderId="0" xfId="0" applyFont="1" applyAlignment="1">
      <alignment vertical="center" wrapText="1"/>
    </xf>
    <xf numFmtId="0" fontId="25" fillId="6" borderId="1" xfId="0" applyFont="1" applyFill="1" applyBorder="1" applyAlignment="1">
      <alignment horizontal="left" vertical="center" wrapText="1"/>
    </xf>
    <xf numFmtId="0" fontId="25" fillId="0" borderId="1" xfId="0" applyFont="1" applyBorder="1" applyAlignment="1">
      <alignment horizontal="left" vertical="center" wrapText="1"/>
    </xf>
    <xf numFmtId="0" fontId="25" fillId="6" borderId="2" xfId="0" applyFont="1" applyFill="1" applyBorder="1" applyAlignment="1">
      <alignment horizontal="left" vertical="center" wrapText="1"/>
    </xf>
    <xf numFmtId="0" fontId="16" fillId="0" borderId="1" xfId="0" applyFont="1" applyBorder="1" applyAlignment="1">
      <alignment horizontal="left" vertical="center" wrapText="1"/>
    </xf>
    <xf numFmtId="0" fontId="25" fillId="0" borderId="1" xfId="0" applyFont="1" applyBorder="1" applyAlignment="1">
      <alignment horizontal="left" vertical="top" wrapText="1"/>
    </xf>
    <xf numFmtId="0" fontId="16" fillId="0" borderId="2" xfId="0" applyFont="1" applyBorder="1" applyAlignment="1">
      <alignment horizontal="left" vertical="top" wrapText="1"/>
    </xf>
    <xf numFmtId="0" fontId="25" fillId="0" borderId="2" xfId="0" applyFont="1" applyBorder="1" applyAlignment="1">
      <alignment horizontal="left" vertical="top" wrapText="1"/>
    </xf>
    <xf numFmtId="0" fontId="25" fillId="0" borderId="5" xfId="0" applyFont="1" applyBorder="1" applyAlignment="1">
      <alignment horizontal="left" vertical="top" wrapText="1"/>
    </xf>
    <xf numFmtId="0" fontId="16" fillId="0" borderId="14" xfId="0" applyFont="1" applyBorder="1" applyAlignment="1">
      <alignment vertical="top" wrapText="1"/>
    </xf>
    <xf numFmtId="0" fontId="25" fillId="0" borderId="14" xfId="0" applyFont="1" applyBorder="1" applyAlignment="1">
      <alignment vertical="top" wrapText="1"/>
    </xf>
    <xf numFmtId="0" fontId="25" fillId="0" borderId="7" xfId="0" applyFont="1" applyBorder="1" applyAlignment="1">
      <alignment vertical="top" wrapText="1"/>
    </xf>
    <xf numFmtId="0" fontId="25" fillId="0" borderId="1" xfId="0" applyFont="1" applyBorder="1">
      <alignment vertical="center"/>
    </xf>
    <xf numFmtId="0" fontId="25" fillId="0" borderId="1" xfId="0" applyFont="1" applyBorder="1" applyAlignment="1">
      <alignment horizontal="center" vertical="center"/>
    </xf>
    <xf numFmtId="0" fontId="25" fillId="0" borderId="1" xfId="0" applyFont="1" applyBorder="1" applyAlignment="1">
      <alignment horizontal="left" vertical="center"/>
    </xf>
    <xf numFmtId="0" fontId="25" fillId="0" borderId="0" xfId="0" applyFont="1" applyAlignment="1">
      <alignment horizontal="center" vertical="center"/>
    </xf>
    <xf numFmtId="0" fontId="25" fillId="0" borderId="1" xfId="0" applyFont="1" applyBorder="1" applyAlignment="1">
      <alignment horizontal="center" vertical="center" wrapText="1"/>
    </xf>
    <xf numFmtId="0" fontId="23" fillId="0" borderId="1" xfId="0" applyFont="1" applyBorder="1">
      <alignment vertical="center"/>
    </xf>
    <xf numFmtId="0" fontId="29" fillId="0" borderId="1" xfId="0" applyFont="1" applyBorder="1">
      <alignment vertical="center"/>
    </xf>
    <xf numFmtId="0" fontId="15" fillId="7" borderId="1" xfId="0" applyFont="1" applyFill="1" applyBorder="1">
      <alignment vertical="center"/>
    </xf>
    <xf numFmtId="0" fontId="26" fillId="7" borderId="1" xfId="0" applyFont="1" applyFill="1" applyBorder="1">
      <alignment vertical="center"/>
    </xf>
    <xf numFmtId="0" fontId="23" fillId="7" borderId="1" xfId="0" applyFont="1" applyFill="1" applyBorder="1" applyAlignment="1">
      <alignment vertical="center" wrapText="1"/>
    </xf>
    <xf numFmtId="0" fontId="25" fillId="0" borderId="0" xfId="0" applyFont="1" applyAlignment="1">
      <alignment vertical="top"/>
    </xf>
    <xf numFmtId="0" fontId="15" fillId="0" borderId="1" xfId="0" applyFont="1" applyBorder="1" applyAlignment="1">
      <alignment vertical="center" wrapText="1"/>
    </xf>
    <xf numFmtId="0" fontId="23" fillId="5" borderId="1" xfId="0" applyFont="1" applyFill="1" applyBorder="1" applyAlignment="1">
      <alignment vertical="center" wrapText="1"/>
    </xf>
    <xf numFmtId="0" fontId="25" fillId="7" borderId="1" xfId="0" applyFont="1" applyFill="1" applyBorder="1">
      <alignment vertical="center"/>
    </xf>
    <xf numFmtId="0" fontId="27" fillId="7" borderId="1" xfId="0" applyFont="1" applyFill="1" applyBorder="1" applyAlignment="1">
      <alignment vertical="center" wrapText="1"/>
    </xf>
    <xf numFmtId="0" fontId="25" fillId="7" borderId="1" xfId="0" applyFont="1" applyFill="1" applyBorder="1" applyAlignment="1">
      <alignment horizontal="center" vertical="center"/>
    </xf>
    <xf numFmtId="0" fontId="23" fillId="5" borderId="1" xfId="0" applyFont="1" applyFill="1" applyBorder="1">
      <alignment vertical="center"/>
    </xf>
    <xf numFmtId="0" fontId="16" fillId="0" borderId="0" xfId="0" applyFont="1" applyAlignment="1">
      <alignment vertical="center" wrapText="1"/>
    </xf>
    <xf numFmtId="0" fontId="43" fillId="3" borderId="2" xfId="0" applyFont="1" applyFill="1" applyBorder="1" applyAlignment="1">
      <alignment horizontal="center" vertical="center"/>
    </xf>
    <xf numFmtId="0" fontId="14" fillId="4" borderId="2" xfId="0" applyFont="1" applyFill="1" applyBorder="1" applyAlignment="1">
      <alignment horizontal="center" vertical="center"/>
    </xf>
    <xf numFmtId="0" fontId="15" fillId="4" borderId="1" xfId="0" applyFont="1" applyFill="1" applyBorder="1" applyAlignment="1">
      <alignment horizontal="center" vertical="center"/>
    </xf>
    <xf numFmtId="0" fontId="43" fillId="3" borderId="2"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6" fillId="0" borderId="1" xfId="0" applyFont="1" applyBorder="1" applyAlignment="1">
      <alignment horizontal="left" vertical="center"/>
    </xf>
    <xf numFmtId="0" fontId="20" fillId="7" borderId="1" xfId="0" applyFont="1" applyFill="1" applyBorder="1" applyAlignment="1">
      <alignment horizontal="center" vertical="center"/>
    </xf>
    <xf numFmtId="0" fontId="16" fillId="0" borderId="1" xfId="0" applyFont="1" applyBorder="1" applyAlignment="1">
      <alignment horizontal="left" vertical="top"/>
    </xf>
    <xf numFmtId="0" fontId="16" fillId="0" borderId="1" xfId="0" applyFont="1" applyBorder="1" applyAlignment="1">
      <alignment horizontal="center" vertical="center"/>
    </xf>
    <xf numFmtId="0" fontId="23" fillId="0" borderId="39" xfId="0" applyFont="1" applyBorder="1">
      <alignment vertical="center"/>
    </xf>
    <xf numFmtId="0" fontId="18" fillId="7" borderId="1" xfId="0" applyFont="1" applyFill="1" applyBorder="1" applyAlignment="1">
      <alignment horizontal="center" vertical="center"/>
    </xf>
    <xf numFmtId="0" fontId="16" fillId="0" borderId="1" xfId="0" applyFont="1" applyBorder="1" applyAlignment="1">
      <alignment horizontal="center" vertical="center" wrapText="1"/>
    </xf>
    <xf numFmtId="0" fontId="14" fillId="4" borderId="1" xfId="0" applyFont="1" applyFill="1" applyBorder="1" applyAlignment="1">
      <alignment horizontal="center" vertical="center"/>
    </xf>
    <xf numFmtId="0" fontId="14" fillId="4" borderId="1" xfId="0" applyFont="1" applyFill="1" applyBorder="1" applyAlignment="1">
      <alignment horizontal="center" vertical="center" wrapText="1"/>
    </xf>
    <xf numFmtId="0" fontId="22" fillId="7" borderId="1" xfId="0" applyFont="1" applyFill="1" applyBorder="1">
      <alignment vertical="center"/>
    </xf>
    <xf numFmtId="0" fontId="22" fillId="7" borderId="1" xfId="0" applyFont="1" applyFill="1" applyBorder="1" applyAlignment="1">
      <alignment vertical="center" wrapText="1"/>
    </xf>
    <xf numFmtId="0" fontId="19" fillId="7" borderId="1" xfId="0" applyFont="1" applyFill="1" applyBorder="1">
      <alignment vertical="center"/>
    </xf>
    <xf numFmtId="0" fontId="23" fillId="7" borderId="1" xfId="0" applyFont="1" applyFill="1" applyBorder="1">
      <alignment vertical="center"/>
    </xf>
    <xf numFmtId="0" fontId="19" fillId="7" borderId="1" xfId="0" applyFont="1" applyFill="1" applyBorder="1" applyAlignment="1">
      <alignment horizontal="left" vertical="center" wrapText="1"/>
    </xf>
    <xf numFmtId="0" fontId="19" fillId="7" borderId="1" xfId="0" applyFont="1" applyFill="1" applyBorder="1" applyAlignment="1">
      <alignment horizontal="left" vertical="top" wrapText="1"/>
    </xf>
    <xf numFmtId="0" fontId="19" fillId="7" borderId="1" xfId="0" applyFont="1" applyFill="1" applyBorder="1" applyAlignment="1">
      <alignment vertical="top" wrapText="1"/>
    </xf>
    <xf numFmtId="0" fontId="44" fillId="7" borderId="1" xfId="0" applyFont="1" applyFill="1" applyBorder="1">
      <alignment vertical="center"/>
    </xf>
    <xf numFmtId="0" fontId="23" fillId="7" borderId="1" xfId="0" applyFont="1" applyFill="1" applyBorder="1" applyAlignment="1">
      <alignment horizontal="left" vertical="center"/>
    </xf>
    <xf numFmtId="0" fontId="23" fillId="7" borderId="1" xfId="0" applyFont="1" applyFill="1" applyBorder="1" applyAlignment="1">
      <alignment horizontal="left" vertical="center" wrapText="1"/>
    </xf>
    <xf numFmtId="0" fontId="19" fillId="7" borderId="1" xfId="0" applyFont="1" applyFill="1" applyBorder="1" applyAlignment="1">
      <alignment horizontal="center" vertical="center" wrapText="1"/>
    </xf>
    <xf numFmtId="0" fontId="23" fillId="7" borderId="1" xfId="0" applyFont="1" applyFill="1" applyBorder="1" applyAlignment="1">
      <alignment horizontal="left" vertical="top" wrapText="1"/>
    </xf>
    <xf numFmtId="0" fontId="23" fillId="7" borderId="1" xfId="0" applyFont="1" applyFill="1" applyBorder="1" applyAlignment="1">
      <alignment vertical="top" wrapText="1"/>
    </xf>
    <xf numFmtId="0" fontId="45" fillId="7" borderId="1" xfId="0" applyFont="1" applyFill="1" applyBorder="1">
      <alignment vertical="center"/>
    </xf>
    <xf numFmtId="0" fontId="45" fillId="0" borderId="1" xfId="0" applyFont="1" applyBorder="1">
      <alignment vertical="center"/>
    </xf>
    <xf numFmtId="0" fontId="19" fillId="7" borderId="1" xfId="0" applyFont="1" applyFill="1" applyBorder="1" applyAlignment="1">
      <alignment horizontal="left" vertical="center"/>
    </xf>
    <xf numFmtId="0" fontId="19" fillId="7" borderId="1" xfId="0" applyFont="1" applyFill="1" applyBorder="1" applyAlignment="1">
      <alignment horizontal="left" vertical="top"/>
    </xf>
    <xf numFmtId="0" fontId="19" fillId="7" borderId="1" xfId="0" applyFont="1" applyFill="1" applyBorder="1" applyAlignment="1">
      <alignment vertical="top"/>
    </xf>
    <xf numFmtId="0" fontId="21" fillId="7" borderId="1" xfId="0" applyFont="1" applyFill="1" applyBorder="1" applyAlignment="1">
      <alignment horizontal="left" vertical="top" wrapText="1"/>
    </xf>
    <xf numFmtId="0" fontId="46" fillId="7" borderId="1" xfId="0" applyFont="1" applyFill="1" applyBorder="1">
      <alignment vertical="center"/>
    </xf>
    <xf numFmtId="0" fontId="23" fillId="0" borderId="6" xfId="0" applyFont="1" applyBorder="1" applyAlignment="1">
      <alignment vertical="center" wrapText="1"/>
    </xf>
    <xf numFmtId="0" fontId="46" fillId="7" borderId="1" xfId="0" applyFont="1" applyFill="1" applyBorder="1" applyAlignment="1">
      <alignment horizontal="left" vertical="top" wrapText="1"/>
    </xf>
    <xf numFmtId="0" fontId="46" fillId="7" borderId="1" xfId="0" applyFont="1" applyFill="1" applyBorder="1" applyAlignment="1">
      <alignment vertical="center" wrapText="1"/>
    </xf>
    <xf numFmtId="0" fontId="46" fillId="7" borderId="1" xfId="0" applyFont="1" applyFill="1" applyBorder="1" applyAlignment="1">
      <alignment vertical="top" wrapText="1"/>
    </xf>
    <xf numFmtId="0" fontId="47" fillId="0" borderId="1" xfId="0" applyFont="1" applyBorder="1">
      <alignment vertical="center"/>
    </xf>
    <xf numFmtId="0" fontId="22" fillId="7" borderId="1" xfId="0" applyFont="1" applyFill="1" applyBorder="1" applyAlignment="1">
      <alignment vertical="top" wrapText="1"/>
    </xf>
    <xf numFmtId="0" fontId="23" fillId="7" borderId="1" xfId="0" applyFont="1" applyFill="1" applyBorder="1" applyAlignment="1">
      <alignment horizontal="center" vertical="center" wrapText="1"/>
    </xf>
    <xf numFmtId="0" fontId="23" fillId="7" borderId="1" xfId="0" applyFont="1" applyFill="1" applyBorder="1" applyAlignment="1">
      <alignment horizontal="center" vertical="center"/>
    </xf>
    <xf numFmtId="0" fontId="23" fillId="7" borderId="1" xfId="0" applyFont="1" applyFill="1" applyBorder="1" applyAlignment="1">
      <alignment horizontal="left" vertical="top"/>
    </xf>
    <xf numFmtId="0" fontId="23" fillId="7" borderId="1" xfId="0" applyFont="1" applyFill="1" applyBorder="1" applyAlignment="1">
      <alignment vertical="top"/>
    </xf>
    <xf numFmtId="0" fontId="23" fillId="0" borderId="3" xfId="0" applyFont="1" applyBorder="1">
      <alignment vertical="center"/>
    </xf>
    <xf numFmtId="0" fontId="43" fillId="3" borderId="1" xfId="0" applyFont="1" applyFill="1" applyBorder="1" applyAlignment="1">
      <alignment horizontal="left" vertical="center"/>
    </xf>
    <xf numFmtId="0" fontId="43" fillId="3" borderId="1" xfId="0" applyFont="1" applyFill="1" applyBorder="1" applyAlignment="1">
      <alignment horizontal="center" vertical="center"/>
    </xf>
    <xf numFmtId="0" fontId="15" fillId="12" borderId="2" xfId="0" applyFont="1" applyFill="1" applyBorder="1" applyAlignment="1">
      <alignment horizontal="center" vertical="center" wrapText="1"/>
    </xf>
    <xf numFmtId="0" fontId="50" fillId="0" borderId="1" xfId="0" applyFont="1" applyBorder="1">
      <alignment vertical="center"/>
    </xf>
    <xf numFmtId="0" fontId="50" fillId="0" borderId="7" xfId="0" applyFont="1" applyBorder="1">
      <alignment vertical="center"/>
    </xf>
    <xf numFmtId="0" fontId="16" fillId="0" borderId="6" xfId="0" applyFont="1" applyBorder="1">
      <alignment vertical="center"/>
    </xf>
    <xf numFmtId="0" fontId="51" fillId="0" borderId="1" xfId="0" applyFont="1" applyBorder="1">
      <alignment vertical="center"/>
    </xf>
    <xf numFmtId="0" fontId="51" fillId="0" borderId="1" xfId="0" applyFont="1" applyBorder="1" applyAlignment="1">
      <alignment vertical="center" wrapText="1"/>
    </xf>
    <xf numFmtId="0" fontId="51" fillId="0" borderId="3" xfId="0" applyFont="1" applyBorder="1">
      <alignment vertical="center"/>
    </xf>
    <xf numFmtId="0" fontId="52" fillId="0" borderId="0" xfId="0" applyFont="1">
      <alignment vertical="center"/>
    </xf>
    <xf numFmtId="0" fontId="53" fillId="0" borderId="0" xfId="0" applyFont="1">
      <alignment vertical="center"/>
    </xf>
    <xf numFmtId="0" fontId="54" fillId="8" borderId="11" xfId="0" applyFont="1" applyFill="1" applyBorder="1" applyAlignment="1">
      <alignment horizontal="center" vertical="center" wrapText="1"/>
    </xf>
    <xf numFmtId="0" fontId="54" fillId="8" borderId="8" xfId="0" applyFont="1" applyFill="1" applyBorder="1" applyAlignment="1">
      <alignment horizontal="center" vertical="center" wrapText="1"/>
    </xf>
    <xf numFmtId="0" fontId="54" fillId="8" borderId="28" xfId="0" applyFont="1" applyFill="1" applyBorder="1" applyAlignment="1">
      <alignment horizontal="center" vertical="center" wrapText="1"/>
    </xf>
    <xf numFmtId="0" fontId="55" fillId="8" borderId="1" xfId="0" applyFont="1" applyFill="1" applyBorder="1" applyAlignment="1">
      <alignment horizontal="center" vertical="center" wrapText="1"/>
    </xf>
    <xf numFmtId="0" fontId="54" fillId="8" borderId="1" xfId="0" applyFont="1" applyFill="1" applyBorder="1" applyAlignment="1">
      <alignment horizontal="center" vertical="center" wrapText="1"/>
    </xf>
    <xf numFmtId="0" fontId="51" fillId="0" borderId="9" xfId="0" applyFont="1" applyBorder="1" applyAlignment="1">
      <alignment horizontal="center" vertical="center"/>
    </xf>
    <xf numFmtId="0" fontId="51" fillId="0" borderId="10" xfId="0" applyFont="1" applyBorder="1" applyAlignment="1">
      <alignment horizontal="center" vertical="center"/>
    </xf>
    <xf numFmtId="0" fontId="51" fillId="0" borderId="10" xfId="0" applyFont="1" applyBorder="1">
      <alignment vertical="center"/>
    </xf>
    <xf numFmtId="0" fontId="51" fillId="0" borderId="10" xfId="0" applyFont="1" applyBorder="1" applyAlignment="1">
      <alignment vertical="center" wrapText="1"/>
    </xf>
    <xf numFmtId="0" fontId="51" fillId="0" borderId="16" xfId="0" applyFont="1" applyBorder="1">
      <alignment vertical="center"/>
    </xf>
    <xf numFmtId="0" fontId="51" fillId="0" borderId="16" xfId="0" applyFont="1" applyBorder="1" applyAlignment="1">
      <alignment vertical="center" wrapText="1"/>
    </xf>
    <xf numFmtId="0" fontId="51" fillId="0" borderId="9" xfId="0" applyFont="1" applyBorder="1" applyAlignment="1">
      <alignment horizontal="center" vertical="center" wrapText="1"/>
    </xf>
    <xf numFmtId="0" fontId="51" fillId="0" borderId="10" xfId="0" applyFont="1" applyBorder="1" applyAlignment="1">
      <alignment horizontal="center" vertical="center" wrapText="1"/>
    </xf>
    <xf numFmtId="0" fontId="14" fillId="0" borderId="1" xfId="0" applyFont="1" applyBorder="1" applyAlignment="1">
      <alignment vertical="center" wrapText="1"/>
    </xf>
    <xf numFmtId="0" fontId="51" fillId="0" borderId="0" xfId="0" applyFont="1" applyAlignment="1">
      <alignment horizontal="center" vertical="center" wrapText="1"/>
    </xf>
    <xf numFmtId="0" fontId="51" fillId="0" borderId="0" xfId="0" applyFont="1">
      <alignment vertical="center"/>
    </xf>
    <xf numFmtId="0" fontId="51" fillId="0" borderId="0" xfId="0" applyFont="1" applyAlignment="1">
      <alignment vertical="center" wrapText="1"/>
    </xf>
    <xf numFmtId="0" fontId="51" fillId="0" borderId="0" xfId="0" applyFont="1" applyAlignment="1">
      <alignment horizontal="center" vertical="center"/>
    </xf>
    <xf numFmtId="0" fontId="15" fillId="12" borderId="1" xfId="0" applyFont="1" applyFill="1" applyBorder="1" applyAlignment="1">
      <alignment horizontal="center" vertical="center"/>
    </xf>
    <xf numFmtId="0" fontId="15" fillId="12" borderId="3" xfId="0" applyFont="1" applyFill="1" applyBorder="1" applyAlignment="1">
      <alignment horizontal="center" vertical="center" wrapText="1"/>
    </xf>
    <xf numFmtId="0" fontId="14" fillId="7" borderId="1" xfId="0" applyFont="1" applyFill="1" applyBorder="1" applyAlignment="1">
      <alignment vertical="center" wrapText="1"/>
    </xf>
    <xf numFmtId="0" fontId="15" fillId="7" borderId="1" xfId="0" applyFont="1" applyFill="1" applyBorder="1" applyAlignment="1">
      <alignment vertical="top" wrapText="1"/>
    </xf>
    <xf numFmtId="0" fontId="23" fillId="14" borderId="39" xfId="0" applyFont="1" applyFill="1" applyBorder="1">
      <alignment vertical="center"/>
    </xf>
    <xf numFmtId="0" fontId="14" fillId="7" borderId="3" xfId="0" applyFont="1" applyFill="1" applyBorder="1" applyAlignment="1">
      <alignment vertical="center" wrapText="1"/>
    </xf>
    <xf numFmtId="0" fontId="14" fillId="7" borderId="2" xfId="0" applyFont="1" applyFill="1" applyBorder="1" applyAlignment="1">
      <alignment vertical="center" wrapText="1"/>
    </xf>
    <xf numFmtId="0" fontId="25" fillId="7" borderId="1" xfId="0" applyFont="1" applyFill="1" applyBorder="1" applyAlignment="1">
      <alignment vertical="center" wrapText="1"/>
    </xf>
    <xf numFmtId="0" fontId="15" fillId="7" borderId="1" xfId="0" applyFont="1" applyFill="1" applyBorder="1" applyAlignment="1">
      <alignment horizontal="left" vertical="top" wrapText="1"/>
    </xf>
    <xf numFmtId="0" fontId="51" fillId="14" borderId="14" xfId="0" applyFont="1" applyFill="1" applyBorder="1">
      <alignment vertical="center"/>
    </xf>
    <xf numFmtId="0" fontId="51" fillId="14" borderId="2" xfId="0" applyFont="1" applyFill="1" applyBorder="1" applyAlignment="1">
      <alignment vertical="center" wrapText="1"/>
    </xf>
    <xf numFmtId="0" fontId="25" fillId="7" borderId="1" xfId="0" applyFont="1" applyFill="1" applyBorder="1" applyAlignment="1">
      <alignment vertical="top"/>
    </xf>
    <xf numFmtId="0" fontId="51" fillId="14" borderId="2" xfId="0" applyFont="1" applyFill="1" applyBorder="1">
      <alignment vertical="center"/>
    </xf>
    <xf numFmtId="0" fontId="25" fillId="7" borderId="1" xfId="0" applyFont="1" applyFill="1" applyBorder="1" applyAlignment="1">
      <alignment vertical="top" wrapText="1"/>
    </xf>
    <xf numFmtId="0" fontId="56" fillId="14" borderId="2" xfId="0" applyFont="1" applyFill="1" applyBorder="1">
      <alignment vertical="center"/>
    </xf>
    <xf numFmtId="0" fontId="18" fillId="7" borderId="1" xfId="0" applyFont="1" applyFill="1" applyBorder="1" applyAlignment="1">
      <alignment horizontal="left" vertical="center" wrapText="1"/>
    </xf>
    <xf numFmtId="0" fontId="18" fillId="7" borderId="1" xfId="0" applyFont="1" applyFill="1" applyBorder="1">
      <alignment vertical="center"/>
    </xf>
    <xf numFmtId="0" fontId="56" fillId="14" borderId="14" xfId="0" applyFont="1" applyFill="1" applyBorder="1">
      <alignment vertical="center"/>
    </xf>
    <xf numFmtId="0" fontId="57" fillId="14" borderId="2" xfId="0" applyFont="1" applyFill="1" applyBorder="1">
      <alignment vertical="center"/>
    </xf>
    <xf numFmtId="0" fontId="18" fillId="0" borderId="17" xfId="0" applyFont="1" applyBorder="1" applyAlignment="1">
      <alignment vertical="top" wrapText="1"/>
    </xf>
    <xf numFmtId="0" fontId="51" fillId="14" borderId="7" xfId="0" applyFont="1" applyFill="1" applyBorder="1">
      <alignment vertical="center"/>
    </xf>
    <xf numFmtId="0" fontId="51" fillId="14" borderId="1" xfId="0" applyFont="1" applyFill="1" applyBorder="1">
      <alignment vertical="center"/>
    </xf>
    <xf numFmtId="0" fontId="25" fillId="0" borderId="0" xfId="0" applyFont="1" applyAlignment="1">
      <alignment horizontal="left" vertical="top"/>
    </xf>
    <xf numFmtId="0" fontId="17" fillId="10" borderId="31" xfId="0" applyFont="1" applyFill="1" applyBorder="1" applyAlignment="1">
      <alignment horizontal="center" vertical="center"/>
    </xf>
    <xf numFmtId="0" fontId="17" fillId="10" borderId="32" xfId="0" applyFont="1" applyFill="1" applyBorder="1" applyAlignment="1">
      <alignment horizontal="center" vertical="center"/>
    </xf>
    <xf numFmtId="10" fontId="16" fillId="0" borderId="24" xfId="0" applyNumberFormat="1" applyFont="1" applyBorder="1" applyAlignment="1">
      <alignment horizontal="right" vertical="center"/>
    </xf>
    <xf numFmtId="0" fontId="16" fillId="6" borderId="13" xfId="0" applyFont="1" applyFill="1" applyBorder="1">
      <alignment vertical="center"/>
    </xf>
    <xf numFmtId="0" fontId="25" fillId="6" borderId="22" xfId="0" applyFont="1" applyFill="1" applyBorder="1" applyAlignment="1">
      <alignment horizontal="center" vertical="center"/>
    </xf>
    <xf numFmtId="10" fontId="25" fillId="6" borderId="25" xfId="0" applyNumberFormat="1" applyFont="1" applyFill="1" applyBorder="1" applyAlignment="1">
      <alignment horizontal="right" vertical="center"/>
    </xf>
    <xf numFmtId="10" fontId="25" fillId="0" borderId="23" xfId="0" applyNumberFormat="1" applyFont="1" applyBorder="1" applyAlignment="1">
      <alignment horizontal="right" vertical="center"/>
    </xf>
    <xf numFmtId="0" fontId="16" fillId="6" borderId="22" xfId="0" applyFont="1" applyFill="1" applyBorder="1" applyAlignment="1">
      <alignment horizontal="center" vertical="center"/>
    </xf>
    <xf numFmtId="0" fontId="16" fillId="0" borderId="4" xfId="0" applyFont="1" applyBorder="1">
      <alignment vertical="center"/>
    </xf>
    <xf numFmtId="0" fontId="16" fillId="6" borderId="38" xfId="0" applyFont="1" applyFill="1" applyBorder="1">
      <alignment vertical="center"/>
    </xf>
    <xf numFmtId="0" fontId="16" fillId="0" borderId="32" xfId="0" applyFont="1" applyBorder="1">
      <alignment vertical="center"/>
    </xf>
    <xf numFmtId="0" fontId="17" fillId="10" borderId="3" xfId="0" applyFont="1" applyFill="1" applyBorder="1" applyAlignment="1">
      <alignment horizontal="center" vertical="center"/>
    </xf>
    <xf numFmtId="0" fontId="17" fillId="10" borderId="12" xfId="0" applyFont="1" applyFill="1" applyBorder="1" applyAlignment="1">
      <alignment horizontal="center" vertical="center"/>
    </xf>
    <xf numFmtId="0" fontId="17" fillId="10" borderId="41" xfId="0" applyFont="1" applyFill="1" applyBorder="1" applyAlignment="1">
      <alignment horizontal="center" vertical="center"/>
    </xf>
    <xf numFmtId="0" fontId="26" fillId="9" borderId="29" xfId="0" applyFont="1" applyFill="1" applyBorder="1">
      <alignment vertical="center"/>
    </xf>
    <xf numFmtId="10" fontId="16" fillId="0" borderId="0" xfId="0" applyNumberFormat="1" applyFont="1">
      <alignment vertical="center"/>
    </xf>
    <xf numFmtId="0" fontId="16" fillId="0" borderId="0" xfId="0" applyFont="1" applyAlignment="1">
      <alignment horizontal="center" vertical="center"/>
    </xf>
    <xf numFmtId="0" fontId="26" fillId="10" borderId="44" xfId="0" applyFont="1" applyFill="1" applyBorder="1" applyAlignment="1">
      <alignment horizontal="center" vertical="center"/>
    </xf>
    <xf numFmtId="10" fontId="25" fillId="0" borderId="1" xfId="0" applyNumberFormat="1" applyFont="1" applyBorder="1">
      <alignment vertical="center"/>
    </xf>
    <xf numFmtId="10" fontId="16" fillId="0" borderId="1" xfId="0" applyNumberFormat="1" applyFont="1" applyBorder="1">
      <alignment vertical="center"/>
    </xf>
    <xf numFmtId="0" fontId="16" fillId="0" borderId="18" xfId="0" applyFont="1" applyBorder="1" applyAlignment="1">
      <alignment horizontal="left" vertical="center"/>
    </xf>
    <xf numFmtId="10" fontId="25" fillId="0" borderId="19" xfId="0" applyNumberFormat="1" applyFont="1" applyBorder="1">
      <alignment vertical="center"/>
    </xf>
    <xf numFmtId="0" fontId="16" fillId="0" borderId="20" xfId="0" applyFont="1" applyBorder="1" applyAlignment="1">
      <alignment horizontal="left" vertical="center"/>
    </xf>
    <xf numFmtId="9" fontId="16" fillId="0" borderId="24" xfId="0" applyNumberFormat="1" applyFont="1" applyBorder="1">
      <alignment vertical="center"/>
    </xf>
    <xf numFmtId="0" fontId="16" fillId="0" borderId="21" xfId="0" applyFont="1" applyBorder="1" applyAlignment="1">
      <alignment horizontal="left" vertical="center"/>
    </xf>
    <xf numFmtId="10" fontId="16" fillId="0" borderId="22" xfId="0" applyNumberFormat="1" applyFont="1" applyBorder="1">
      <alignment vertical="center"/>
    </xf>
    <xf numFmtId="9" fontId="16" fillId="0" borderId="23" xfId="0" applyNumberFormat="1" applyFont="1" applyBorder="1">
      <alignment vertical="center"/>
    </xf>
    <xf numFmtId="9" fontId="16" fillId="0" borderId="25" xfId="0" applyNumberFormat="1" applyFont="1" applyBorder="1">
      <alignment vertical="center"/>
    </xf>
    <xf numFmtId="0" fontId="25" fillId="7" borderId="6" xfId="0" applyFont="1" applyFill="1" applyBorder="1" applyAlignment="1">
      <alignment horizontal="center" vertical="center" wrapText="1"/>
    </xf>
    <xf numFmtId="0" fontId="23" fillId="13" borderId="1" xfId="0" applyFont="1" applyFill="1" applyBorder="1">
      <alignment vertical="center"/>
    </xf>
    <xf numFmtId="0" fontId="26" fillId="9" borderId="30" xfId="0" applyFont="1" applyFill="1" applyBorder="1" applyAlignment="1">
      <alignment horizontal="left" vertical="center"/>
    </xf>
    <xf numFmtId="0" fontId="14" fillId="0" borderId="1" xfId="0" applyFont="1" applyBorder="1">
      <alignment vertical="center"/>
    </xf>
    <xf numFmtId="0" fontId="58" fillId="11" borderId="1" xfId="0" applyFont="1" applyFill="1" applyBorder="1">
      <alignment vertical="center"/>
    </xf>
    <xf numFmtId="0" fontId="14" fillId="11" borderId="1" xfId="0" applyFont="1" applyFill="1" applyBorder="1">
      <alignment vertical="center"/>
    </xf>
    <xf numFmtId="0" fontId="14" fillId="11" borderId="1" xfId="0" applyFont="1" applyFill="1" applyBorder="1" applyAlignment="1">
      <alignment vertical="center" wrapText="1"/>
    </xf>
    <xf numFmtId="0" fontId="14" fillId="7" borderId="1" xfId="0" applyFont="1" applyFill="1" applyBorder="1" applyAlignment="1">
      <alignment vertical="top" wrapText="1"/>
    </xf>
    <xf numFmtId="0" fontId="29" fillId="7" borderId="1" xfId="0" applyFont="1" applyFill="1" applyBorder="1" applyAlignment="1">
      <alignment horizontal="left" vertical="top" wrapText="1"/>
    </xf>
    <xf numFmtId="0" fontId="23" fillId="7" borderId="20" xfId="0" applyFont="1" applyFill="1" applyBorder="1">
      <alignment vertical="center"/>
    </xf>
    <xf numFmtId="0" fontId="25" fillId="7" borderId="1" xfId="0" applyFont="1" applyFill="1" applyBorder="1" applyAlignment="1">
      <alignment horizontal="center" vertical="center" wrapText="1"/>
    </xf>
    <xf numFmtId="0" fontId="23" fillId="7" borderId="46" xfId="0" applyFont="1" applyFill="1" applyBorder="1" applyAlignment="1">
      <alignment horizontal="center" vertical="center"/>
    </xf>
    <xf numFmtId="0" fontId="23" fillId="7" borderId="6" xfId="0" applyFont="1" applyFill="1" applyBorder="1" applyAlignment="1">
      <alignment horizontal="center" vertical="center"/>
    </xf>
    <xf numFmtId="0" fontId="25" fillId="7" borderId="13" xfId="0" applyFont="1" applyFill="1" applyBorder="1" applyAlignment="1">
      <alignment horizontal="center" vertical="center" wrapText="1"/>
    </xf>
    <xf numFmtId="0" fontId="23" fillId="7" borderId="5" xfId="0" applyFont="1" applyFill="1" applyBorder="1">
      <alignment vertical="center"/>
    </xf>
    <xf numFmtId="0" fontId="23" fillId="7" borderId="2" xfId="0" applyFont="1" applyFill="1" applyBorder="1" applyAlignment="1">
      <alignment horizontal="center" vertical="center"/>
    </xf>
    <xf numFmtId="0" fontId="25" fillId="7" borderId="4" xfId="0" applyFont="1" applyFill="1" applyBorder="1" applyAlignment="1">
      <alignment horizontal="center" vertical="center" wrapText="1"/>
    </xf>
    <xf numFmtId="0" fontId="61" fillId="0" borderId="39" xfId="0" applyFont="1" applyBorder="1">
      <alignment vertical="center"/>
    </xf>
    <xf numFmtId="0" fontId="61" fillId="0" borderId="42" xfId="0" applyFont="1" applyBorder="1">
      <alignment vertical="center"/>
    </xf>
    <xf numFmtId="49" fontId="25" fillId="7" borderId="1" xfId="0" applyNumberFormat="1" applyFont="1" applyFill="1" applyBorder="1" applyAlignment="1">
      <alignment vertical="center" wrapText="1"/>
    </xf>
    <xf numFmtId="0" fontId="25" fillId="7" borderId="0" xfId="0" applyFont="1" applyFill="1">
      <alignment vertical="center"/>
    </xf>
    <xf numFmtId="0" fontId="25" fillId="7" borderId="0" xfId="0" applyFont="1" applyFill="1" applyAlignment="1">
      <alignment horizontal="center" vertical="center"/>
    </xf>
    <xf numFmtId="0" fontId="25" fillId="7" borderId="0" xfId="0" applyFont="1" applyFill="1" applyAlignment="1">
      <alignment horizontal="left" vertical="center"/>
    </xf>
    <xf numFmtId="49" fontId="25" fillId="7" borderId="0" xfId="0" applyNumberFormat="1" applyFont="1" applyFill="1">
      <alignment vertical="center"/>
    </xf>
    <xf numFmtId="0" fontId="25" fillId="7" borderId="0" xfId="0" applyFont="1" applyFill="1" applyAlignment="1">
      <alignment horizontal="center" vertical="center" wrapText="1"/>
    </xf>
    <xf numFmtId="0" fontId="25" fillId="7" borderId="43" xfId="0" applyFont="1" applyFill="1" applyBorder="1" applyAlignment="1">
      <alignment horizontal="center" vertical="center" wrapText="1"/>
    </xf>
    <xf numFmtId="0" fontId="25" fillId="7" borderId="0" xfId="0" applyFont="1" applyFill="1" applyAlignment="1">
      <alignment vertical="top" wrapText="1"/>
    </xf>
    <xf numFmtId="0" fontId="25" fillId="7" borderId="0" xfId="0" applyFont="1" applyFill="1" applyAlignment="1">
      <alignment vertical="top"/>
    </xf>
    <xf numFmtId="0" fontId="15" fillId="7" borderId="1" xfId="0" applyFont="1" applyFill="1" applyBorder="1" applyAlignment="1">
      <alignment horizontal="center" vertical="center"/>
    </xf>
    <xf numFmtId="0" fontId="10" fillId="7" borderId="1" xfId="0" applyFont="1" applyFill="1" applyBorder="1" applyAlignment="1">
      <alignment vertical="center" wrapText="1"/>
    </xf>
    <xf numFmtId="0" fontId="18" fillId="7" borderId="1" xfId="0" applyFont="1" applyFill="1" applyBorder="1" applyAlignment="1">
      <alignment horizontal="center" vertical="center" wrapText="1"/>
    </xf>
    <xf numFmtId="0" fontId="25" fillId="7" borderId="1" xfId="0" applyFont="1" applyFill="1" applyBorder="1" applyAlignment="1">
      <alignment horizontal="left" vertical="center" wrapText="1"/>
    </xf>
    <xf numFmtId="0" fontId="28" fillId="7" borderId="1" xfId="0" applyFont="1" applyFill="1" applyBorder="1" applyAlignment="1">
      <alignment horizontal="center" vertical="center" wrapText="1"/>
    </xf>
    <xf numFmtId="0" fontId="25" fillId="7" borderId="7" xfId="0" applyFont="1" applyFill="1" applyBorder="1" applyAlignment="1">
      <alignment horizontal="center" vertical="center" wrapText="1"/>
    </xf>
    <xf numFmtId="0" fontId="25" fillId="7" borderId="20" xfId="0" applyFont="1" applyFill="1" applyBorder="1" applyAlignment="1">
      <alignment horizontal="center" vertical="center" wrapText="1"/>
    </xf>
    <xf numFmtId="0" fontId="25" fillId="7" borderId="24" xfId="0" applyFont="1" applyFill="1" applyBorder="1" applyAlignment="1">
      <alignment horizontal="center" vertical="center" wrapText="1"/>
    </xf>
    <xf numFmtId="0" fontId="25" fillId="7" borderId="24" xfId="0" applyFont="1" applyFill="1" applyBorder="1" applyAlignment="1">
      <alignment vertical="center" wrapText="1"/>
    </xf>
    <xf numFmtId="0" fontId="10" fillId="7" borderId="1" xfId="0" applyFont="1" applyFill="1" applyBorder="1">
      <alignment vertical="center"/>
    </xf>
    <xf numFmtId="0" fontId="25" fillId="7" borderId="1" xfId="0" applyFont="1" applyFill="1" applyBorder="1" applyAlignment="1">
      <alignment horizontal="center" vertical="top" wrapText="1"/>
    </xf>
    <xf numFmtId="0" fontId="23" fillId="7" borderId="24" xfId="0" applyFont="1" applyFill="1" applyBorder="1">
      <alignment vertical="center"/>
    </xf>
    <xf numFmtId="0" fontId="29" fillId="7" borderId="1" xfId="0" applyFont="1" applyFill="1" applyBorder="1" applyAlignment="1">
      <alignment vertical="center" wrapText="1"/>
    </xf>
    <xf numFmtId="49" fontId="25" fillId="7" borderId="1" xfId="0" applyNumberFormat="1" applyFont="1" applyFill="1" applyBorder="1">
      <alignment vertical="center"/>
    </xf>
    <xf numFmtId="0" fontId="18" fillId="7" borderId="7" xfId="0" applyFont="1" applyFill="1" applyBorder="1" applyAlignment="1">
      <alignment horizontal="center" vertical="center" wrapText="1"/>
    </xf>
    <xf numFmtId="0" fontId="61" fillId="7" borderId="47" xfId="0" applyFont="1" applyFill="1" applyBorder="1" applyAlignment="1">
      <alignment vertical="center" wrapText="1"/>
    </xf>
    <xf numFmtId="0" fontId="25" fillId="7" borderId="1" xfId="0" applyFont="1" applyFill="1" applyBorder="1" applyAlignment="1">
      <alignment horizontal="left" vertical="center"/>
    </xf>
    <xf numFmtId="0" fontId="29" fillId="7" borderId="0" xfId="0" applyFont="1" applyFill="1" applyAlignment="1">
      <alignment horizontal="center" vertical="center"/>
    </xf>
    <xf numFmtId="0" fontId="22" fillId="7" borderId="20" xfId="0" applyFont="1" applyFill="1" applyBorder="1">
      <alignment vertical="center"/>
    </xf>
    <xf numFmtId="0" fontId="61" fillId="7" borderId="39" xfId="0" applyFont="1" applyFill="1" applyBorder="1">
      <alignment vertical="center"/>
    </xf>
    <xf numFmtId="0" fontId="61" fillId="7" borderId="42" xfId="0" applyFont="1" applyFill="1" applyBorder="1">
      <alignment vertical="center"/>
    </xf>
    <xf numFmtId="0" fontId="29" fillId="7" borderId="1" xfId="0" applyFont="1" applyFill="1" applyBorder="1">
      <alignment vertical="center"/>
    </xf>
    <xf numFmtId="0" fontId="29" fillId="7" borderId="0" xfId="0" applyFont="1" applyFill="1">
      <alignment vertical="center"/>
    </xf>
    <xf numFmtId="0" fontId="16" fillId="7" borderId="1" xfId="0" applyFont="1" applyFill="1" applyBorder="1" applyAlignment="1">
      <alignment horizontal="left" vertical="center" wrapText="1"/>
    </xf>
    <xf numFmtId="0" fontId="23" fillId="7" borderId="6" xfId="0" applyFont="1" applyFill="1" applyBorder="1">
      <alignment vertical="center"/>
    </xf>
    <xf numFmtId="0" fontId="23" fillId="7" borderId="24" xfId="0" applyFont="1" applyFill="1" applyBorder="1" applyAlignment="1">
      <alignment vertical="center" wrapText="1"/>
    </xf>
    <xf numFmtId="0" fontId="18" fillId="7" borderId="3" xfId="0" applyFont="1" applyFill="1" applyBorder="1" applyAlignment="1">
      <alignment horizontal="center" vertical="center" wrapText="1"/>
    </xf>
    <xf numFmtId="0" fontId="18" fillId="7" borderId="12" xfId="0" applyFont="1" applyFill="1" applyBorder="1" applyAlignment="1">
      <alignment horizontal="center" vertical="center" wrapText="1"/>
    </xf>
    <xf numFmtId="0" fontId="32" fillId="7" borderId="1" xfId="0" applyFont="1" applyFill="1" applyBorder="1" applyAlignment="1">
      <alignment horizontal="center" vertical="center" wrapText="1"/>
    </xf>
    <xf numFmtId="0" fontId="23" fillId="7" borderId="2" xfId="0" applyFont="1" applyFill="1" applyBorder="1" applyAlignment="1">
      <alignment vertical="center" wrapText="1"/>
    </xf>
    <xf numFmtId="0" fontId="23" fillId="7" borderId="26" xfId="0" applyFont="1" applyFill="1" applyBorder="1">
      <alignment vertical="center"/>
    </xf>
    <xf numFmtId="0" fontId="25" fillId="7" borderId="2" xfId="0" applyFont="1" applyFill="1" applyBorder="1" applyAlignment="1">
      <alignment horizontal="center" vertical="center" wrapText="1"/>
    </xf>
    <xf numFmtId="0" fontId="23" fillId="7" borderId="7" xfId="0" applyFont="1" applyFill="1" applyBorder="1">
      <alignment vertical="center"/>
    </xf>
    <xf numFmtId="0" fontId="23" fillId="7" borderId="3" xfId="0" applyFont="1" applyFill="1" applyBorder="1" applyAlignment="1">
      <alignment vertical="center" wrapText="1"/>
    </xf>
    <xf numFmtId="0" fontId="23" fillId="7" borderId="41" xfId="0" applyFont="1" applyFill="1" applyBorder="1" applyAlignment="1">
      <alignment vertical="center" wrapText="1"/>
    </xf>
    <xf numFmtId="0" fontId="23" fillId="7" borderId="45" xfId="0" applyFont="1" applyFill="1" applyBorder="1">
      <alignment vertical="center"/>
    </xf>
    <xf numFmtId="0" fontId="23" fillId="7" borderId="3" xfId="0" applyFont="1" applyFill="1" applyBorder="1">
      <alignment vertical="center"/>
    </xf>
    <xf numFmtId="0" fontId="23" fillId="7" borderId="26" xfId="0" applyFont="1" applyFill="1" applyBorder="1" applyAlignment="1">
      <alignment vertical="center" wrapText="1"/>
    </xf>
    <xf numFmtId="0" fontId="23" fillId="7" borderId="2" xfId="0" applyFont="1" applyFill="1" applyBorder="1">
      <alignment vertical="center"/>
    </xf>
    <xf numFmtId="0" fontId="23" fillId="7" borderId="0" xfId="0" applyFont="1" applyFill="1">
      <alignment vertical="center"/>
    </xf>
    <xf numFmtId="0" fontId="19" fillId="7" borderId="20" xfId="0" applyFont="1" applyFill="1" applyBorder="1">
      <alignment vertical="center"/>
    </xf>
    <xf numFmtId="0" fontId="14" fillId="7" borderId="24" xfId="0" applyFont="1" applyFill="1" applyBorder="1" applyAlignment="1">
      <alignment vertical="center" wrapText="1"/>
    </xf>
    <xf numFmtId="0" fontId="18" fillId="7" borderId="6" xfId="0" applyFont="1" applyFill="1" applyBorder="1" applyAlignment="1">
      <alignment horizontal="center" vertical="center" wrapText="1"/>
    </xf>
    <xf numFmtId="0" fontId="61" fillId="7" borderId="1" xfId="0" applyFont="1" applyFill="1" applyBorder="1">
      <alignment vertical="center"/>
    </xf>
    <xf numFmtId="0" fontId="18" fillId="7" borderId="20" xfId="0" applyFont="1" applyFill="1" applyBorder="1" applyAlignment="1">
      <alignment horizontal="center" vertical="center" wrapText="1"/>
    </xf>
    <xf numFmtId="0" fontId="22" fillId="7" borderId="6" xfId="0" applyFont="1" applyFill="1" applyBorder="1">
      <alignment vertical="center"/>
    </xf>
    <xf numFmtId="0" fontId="16" fillId="7" borderId="24" xfId="0" applyFont="1" applyFill="1" applyBorder="1" applyAlignment="1">
      <alignment vertical="center" wrapText="1"/>
    </xf>
    <xf numFmtId="0" fontId="14" fillId="7" borderId="1" xfId="0" applyFont="1" applyFill="1" applyBorder="1" applyAlignment="1">
      <alignment horizontal="left" vertical="center" wrapText="1"/>
    </xf>
    <xf numFmtId="0" fontId="25" fillId="7" borderId="14" xfId="0" applyFont="1" applyFill="1" applyBorder="1" applyAlignment="1">
      <alignment horizontal="center" vertical="center" wrapText="1"/>
    </xf>
    <xf numFmtId="0" fontId="25" fillId="7" borderId="12" xfId="0" applyFont="1" applyFill="1" applyBorder="1" applyAlignment="1">
      <alignment horizontal="center" vertical="center" wrapText="1"/>
    </xf>
    <xf numFmtId="0" fontId="32" fillId="7" borderId="7" xfId="0" applyFont="1" applyFill="1" applyBorder="1" applyAlignment="1">
      <alignment horizontal="center" vertical="center" wrapText="1"/>
    </xf>
    <xf numFmtId="0" fontId="15" fillId="7" borderId="1" xfId="0" applyFont="1" applyFill="1" applyBorder="1" applyAlignment="1">
      <alignment horizontal="left" vertical="center" wrapText="1"/>
    </xf>
    <xf numFmtId="49" fontId="14" fillId="7" borderId="1" xfId="0" applyNumberFormat="1" applyFont="1" applyFill="1" applyBorder="1" applyAlignment="1">
      <alignment vertical="center" wrapText="1"/>
    </xf>
    <xf numFmtId="0" fontId="25" fillId="7" borderId="24" xfId="0" applyFont="1" applyFill="1" applyBorder="1" applyAlignment="1">
      <alignment vertical="top" wrapText="1"/>
    </xf>
    <xf numFmtId="49" fontId="16" fillId="7" borderId="1" xfId="0" applyNumberFormat="1" applyFont="1" applyFill="1" applyBorder="1" applyAlignment="1">
      <alignment vertical="center" wrapText="1"/>
    </xf>
    <xf numFmtId="0" fontId="15" fillId="7" borderId="1" xfId="0" applyFont="1" applyFill="1" applyBorder="1" applyAlignment="1">
      <alignment horizontal="center" vertical="center" wrapText="1"/>
    </xf>
    <xf numFmtId="0" fontId="29" fillId="7" borderId="24" xfId="0" applyFont="1" applyFill="1" applyBorder="1" applyAlignment="1">
      <alignment vertical="top" wrapText="1"/>
    </xf>
    <xf numFmtId="0" fontId="15" fillId="7" borderId="1" xfId="0" applyFont="1" applyFill="1" applyBorder="1" applyAlignment="1">
      <alignment vertical="center" wrapText="1"/>
    </xf>
    <xf numFmtId="0" fontId="26" fillId="7" borderId="1" xfId="0" applyFont="1" applyFill="1" applyBorder="1" applyAlignment="1">
      <alignment vertical="center" wrapText="1"/>
    </xf>
    <xf numFmtId="0" fontId="25" fillId="7" borderId="0" xfId="0" applyFont="1" applyFill="1" applyAlignment="1">
      <alignment vertical="center" wrapText="1"/>
    </xf>
    <xf numFmtId="0" fontId="23" fillId="7" borderId="0" xfId="0" applyFont="1" applyFill="1" applyAlignment="1">
      <alignment vertical="center" wrapText="1"/>
    </xf>
    <xf numFmtId="49" fontId="25" fillId="7" borderId="1" xfId="0" applyNumberFormat="1" applyFont="1" applyFill="1" applyBorder="1" applyAlignment="1">
      <alignment horizontal="center" vertical="center" wrapText="1"/>
    </xf>
    <xf numFmtId="49" fontId="25" fillId="7" borderId="7" xfId="0" applyNumberFormat="1" applyFont="1" applyFill="1" applyBorder="1" applyAlignment="1">
      <alignment horizontal="center" vertical="center" wrapText="1"/>
    </xf>
    <xf numFmtId="0" fontId="15" fillId="7" borderId="6" xfId="0" applyFont="1" applyFill="1" applyBorder="1" applyAlignment="1">
      <alignment horizontal="center" vertical="center" wrapText="1"/>
    </xf>
    <xf numFmtId="0" fontId="35" fillId="7" borderId="0" xfId="0" applyFont="1" applyFill="1">
      <alignment vertical="center"/>
    </xf>
    <xf numFmtId="49" fontId="25" fillId="7" borderId="1" xfId="0" applyNumberFormat="1" applyFont="1" applyFill="1" applyBorder="1" applyAlignment="1">
      <alignment horizontal="left" vertical="center" wrapText="1"/>
    </xf>
    <xf numFmtId="0" fontId="19" fillId="7" borderId="24" xfId="0" applyFont="1" applyFill="1" applyBorder="1">
      <alignment vertical="center"/>
    </xf>
    <xf numFmtId="0" fontId="23" fillId="7" borderId="42" xfId="0" applyFont="1" applyFill="1" applyBorder="1" applyAlignment="1">
      <alignment vertical="center" wrapText="1"/>
    </xf>
    <xf numFmtId="0" fontId="23" fillId="7" borderId="43" xfId="0" applyFont="1" applyFill="1" applyBorder="1">
      <alignment vertical="center"/>
    </xf>
    <xf numFmtId="0" fontId="19" fillId="7" borderId="6" xfId="0" applyFont="1" applyFill="1" applyBorder="1">
      <alignment vertical="center"/>
    </xf>
    <xf numFmtId="0" fontId="25" fillId="7" borderId="24" xfId="0" applyFont="1" applyFill="1" applyBorder="1" applyAlignment="1">
      <alignment horizontal="left" vertical="top" wrapText="1"/>
    </xf>
    <xf numFmtId="0" fontId="15" fillId="7" borderId="7" xfId="0" applyFont="1" applyFill="1" applyBorder="1" applyAlignment="1">
      <alignment horizontal="center" vertical="center" wrapText="1"/>
    </xf>
    <xf numFmtId="0" fontId="25" fillId="7" borderId="2" xfId="0" applyFont="1" applyFill="1" applyBorder="1" applyAlignment="1">
      <alignment horizontal="left" vertical="center" wrapText="1"/>
    </xf>
    <xf numFmtId="0" fontId="25" fillId="7" borderId="7" xfId="0" applyFont="1" applyFill="1" applyBorder="1" applyAlignment="1">
      <alignment horizontal="center" vertical="center"/>
    </xf>
    <xf numFmtId="49" fontId="25" fillId="7" borderId="6" xfId="0" applyNumberFormat="1" applyFont="1" applyFill="1" applyBorder="1" applyAlignment="1">
      <alignment vertical="center" wrapText="1"/>
    </xf>
    <xf numFmtId="0" fontId="25" fillId="7" borderId="3" xfId="0" applyFont="1" applyFill="1" applyBorder="1" applyAlignment="1">
      <alignment horizontal="left" vertical="center" wrapText="1"/>
    </xf>
    <xf numFmtId="0" fontId="36" fillId="7" borderId="0" xfId="0" applyFont="1" applyFill="1" applyAlignment="1">
      <alignment vertical="center" wrapText="1"/>
    </xf>
    <xf numFmtId="0" fontId="25" fillId="7" borderId="1" xfId="0" applyFont="1" applyFill="1" applyBorder="1" applyAlignment="1">
      <alignment horizontal="left" vertical="top" wrapText="1"/>
    </xf>
    <xf numFmtId="0" fontId="15" fillId="7" borderId="20" xfId="0" applyFont="1" applyFill="1" applyBorder="1" applyAlignment="1">
      <alignment horizontal="center" vertical="center" wrapText="1"/>
    </xf>
    <xf numFmtId="0" fontId="25" fillId="7" borderId="2" xfId="0" applyFont="1" applyFill="1" applyBorder="1" applyAlignment="1">
      <alignment horizontal="left" vertical="center"/>
    </xf>
    <xf numFmtId="0" fontId="28" fillId="7" borderId="2" xfId="0" applyFont="1" applyFill="1" applyBorder="1" applyAlignment="1">
      <alignment horizontal="center" vertical="center" wrapText="1"/>
    </xf>
    <xf numFmtId="0" fontId="37" fillId="7" borderId="1" xfId="0" applyFont="1" applyFill="1" applyBorder="1" applyAlignment="1">
      <alignment horizontal="center" vertical="center"/>
    </xf>
    <xf numFmtId="0" fontId="25" fillId="7" borderId="2" xfId="0" applyFont="1" applyFill="1" applyBorder="1" applyAlignment="1">
      <alignment vertical="center" wrapText="1"/>
    </xf>
    <xf numFmtId="49" fontId="25" fillId="7" borderId="6" xfId="0" applyNumberFormat="1" applyFont="1" applyFill="1" applyBorder="1" applyAlignment="1">
      <alignment horizontal="left" vertical="center" wrapText="1"/>
    </xf>
    <xf numFmtId="49" fontId="14" fillId="7" borderId="6" xfId="0" applyNumberFormat="1" applyFont="1" applyFill="1" applyBorder="1" applyAlignment="1">
      <alignment vertical="center" wrapText="1"/>
    </xf>
    <xf numFmtId="0" fontId="14" fillId="7" borderId="24" xfId="0" applyFont="1" applyFill="1" applyBorder="1" applyAlignment="1">
      <alignment vertical="top" wrapText="1"/>
    </xf>
    <xf numFmtId="49" fontId="25" fillId="7" borderId="2" xfId="0" applyNumberFormat="1" applyFont="1" applyFill="1" applyBorder="1" applyAlignment="1">
      <alignment vertical="center" wrapText="1"/>
    </xf>
    <xf numFmtId="49" fontId="25" fillId="7" borderId="2" xfId="0" applyNumberFormat="1" applyFont="1" applyFill="1" applyBorder="1">
      <alignment vertical="center"/>
    </xf>
    <xf numFmtId="0" fontId="25" fillId="7" borderId="7" xfId="0" applyFont="1" applyFill="1" applyBorder="1" applyAlignment="1">
      <alignment horizontal="left" vertical="center" wrapText="1"/>
    </xf>
    <xf numFmtId="0" fontId="25" fillId="7" borderId="7" xfId="0" applyFont="1" applyFill="1" applyBorder="1" applyAlignment="1">
      <alignment horizontal="left" vertical="center"/>
    </xf>
    <xf numFmtId="49" fontId="25" fillId="7" borderId="3" xfId="0" applyNumberFormat="1" applyFont="1" applyFill="1" applyBorder="1" applyAlignment="1">
      <alignment vertical="center" wrapText="1"/>
    </xf>
    <xf numFmtId="49" fontId="25" fillId="7" borderId="1" xfId="0" applyNumberFormat="1" applyFont="1" applyFill="1" applyBorder="1" applyAlignment="1">
      <alignment horizontal="center" vertical="center"/>
    </xf>
    <xf numFmtId="0" fontId="39" fillId="7" borderId="1" xfId="0" applyFont="1" applyFill="1" applyBorder="1" applyAlignment="1">
      <alignment horizontal="center" vertical="center" wrapText="1"/>
    </xf>
    <xf numFmtId="0" fontId="60" fillId="7" borderId="39" xfId="0" applyFont="1" applyFill="1" applyBorder="1">
      <alignment vertical="center"/>
    </xf>
    <xf numFmtId="0" fontId="25" fillId="7" borderId="2" xfId="0" applyFont="1" applyFill="1" applyBorder="1" applyAlignment="1">
      <alignment horizontal="center" vertical="center"/>
    </xf>
    <xf numFmtId="0" fontId="25" fillId="7" borderId="7" xfId="0" applyFont="1" applyFill="1" applyBorder="1">
      <alignment vertical="center"/>
    </xf>
    <xf numFmtId="0" fontId="26" fillId="7" borderId="6" xfId="0" applyFont="1" applyFill="1" applyBorder="1">
      <alignment vertical="center"/>
    </xf>
    <xf numFmtId="49" fontId="25" fillId="7" borderId="1" xfId="0" applyNumberFormat="1" applyFont="1" applyFill="1" applyBorder="1" applyAlignment="1">
      <alignment vertical="top" wrapText="1"/>
    </xf>
    <xf numFmtId="0" fontId="25" fillId="7" borderId="0" xfId="0" applyFont="1" applyFill="1" applyAlignment="1">
      <alignment horizontal="left" vertical="center" wrapText="1"/>
    </xf>
    <xf numFmtId="0" fontId="40" fillId="7" borderId="6" xfId="0" applyFont="1" applyFill="1" applyBorder="1">
      <alignment vertical="center"/>
    </xf>
    <xf numFmtId="0" fontId="25" fillId="7" borderId="3" xfId="0" applyFont="1" applyFill="1" applyBorder="1" applyAlignment="1">
      <alignment horizontal="left" vertical="center"/>
    </xf>
    <xf numFmtId="0" fontId="41" fillId="7" borderId="1" xfId="0" applyFont="1" applyFill="1" applyBorder="1" applyAlignment="1">
      <alignment horizontal="center" vertical="center" wrapText="1"/>
    </xf>
    <xf numFmtId="0" fontId="39" fillId="7" borderId="2" xfId="0" applyFont="1" applyFill="1" applyBorder="1" applyAlignment="1">
      <alignment horizontal="center" vertical="center" wrapText="1"/>
    </xf>
    <xf numFmtId="49" fontId="25" fillId="7" borderId="6" xfId="0" applyNumberFormat="1" applyFont="1" applyFill="1" applyBorder="1">
      <alignment vertical="center"/>
    </xf>
    <xf numFmtId="0" fontId="59" fillId="7" borderId="0" xfId="0" applyFont="1" applyFill="1">
      <alignment vertical="center"/>
    </xf>
    <xf numFmtId="49" fontId="25" fillId="7" borderId="1" xfId="0" applyNumberFormat="1" applyFont="1" applyFill="1" applyBorder="1" applyAlignment="1">
      <alignment horizontal="left" vertical="top" wrapText="1"/>
    </xf>
    <xf numFmtId="0" fontId="19" fillId="7" borderId="7" xfId="0" applyFont="1" applyFill="1" applyBorder="1">
      <alignment vertical="center"/>
    </xf>
    <xf numFmtId="0" fontId="18" fillId="7" borderId="2" xfId="0" applyFont="1" applyFill="1" applyBorder="1" applyAlignment="1">
      <alignment horizontal="center" vertical="center" wrapText="1"/>
    </xf>
    <xf numFmtId="49" fontId="25" fillId="7" borderId="3" xfId="0" applyNumberFormat="1" applyFont="1" applyFill="1" applyBorder="1">
      <alignment vertical="center"/>
    </xf>
    <xf numFmtId="49" fontId="25" fillId="7" borderId="0" xfId="0" applyNumberFormat="1" applyFont="1" applyFill="1" applyAlignment="1">
      <alignment vertical="center" wrapText="1"/>
    </xf>
    <xf numFmtId="0" fontId="26" fillId="7" borderId="7" xfId="0" applyFont="1" applyFill="1" applyBorder="1">
      <alignment vertical="center"/>
    </xf>
    <xf numFmtId="0" fontId="25" fillId="7" borderId="6" xfId="0" applyFont="1" applyFill="1" applyBorder="1" applyAlignment="1">
      <alignment horizontal="center" vertical="center"/>
    </xf>
    <xf numFmtId="0" fontId="25" fillId="7" borderId="2" xfId="0" applyFont="1" applyFill="1" applyBorder="1">
      <alignment vertical="center"/>
    </xf>
    <xf numFmtId="0" fontId="26" fillId="7" borderId="2" xfId="0" applyFont="1" applyFill="1" applyBorder="1">
      <alignment vertical="center"/>
    </xf>
    <xf numFmtId="0" fontId="40" fillId="7" borderId="1" xfId="0" applyFont="1" applyFill="1" applyBorder="1" applyAlignment="1">
      <alignment horizontal="center" vertical="center"/>
    </xf>
    <xf numFmtId="0" fontId="40" fillId="7" borderId="27" xfId="0" applyFont="1" applyFill="1" applyBorder="1">
      <alignment vertical="center"/>
    </xf>
    <xf numFmtId="0" fontId="26" fillId="7" borderId="0" xfId="0" applyFont="1" applyFill="1">
      <alignment vertical="center"/>
    </xf>
    <xf numFmtId="0" fontId="23" fillId="7" borderId="14" xfId="0" applyFont="1" applyFill="1" applyBorder="1">
      <alignment vertical="center"/>
    </xf>
    <xf numFmtId="0" fontId="42" fillId="7" borderId="1" xfId="0" applyFont="1" applyFill="1" applyBorder="1" applyAlignment="1">
      <alignment horizontal="center" vertical="center"/>
    </xf>
    <xf numFmtId="0" fontId="25" fillId="7" borderId="14" xfId="0" applyFont="1" applyFill="1" applyBorder="1">
      <alignment vertical="center"/>
    </xf>
    <xf numFmtId="0" fontId="25" fillId="7" borderId="6" xfId="0" applyFont="1" applyFill="1" applyBorder="1" applyAlignment="1">
      <alignment vertical="top" wrapText="1"/>
    </xf>
    <xf numFmtId="0" fontId="25" fillId="7" borderId="24" xfId="0" applyFont="1" applyFill="1" applyBorder="1">
      <alignment vertical="center"/>
    </xf>
    <xf numFmtId="49" fontId="25" fillId="7" borderId="0" xfId="0" applyNumberFormat="1" applyFont="1" applyFill="1" applyAlignment="1">
      <alignment horizontal="center" vertical="center"/>
    </xf>
    <xf numFmtId="176" fontId="25" fillId="7" borderId="1" xfId="0" applyNumberFormat="1" applyFont="1" applyFill="1" applyBorder="1" applyAlignment="1">
      <alignment horizontal="center" vertical="center" wrapText="1"/>
    </xf>
    <xf numFmtId="0" fontId="25" fillId="7" borderId="21" xfId="0" applyFont="1" applyFill="1" applyBorder="1" applyAlignment="1">
      <alignment horizontal="center" vertical="center" wrapText="1"/>
    </xf>
    <xf numFmtId="0" fontId="25" fillId="7" borderId="22" xfId="0" applyFont="1" applyFill="1" applyBorder="1" applyAlignment="1">
      <alignment horizontal="center" vertical="center" wrapText="1"/>
    </xf>
    <xf numFmtId="0" fontId="25" fillId="7" borderId="25" xfId="0" applyFont="1" applyFill="1" applyBorder="1" applyAlignment="1">
      <alignment horizontal="center" vertical="center" wrapText="1"/>
    </xf>
    <xf numFmtId="0" fontId="25" fillId="7" borderId="38" xfId="0" applyFont="1" applyFill="1" applyBorder="1" applyAlignment="1">
      <alignment vertical="top" wrapText="1"/>
    </xf>
    <xf numFmtId="0" fontId="25" fillId="7" borderId="22" xfId="0" applyFont="1" applyFill="1" applyBorder="1" applyAlignment="1">
      <alignment vertical="top" wrapText="1"/>
    </xf>
    <xf numFmtId="0" fontId="25" fillId="7" borderId="22" xfId="0" applyFont="1" applyFill="1" applyBorder="1" applyAlignment="1">
      <alignment vertical="top"/>
    </xf>
    <xf numFmtId="0" fontId="25" fillId="7" borderId="22" xfId="0" applyFont="1" applyFill="1" applyBorder="1">
      <alignment vertical="center"/>
    </xf>
    <xf numFmtId="0" fontId="25" fillId="7" borderId="25" xfId="0" applyFont="1" applyFill="1" applyBorder="1">
      <alignment vertical="center"/>
    </xf>
    <xf numFmtId="0" fontId="61" fillId="0" borderId="48" xfId="0" applyFont="1" applyBorder="1">
      <alignment vertical="center"/>
    </xf>
    <xf numFmtId="0" fontId="61" fillId="0" borderId="49" xfId="0" applyFont="1" applyBorder="1">
      <alignment vertical="center"/>
    </xf>
    <xf numFmtId="0" fontId="25" fillId="7" borderId="6" xfId="0" applyFont="1" applyFill="1" applyBorder="1">
      <alignment vertical="center"/>
    </xf>
    <xf numFmtId="0" fontId="25" fillId="7" borderId="4" xfId="0" applyFont="1" applyFill="1" applyBorder="1">
      <alignment vertical="center"/>
    </xf>
    <xf numFmtId="0" fontId="25" fillId="7" borderId="3" xfId="0" applyFont="1" applyFill="1" applyBorder="1">
      <alignment vertical="center"/>
    </xf>
    <xf numFmtId="0" fontId="19" fillId="7" borderId="4" xfId="0" applyFont="1" applyFill="1" applyBorder="1">
      <alignment vertical="center"/>
    </xf>
    <xf numFmtId="0" fontId="19" fillId="7" borderId="3" xfId="0" applyFont="1" applyFill="1" applyBorder="1">
      <alignment vertical="center"/>
    </xf>
    <xf numFmtId="0" fontId="25" fillId="7" borderId="51" xfId="0" applyFont="1" applyFill="1" applyBorder="1">
      <alignment vertical="center"/>
    </xf>
    <xf numFmtId="0" fontId="25" fillId="7" borderId="52" xfId="0" applyFont="1" applyFill="1" applyBorder="1">
      <alignment vertical="center"/>
    </xf>
    <xf numFmtId="0" fontId="19" fillId="7" borderId="50" xfId="0" applyFont="1" applyFill="1" applyBorder="1">
      <alignment vertical="center"/>
    </xf>
    <xf numFmtId="0" fontId="19" fillId="7" borderId="5" xfId="0" applyFont="1" applyFill="1" applyBorder="1">
      <alignment vertical="center"/>
    </xf>
    <xf numFmtId="0" fontId="19" fillId="7" borderId="12" xfId="0" applyFont="1" applyFill="1" applyBorder="1">
      <alignment vertical="center"/>
    </xf>
    <xf numFmtId="0" fontId="15" fillId="0" borderId="1" xfId="0" applyFont="1" applyBorder="1" applyAlignment="1">
      <alignment horizontal="center" vertical="center"/>
    </xf>
    <xf numFmtId="0" fontId="26" fillId="0" borderId="1" xfId="0" applyFont="1" applyBorder="1">
      <alignment vertical="center"/>
    </xf>
    <xf numFmtId="0" fontId="23" fillId="0" borderId="1" xfId="0" applyFont="1" applyBorder="1" applyAlignment="1">
      <alignment vertical="center" wrapText="1"/>
    </xf>
    <xf numFmtId="49" fontId="25" fillId="0" borderId="1" xfId="0" applyNumberFormat="1" applyFont="1" applyBorder="1" applyAlignment="1">
      <alignment vertical="center" wrapText="1"/>
    </xf>
    <xf numFmtId="0" fontId="18" fillId="0" borderId="1" xfId="0" applyFont="1" applyBorder="1" applyAlignment="1">
      <alignment horizontal="center" vertical="center" wrapText="1"/>
    </xf>
    <xf numFmtId="0" fontId="18" fillId="0" borderId="7" xfId="0" applyFont="1" applyBorder="1" applyAlignment="1">
      <alignment horizontal="center" vertical="center" wrapText="1"/>
    </xf>
    <xf numFmtId="0" fontId="25" fillId="0" borderId="7" xfId="0" applyFont="1" applyBorder="1" applyAlignment="1">
      <alignment horizontal="center" vertical="center" wrapText="1"/>
    </xf>
    <xf numFmtId="0" fontId="25" fillId="0" borderId="24" xfId="0" applyFont="1" applyBorder="1" applyAlignment="1">
      <alignment horizontal="center" vertical="center" wrapText="1"/>
    </xf>
    <xf numFmtId="0" fontId="18" fillId="0" borderId="6" xfId="0" applyFont="1" applyBorder="1" applyAlignment="1">
      <alignment horizontal="center" vertical="center" wrapText="1"/>
    </xf>
    <xf numFmtId="0" fontId="25" fillId="0" borderId="24" xfId="0" applyFont="1" applyBorder="1" applyAlignment="1">
      <alignment vertical="center" wrapText="1"/>
    </xf>
    <xf numFmtId="0" fontId="23" fillId="0" borderId="20" xfId="0" applyFont="1" applyBorder="1">
      <alignment vertical="center"/>
    </xf>
    <xf numFmtId="0" fontId="23" fillId="0" borderId="24" xfId="0" applyFont="1" applyBorder="1">
      <alignment vertical="center"/>
    </xf>
    <xf numFmtId="0" fontId="25" fillId="0" borderId="2" xfId="0" applyFont="1" applyBorder="1" applyAlignment="1">
      <alignment vertical="center" wrapText="1"/>
    </xf>
    <xf numFmtId="49" fontId="25" fillId="0" borderId="6" xfId="0" applyNumberFormat="1" applyFont="1" applyBorder="1" applyAlignment="1">
      <alignment vertical="center" wrapText="1"/>
    </xf>
    <xf numFmtId="0" fontId="19" fillId="0" borderId="20" xfId="0" applyFont="1" applyBorder="1">
      <alignment vertical="center"/>
    </xf>
    <xf numFmtId="0" fontId="19" fillId="0" borderId="24" xfId="0" applyFont="1" applyBorder="1">
      <alignment vertical="center"/>
    </xf>
    <xf numFmtId="0" fontId="22" fillId="0" borderId="6" xfId="0" applyFont="1" applyBorder="1">
      <alignment vertical="center"/>
    </xf>
    <xf numFmtId="49" fontId="25" fillId="0" borderId="6" xfId="0" applyNumberFormat="1" applyFont="1" applyBorder="1" applyAlignment="1">
      <alignment horizontal="left" vertical="center" wrapText="1"/>
    </xf>
    <xf numFmtId="0" fontId="18" fillId="7" borderId="24" xfId="0" applyFont="1" applyFill="1" applyBorder="1" applyAlignment="1">
      <alignment vertical="center" wrapText="1"/>
    </xf>
    <xf numFmtId="49" fontId="25" fillId="0" borderId="1" xfId="0" applyNumberFormat="1" applyFont="1" applyBorder="1">
      <alignment vertical="center"/>
    </xf>
    <xf numFmtId="0" fontId="25" fillId="0" borderId="24" xfId="0" applyFont="1" applyBorder="1" applyAlignment="1">
      <alignment vertical="top" wrapText="1"/>
    </xf>
    <xf numFmtId="0" fontId="29" fillId="0" borderId="1" xfId="0" applyFont="1" applyBorder="1" applyAlignment="1">
      <alignment vertical="center" wrapText="1"/>
    </xf>
    <xf numFmtId="0" fontId="23" fillId="7" borderId="4" xfId="0" applyFont="1" applyFill="1" applyBorder="1">
      <alignment vertical="center"/>
    </xf>
    <xf numFmtId="0" fontId="25" fillId="0" borderId="6" xfId="0" applyFont="1" applyBorder="1">
      <alignment vertical="center"/>
    </xf>
    <xf numFmtId="0" fontId="25" fillId="7" borderId="6" xfId="0" applyFont="1" applyFill="1" applyBorder="1" applyAlignment="1">
      <alignment vertical="center" wrapText="1"/>
    </xf>
    <xf numFmtId="0" fontId="18" fillId="0" borderId="6" xfId="0" applyFont="1" applyBorder="1">
      <alignment vertical="center"/>
    </xf>
    <xf numFmtId="0" fontId="18" fillId="0" borderId="6" xfId="0" applyFont="1" applyBorder="1" applyAlignment="1">
      <alignment vertical="center" wrapText="1"/>
    </xf>
    <xf numFmtId="0" fontId="18" fillId="7" borderId="6" xfId="0" applyFont="1" applyFill="1" applyBorder="1">
      <alignment vertical="center"/>
    </xf>
    <xf numFmtId="0" fontId="25" fillId="7" borderId="52" xfId="0" applyFont="1" applyFill="1" applyBorder="1" applyAlignment="1">
      <alignment horizontal="center" vertical="center"/>
    </xf>
    <xf numFmtId="0" fontId="16" fillId="0" borderId="24" xfId="0" applyFont="1" applyBorder="1" applyAlignment="1">
      <alignment vertical="center" wrapText="1"/>
    </xf>
    <xf numFmtId="0" fontId="16" fillId="0" borderId="24" xfId="0" applyFont="1" applyBorder="1" applyAlignment="1">
      <alignment horizontal="left" vertical="top" wrapText="1"/>
    </xf>
    <xf numFmtId="0" fontId="20" fillId="7" borderId="6" xfId="0" applyFont="1" applyFill="1" applyBorder="1">
      <alignment vertical="center"/>
    </xf>
    <xf numFmtId="0" fontId="25" fillId="7" borderId="24" xfId="0" applyFont="1" applyFill="1" applyBorder="1" applyAlignment="1">
      <alignment vertical="center" wrapText="1"/>
    </xf>
    <xf numFmtId="0" fontId="25" fillId="7" borderId="2" xfId="0" applyFont="1" applyFill="1" applyBorder="1" applyAlignment="1">
      <alignment horizontal="left" vertical="center" wrapText="1"/>
    </xf>
    <xf numFmtId="0" fontId="25" fillId="7" borderId="3" xfId="0" applyFont="1" applyFill="1" applyBorder="1" applyAlignment="1">
      <alignment horizontal="left" vertical="center"/>
    </xf>
    <xf numFmtId="49" fontId="25" fillId="7" borderId="13" xfId="0" applyNumberFormat="1" applyFont="1" applyFill="1" applyBorder="1" applyAlignment="1">
      <alignment horizontal="left" vertical="center" wrapText="1"/>
    </xf>
    <xf numFmtId="0" fontId="25" fillId="7" borderId="1" xfId="0" applyFont="1" applyFill="1" applyBorder="1" applyAlignment="1">
      <alignment horizontal="left" vertical="center" wrapText="1"/>
    </xf>
    <xf numFmtId="0" fontId="25" fillId="7" borderId="1" xfId="0" applyFont="1" applyFill="1" applyBorder="1" applyAlignment="1">
      <alignment horizontal="left" vertical="center"/>
    </xf>
    <xf numFmtId="49" fontId="25" fillId="7" borderId="2" xfId="0" applyNumberFormat="1" applyFont="1" applyFill="1" applyBorder="1" applyAlignment="1">
      <alignment horizontal="left" vertical="center" wrapText="1"/>
    </xf>
    <xf numFmtId="49" fontId="25" fillId="7" borderId="5" xfId="0" applyNumberFormat="1" applyFont="1" applyFill="1" applyBorder="1" applyAlignment="1">
      <alignment horizontal="left" vertical="center"/>
    </xf>
    <xf numFmtId="49" fontId="25" fillId="7" borderId="3" xfId="0" applyNumberFormat="1" applyFont="1" applyFill="1" applyBorder="1" applyAlignment="1">
      <alignment horizontal="left" vertical="center"/>
    </xf>
    <xf numFmtId="0" fontId="25" fillId="7" borderId="5" xfId="0" applyFont="1" applyFill="1" applyBorder="1" applyAlignment="1">
      <alignment horizontal="left" vertical="center"/>
    </xf>
    <xf numFmtId="0" fontId="25" fillId="0" borderId="5" xfId="0" applyFont="1" applyBorder="1" applyAlignment="1">
      <alignment horizontal="left" vertical="center"/>
    </xf>
    <xf numFmtId="0" fontId="25" fillId="7" borderId="24" xfId="0" applyFont="1" applyFill="1" applyBorder="1" applyAlignment="1">
      <alignment horizontal="center" vertical="center" wrapText="1"/>
    </xf>
    <xf numFmtId="0" fontId="25" fillId="7" borderId="24" xfId="0" applyFont="1" applyFill="1" applyBorder="1" applyAlignment="1">
      <alignment horizontal="left" vertical="center" wrapText="1"/>
    </xf>
    <xf numFmtId="49" fontId="25" fillId="7" borderId="15" xfId="0" applyNumberFormat="1" applyFont="1" applyFill="1" applyBorder="1" applyAlignment="1">
      <alignment horizontal="left" vertical="center" wrapText="1"/>
    </xf>
    <xf numFmtId="49" fontId="25" fillId="7" borderId="15" xfId="0" applyNumberFormat="1" applyFont="1" applyFill="1" applyBorder="1" applyAlignment="1">
      <alignment horizontal="left" vertical="center"/>
    </xf>
    <xf numFmtId="49" fontId="25" fillId="7" borderId="12" xfId="0" applyNumberFormat="1" applyFont="1" applyFill="1" applyBorder="1" applyAlignment="1">
      <alignment horizontal="left" vertical="center"/>
    </xf>
    <xf numFmtId="0" fontId="16" fillId="7" borderId="2" xfId="0" applyFont="1" applyFill="1" applyBorder="1" applyAlignment="1">
      <alignment vertical="center" wrapText="1"/>
    </xf>
    <xf numFmtId="0" fontId="25" fillId="7" borderId="5" xfId="0" applyFont="1" applyFill="1" applyBorder="1" applyAlignment="1">
      <alignment vertical="center" wrapText="1"/>
    </xf>
    <xf numFmtId="0" fontId="25" fillId="7" borderId="3" xfId="0" applyFont="1" applyFill="1" applyBorder="1" applyAlignment="1">
      <alignment vertical="center" wrapText="1"/>
    </xf>
    <xf numFmtId="0" fontId="25" fillId="7" borderId="5" xfId="0" applyFont="1" applyFill="1" applyBorder="1" applyAlignment="1">
      <alignment horizontal="left" vertical="center" wrapText="1"/>
    </xf>
    <xf numFmtId="0" fontId="25" fillId="7" borderId="3" xfId="0" applyFont="1" applyFill="1" applyBorder="1" applyAlignment="1">
      <alignment horizontal="left" vertical="center" wrapText="1"/>
    </xf>
    <xf numFmtId="0" fontId="26" fillId="9" borderId="29" xfId="0" applyFont="1" applyFill="1" applyBorder="1" applyAlignment="1">
      <alignment horizontal="center" vertical="center"/>
    </xf>
    <xf numFmtId="0" fontId="26" fillId="9" borderId="30" xfId="0" applyFont="1" applyFill="1" applyBorder="1" applyAlignment="1">
      <alignment horizontal="center" vertical="center"/>
    </xf>
    <xf numFmtId="0" fontId="26" fillId="9" borderId="40" xfId="0" applyFont="1" applyFill="1" applyBorder="1" applyAlignment="1">
      <alignment horizontal="center" vertical="center"/>
    </xf>
    <xf numFmtId="0" fontId="14" fillId="0" borderId="0" xfId="0" applyFont="1" applyAlignment="1">
      <alignment horizontal="left" vertical="top" wrapText="1"/>
    </xf>
    <xf numFmtId="0" fontId="16" fillId="0" borderId="0" xfId="0" applyFont="1" applyAlignment="1">
      <alignment horizontal="left" vertical="top"/>
    </xf>
    <xf numFmtId="0" fontId="16" fillId="0" borderId="31" xfId="0" applyFont="1" applyBorder="1" applyAlignment="1">
      <alignment horizontal="center" vertical="center"/>
    </xf>
    <xf numFmtId="0" fontId="16" fillId="0" borderId="36" xfId="0" applyFont="1" applyBorder="1" applyAlignment="1">
      <alignment horizontal="center" vertical="center"/>
    </xf>
    <xf numFmtId="0" fontId="16" fillId="0" borderId="33" xfId="0" applyFont="1" applyBorder="1" applyAlignment="1">
      <alignment horizontal="center" vertical="center"/>
    </xf>
    <xf numFmtId="0" fontId="16" fillId="0" borderId="35" xfId="0" applyFont="1" applyBorder="1" applyAlignment="1">
      <alignment horizontal="center" vertical="center"/>
    </xf>
    <xf numFmtId="0" fontId="16" fillId="0" borderId="37" xfId="0" applyFont="1" applyBorder="1" applyAlignment="1">
      <alignment horizontal="center" vertical="center"/>
    </xf>
    <xf numFmtId="0" fontId="16" fillId="0" borderId="34" xfId="0" applyFont="1" applyBorder="1" applyAlignment="1">
      <alignment horizontal="center" vertical="center"/>
    </xf>
    <xf numFmtId="0" fontId="25" fillId="6" borderId="1" xfId="0" applyFont="1" applyFill="1" applyBorder="1" applyAlignment="1">
      <alignment horizontal="left" vertical="center" wrapText="1"/>
    </xf>
    <xf numFmtId="0" fontId="25" fillId="6" borderId="2" xfId="0" applyFont="1" applyFill="1" applyBorder="1" applyAlignment="1">
      <alignment horizontal="left" vertical="center" wrapText="1"/>
    </xf>
    <xf numFmtId="0" fontId="25" fillId="6" borderId="5" xfId="0" applyFont="1" applyFill="1" applyBorder="1" applyAlignment="1">
      <alignment horizontal="left" vertical="center" wrapText="1"/>
    </xf>
    <xf numFmtId="0" fontId="25" fillId="6" borderId="3" xfId="0" applyFont="1" applyFill="1" applyBorder="1" applyAlignment="1">
      <alignment horizontal="left" vertical="center" wrapText="1"/>
    </xf>
    <xf numFmtId="0" fontId="51" fillId="0" borderId="0" xfId="0" applyFont="1" applyAlignment="1">
      <alignment vertical="center" wrapText="1"/>
    </xf>
  </cellXfs>
  <cellStyles count="5">
    <cellStyle name="Hyperlink" xfId="4" xr:uid="{00000000-000B-0000-0000-000008000000}"/>
    <cellStyle name="Standard 2" xfId="2" xr:uid="{00000000-0005-0000-0000-000000000000}"/>
    <cellStyle name="一般" xfId="0" builtinId="0"/>
    <cellStyle name="一般 2" xfId="1" xr:uid="{00000000-0005-0000-0000-000002000000}"/>
    <cellStyle name="一般 3" xfId="3" xr:uid="{00000000-0005-0000-0000-000003000000}"/>
  </cellStyles>
  <dxfs count="41">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fill>
        <patternFill patternType="solid">
          <fgColor indexed="64"/>
          <bgColor theme="0"/>
        </patternFill>
      </fill>
      <alignmen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dxf>
    <dxf>
      <font>
        <sz val="9"/>
      </font>
    </dxf>
    <dxf>
      <font>
        <b val="0"/>
        <i val="0"/>
        <strike val="0"/>
        <condense val="0"/>
        <extend val="0"/>
        <outline val="0"/>
        <shadow val="0"/>
        <u val="none"/>
        <vertAlign val="baseline"/>
        <sz val="9"/>
        <color theme="1"/>
        <name val="Calibri"/>
        <family val="2"/>
        <charset val="136"/>
        <scheme val="minor"/>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0"/>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left"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9"/>
        <color rgb="FF000000"/>
        <name val="Calibri"/>
        <scheme val="minor"/>
      </font>
      <numFmt numFmtId="0" formatCode="General"/>
      <fill>
        <patternFill patternType="solid">
          <fgColor indexed="64"/>
          <bgColor theme="0"/>
        </patternFill>
      </fill>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numFmt numFmtId="0" formatCode="General"/>
      <fill>
        <patternFill patternType="solid">
          <fgColor indexed="64"/>
          <bgColor theme="0"/>
        </patternFill>
      </fill>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font>
        <sz val="9"/>
      </font>
      <fill>
        <patternFill patternType="solid">
          <fgColor indexed="64"/>
          <bgColor theme="0"/>
        </patternFill>
      </fill>
    </dxf>
    <dxf>
      <font>
        <b val="0"/>
        <i val="0"/>
        <strike val="0"/>
        <condense val="0"/>
        <extend val="0"/>
        <outline val="0"/>
        <shadow val="0"/>
        <u val="none"/>
        <vertAlign val="baseline"/>
        <sz val="9"/>
        <color rgb="FF000000"/>
        <name val="Calibri"/>
        <scheme val="minor"/>
      </font>
      <fill>
        <patternFill patternType="solid">
          <fgColor indexed="64"/>
          <bgColor rgb="FFDAE3F3"/>
        </patternFill>
      </fill>
      <alignment horizontal="center" vertical="center" textRotation="0" wrapText="1"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9"/>
        <color theme="1"/>
        <name val="Calibri"/>
        <scheme val="minor"/>
      </font>
      <fill>
        <patternFill patternType="solid">
          <fgColor indexed="64"/>
          <bgColor theme="0"/>
        </patternFill>
      </fill>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ont>
        <sz val="9"/>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font>
        <sz val="9"/>
      </font>
      <fill>
        <patternFill patternType="solid">
          <fgColor indexed="64"/>
          <bgColor theme="0"/>
        </patternFill>
      </fill>
    </dxf>
    <dxf>
      <font>
        <b val="0"/>
        <i val="0"/>
        <strike val="0"/>
        <condense val="0"/>
        <extend val="0"/>
        <outline val="0"/>
        <shadow val="0"/>
        <u val="none"/>
        <vertAlign val="baseline"/>
        <sz val="9"/>
        <color rgb="FF000000"/>
        <name val="Calibri"/>
        <scheme val="minor"/>
      </font>
      <fill>
        <patternFill patternType="solid">
          <fgColor indexed="64"/>
          <bgColor rgb="FFDAE3F3"/>
        </patternFill>
      </fill>
      <alignment horizontal="center" vertical="center" textRotation="0" wrapText="1" indent="0" justifyLastLine="0" shrinkToFit="0" readingOrder="0"/>
      <border diagonalUp="0" diagonalDown="0">
        <left style="thin">
          <color rgb="FF000000"/>
        </left>
        <right style="thin">
          <color rgb="FF000000"/>
        </right>
        <top/>
        <bottom/>
      </border>
    </dxf>
    <dxf>
      <font>
        <color theme="1" tint="4.9989318521683403E-2"/>
      </font>
      <fill>
        <patternFill patternType="solid">
          <bgColor theme="0" tint="-0.34998626667073579"/>
        </patternFill>
      </fill>
    </dxf>
    <dxf>
      <font>
        <color rgb="FF9C0006"/>
      </font>
      <fill>
        <patternFill>
          <bgColor rgb="FFFFC7CE"/>
        </patternFill>
      </fill>
    </dxf>
    <dxf>
      <font>
        <color rgb="FF006100"/>
      </font>
      <fill>
        <patternFill>
          <bgColor rgb="FFC6EFCE"/>
        </patternFill>
      </fill>
    </dxf>
    <dxf>
      <font>
        <color theme="1"/>
      </font>
    </dxf>
    <dxf>
      <font>
        <color rgb="FF000000"/>
      </font>
      <fill>
        <patternFill patternType="solid">
          <bgColor rgb="FFFFC000"/>
        </patternFill>
      </fill>
    </dxf>
    <dxf>
      <font>
        <color rgb="FF000000"/>
      </font>
      <fill>
        <patternFill patternType="solid">
          <bgColor theme="0"/>
        </patternFill>
      </fill>
      <border>
        <bottom style="thin">
          <color rgb="FF000000"/>
        </bottom>
      </border>
    </dxf>
    <dxf>
      <font>
        <color theme="1"/>
      </font>
    </dxf>
    <dxf>
      <font>
        <color rgb="FFFF0000"/>
      </font>
    </dxf>
  </dxfs>
  <tableStyles count="0" defaultTableStyle="TableStyleMedium2" defaultPivotStyle="PivotStyleLight16"/>
  <colors>
    <mruColors>
      <color rgb="FF000000"/>
      <color rgb="FFC9F2ED"/>
      <color rgb="FFF06E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st1" id="{45ED841F-919F-477B-90AA-34D5B87726A5}">
    <nsvFilter filterId="{CBA04465-B913-4829-B434-34DA753BB3F7}" ref="A1:M99" tableId="3">
      <columnFilter colId="4" id="{8BCA2954-8CAF-4DEA-A19E-20632CEB5190}">
        <filter colId="4">
          <x:filters>
            <x:filter val="Not Support"/>
          </x:filters>
        </filter>
      </columnFilter>
      <sortRules>
        <sortRule colId="7" id="{2AC1BE57-7D09-4A7C-B9E4-C67CD79E59FD}">
          <sortCondition ref="H1:H99"/>
        </sortRule>
      </sortRules>
    </nsvFilter>
  </namedSheetView>
  <namedSheetView name="檢視1" id="{E32C84E3-73A7-4092-821A-41A5FC6B4994}">
    <nsvFilter filterId="{CBA04465-B913-4829-B434-34DA753BB3F7}" ref="A1:M99" tableId="3">
      <columnFilter colId="7" id="{2AC1BE57-7D09-4A7C-B9E4-C67CD79E59FD}">
        <filter colId="7">
          <x:filters>
            <x:filter val="Fail"/>
          </x:filters>
        </filter>
      </columnFilter>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EEA3F8-0942-4F51-8ACC-D2B07C22FBC9}" name="Table2" displayName="Table2" ref="A1:N9" totalsRowShown="0" headerRowDxfId="32" dataDxfId="31" headerRowBorderDxfId="30">
  <autoFilter ref="A1:N9" xr:uid="{BCEEA3F8-0942-4F51-8ACC-D2B07C22FBC9}"/>
  <tableColumns count="14">
    <tableColumn id="1" xr3:uid="{92B1C751-2A54-45EE-BADF-5A4D6499311F}" name="Object" dataDxfId="29"/>
    <tableColumn id="2" xr3:uid="{E803AE9F-E2C4-4B3A-8724-3D700399B6E1}" name="Parameter Name" dataDxfId="28"/>
    <tableColumn id="4" xr3:uid="{FC940E66-93A3-4832-8F12-83831A40A22C}" name="HLAPI" dataDxfId="27"/>
    <tableColumn id="6" xr3:uid="{6E26C78D-B656-40B8-86D6-F34CABA6DA12}" name="LLAPI" dataDxfId="26"/>
    <tableColumn id="7" xr3:uid="{03895964-8F6D-4A56-BEEC-55318B2EE8F7}" name="LLAPI_x000a_Handler" dataDxfId="25"/>
    <tableColumn id="5" xr3:uid="{A92B3C11-AB6F-42AD-9157-8825C6130E8A}" name="Implemented by" dataDxfId="24"/>
    <tableColumn id="12" xr3:uid="{79274A67-EEF2-46DC-B20B-982C4048EC39}" name="Test Steps" dataDxfId="23"/>
    <tableColumn id="9" xr3:uid="{B8E97059-B83A-454A-AC78-FF358690E164}" name="Command Output" dataDxfId="22"/>
    <tableColumn id="3" xr3:uid="{A57C9EDA-5131-4B7F-B527-A78949AC4062}" name="ARC 4.0.1_x000a_Test Result" dataDxfId="21"/>
    <tableColumn id="10" xr3:uid="{228411AF-7011-4359-93A3-EBF376105003}" name="ARC 4.0.3_x000a_Test Result" dataDxfId="20"/>
    <tableColumn id="13" xr3:uid="{C2FA2725-4A77-4F32-B6DD-0731E1CF96C4}" name="Brcm 4.0.3_x000a_Test Result" dataDxfId="19"/>
    <tableColumn id="11" xr3:uid="{F5785D2D-0113-4E13-B494-24B50EB9A70D}" name="Brcm 4.0.3_x000a_Comment" dataDxfId="18"/>
    <tableColumn id="8" xr3:uid="{14DDA786-DECF-4733-8A4D-75528C40B945}" name="Comment" dataDxfId="17"/>
    <tableColumn id="14" xr3:uid="{C90066FD-140A-4618-ACD7-E84BE3D7E32B}" name="Internal Comment"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A04465-B913-4829-B434-34DA753BB3F7}" name="Table254" displayName="Table254" ref="A1:M99" totalsRowShown="0" headerRowDxfId="15" dataDxfId="14" headerRowBorderDxfId="13">
  <autoFilter ref="A1:M99" xr:uid="{CBA04465-B913-4829-B434-34DA753BB3F7}"/>
  <tableColumns count="13">
    <tableColumn id="1" xr3:uid="{89D1EBF0-561D-4CCD-A052-B224B15E0689}" name="Object" dataDxfId="12"/>
    <tableColumn id="2" xr3:uid="{371DA211-EAC1-4DFA-83BF-DA63CEBF1657}" name="Parameter" dataDxfId="11"/>
    <tableColumn id="4" xr3:uid="{121338CE-1233-466B-839B-BFC39406A07E}" name="HLAPI" dataDxfId="10"/>
    <tableColumn id="6" xr3:uid="{69633738-D250-4108-B689-60BB65D63B1C}" name="LLAPI" dataDxfId="9"/>
    <tableColumn id="10" xr3:uid="{8BCA2954-8CAF-4DEA-A19E-20632CEB5190}" name="Implemented by" dataDxfId="8"/>
    <tableColumn id="7" xr3:uid="{6EABCCE9-4EDC-45DC-9E7C-C366F47F925D}" name="Test Steps" dataDxfId="7">
      <calculatedColumnFormula>CONCATENATE("ubus-cli -a ", CHAR(34), "protected; ",#REF!, "?", CHAR(34) )</calculatedColumnFormula>
    </tableColumn>
    <tableColumn id="14" xr3:uid="{118881DB-593E-43D0-A256-DEC8CE30FE47}" name="Command Output" dataDxfId="6"/>
    <tableColumn id="5" xr3:uid="{2AC1BE57-7D09-4A7C-B9E4-C67CD79E59FD}" name="ARC 4.0.1_x000a_Test Result" dataDxfId="5"/>
    <tableColumn id="9" xr3:uid="{472B07A0-54EE-44CE-963B-5F62CA374512}" name="ARC 4.0.3_x000a_Test Result" dataDxfId="4"/>
    <tableColumn id="12" xr3:uid="{7EDFE415-14E2-4ACD-B60C-F29E78271093}" name="Brcm 4.0.3_x000a_Test Result" dataDxfId="3"/>
    <tableColumn id="11" xr3:uid="{09A961BF-5888-4128-8F57-3697B9E3C7E9}" name="Brcm 4.0.3_x000a_Comment" dataDxfId="2"/>
    <tableColumn id="8" xr3:uid="{BE1BF4E1-ED12-4DAA-B16B-1DEA511F2FF3}" name="Comment" dataDxfId="1"/>
    <tableColumn id="3" xr3:uid="{60CBC24E-EE10-4DBB-912D-D417BF708532}" name="Internal Comment" dataDxfId="0"/>
  </tableColumns>
  <tableStyleInfo name="TableStyleMedium7"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5.75"/>
  <cols>
    <col min="1" max="1" width="28.375" customWidth="1"/>
  </cols>
  <sheetData>
    <row r="1" spans="1:1" ht="362.25">
      <c r="A1" s="5" t="s">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
  <sheetViews>
    <sheetView topLeftCell="F1" workbookViewId="0">
      <selection activeCell="F2" sqref="F2"/>
    </sheetView>
  </sheetViews>
  <sheetFormatPr defaultRowHeight="15.75"/>
  <cols>
    <col min="1" max="1" width="41" customWidth="1"/>
    <col min="2" max="2" width="41.375" customWidth="1"/>
    <col min="3" max="3" width="30.25" customWidth="1"/>
    <col min="4" max="4" width="28.5" customWidth="1"/>
    <col min="5" max="5" width="96.25" customWidth="1"/>
    <col min="6" max="6" width="87.375" customWidth="1"/>
  </cols>
  <sheetData>
    <row r="1" spans="1:6">
      <c r="A1" s="3" t="s">
        <v>1</v>
      </c>
      <c r="B1" s="3" t="s">
        <v>2</v>
      </c>
      <c r="C1" s="3" t="s">
        <v>3</v>
      </c>
      <c r="D1" s="4" t="s">
        <v>4</v>
      </c>
      <c r="E1" s="3" t="s">
        <v>5</v>
      </c>
      <c r="F1" s="3" t="s">
        <v>6</v>
      </c>
    </row>
    <row r="2" spans="1:6" ht="346.5">
      <c r="A2" s="2" t="s">
        <v>7</v>
      </c>
      <c r="B2" s="2" t="s">
        <v>8</v>
      </c>
      <c r="C2" s="1" t="s">
        <v>9</v>
      </c>
      <c r="D2" s="2" t="s">
        <v>10</v>
      </c>
      <c r="E2" s="2" t="s">
        <v>11</v>
      </c>
      <c r="F2" s="2" t="s">
        <v>12</v>
      </c>
    </row>
    <row r="3" spans="1:6" ht="252">
      <c r="A3" s="2" t="s">
        <v>7</v>
      </c>
      <c r="B3" s="2" t="s">
        <v>8</v>
      </c>
      <c r="C3" s="1" t="s">
        <v>13</v>
      </c>
      <c r="D3" s="2" t="s">
        <v>14</v>
      </c>
      <c r="E3" s="2" t="s">
        <v>15</v>
      </c>
      <c r="F3" s="2" t="s">
        <v>16</v>
      </c>
    </row>
    <row r="4" spans="1:6">
      <c r="A4" s="7"/>
      <c r="B4" s="8"/>
      <c r="C4" s="9"/>
      <c r="D4" s="6"/>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0E828-8DEF-439F-97DF-94DE48413F46}">
  <dimension ref="A1:P44"/>
  <sheetViews>
    <sheetView topLeftCell="A8" workbookViewId="0">
      <selection activeCell="G29" sqref="G29"/>
    </sheetView>
  </sheetViews>
  <sheetFormatPr defaultRowHeight="12"/>
  <cols>
    <col min="1" max="1" width="13" style="34" customWidth="1"/>
    <col min="2" max="2" width="36.5" style="34" bestFit="1" customWidth="1"/>
    <col min="3" max="3" width="11.125" style="34" bestFit="1" customWidth="1"/>
    <col min="4" max="4" width="11.125" style="34" customWidth="1"/>
    <col min="5" max="5" width="6.25" style="34" bestFit="1" customWidth="1"/>
    <col min="6" max="6" width="4.5" style="34" bestFit="1" customWidth="1"/>
    <col min="7" max="7" width="11.5" style="34" customWidth="1"/>
    <col min="8" max="8" width="12.75" style="34" customWidth="1"/>
    <col min="9" max="9" width="5.125" style="34" bestFit="1" customWidth="1"/>
    <col min="10" max="10" width="9.5" style="34" bestFit="1" customWidth="1"/>
    <col min="11" max="15" width="9" style="34"/>
    <col min="16" max="16" width="11.125" style="34" customWidth="1"/>
    <col min="17" max="16384" width="9" style="34"/>
  </cols>
  <sheetData>
    <row r="1" spans="1:16" ht="15.75" customHeight="1">
      <c r="A1" s="201" t="s">
        <v>17</v>
      </c>
      <c r="B1" s="217" t="s">
        <v>18</v>
      </c>
      <c r="C1" s="440" t="s">
        <v>19</v>
      </c>
      <c r="D1" s="441"/>
      <c r="E1" s="441"/>
      <c r="F1" s="441"/>
      <c r="G1" s="441"/>
      <c r="H1" s="441"/>
      <c r="I1" s="441"/>
      <c r="J1" s="442"/>
    </row>
    <row r="2" spans="1:16">
      <c r="A2" s="187" t="s">
        <v>20</v>
      </c>
      <c r="B2" s="188" t="s">
        <v>21</v>
      </c>
      <c r="C2" s="198" t="s">
        <v>22</v>
      </c>
      <c r="D2" s="198" t="s">
        <v>23</v>
      </c>
      <c r="E2" s="198" t="s">
        <v>24</v>
      </c>
      <c r="F2" s="198" t="s">
        <v>25</v>
      </c>
      <c r="G2" s="199" t="s">
        <v>26</v>
      </c>
      <c r="H2" s="199" t="s">
        <v>27</v>
      </c>
      <c r="I2" s="199" t="s">
        <v>28</v>
      </c>
      <c r="J2" s="200" t="s">
        <v>29</v>
      </c>
      <c r="K2" s="203" t="s">
        <v>30</v>
      </c>
      <c r="L2" s="203" t="s">
        <v>31</v>
      </c>
    </row>
    <row r="3" spans="1:16" ht="15.75" customHeight="1">
      <c r="A3" s="447" t="s">
        <v>32</v>
      </c>
      <c r="B3" s="140" t="s">
        <v>33</v>
      </c>
      <c r="C3" s="98">
        <f ca="1">SUM(D3,K3)</f>
        <v>45</v>
      </c>
      <c r="D3" s="98">
        <f ca="1">SUM(INDEX(E:E,ROW()):INDEX(I:I,ROW()))</f>
        <v>45</v>
      </c>
      <c r="E3" s="76" cm="1">
        <f t="array" aca="1" ref="E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45</v>
      </c>
      <c r="F3" s="76" cm="1">
        <f t="array" aca="1" ref="F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3" s="76" cm="1">
        <f t="array" aca="1" ref="G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3" s="76" cm="1">
        <f t="array" aca="1" ref="H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3" s="76" cm="1">
        <f t="array" aca="1" ref="I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3" s="189">
        <f ca="1">IFERROR(E3/SUM(E3:G3),0)</f>
        <v>1</v>
      </c>
      <c r="K3" s="34" cm="1">
        <f t="array" aca="1" ref="K3"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4" spans="1:16" ht="15.75" customHeight="1">
      <c r="A4" s="450"/>
      <c r="B4" s="140" t="s">
        <v>34</v>
      </c>
      <c r="C4" s="98">
        <f t="shared" ref="C4:C7" ca="1" si="0">SUM(D4,K4)</f>
        <v>20</v>
      </c>
      <c r="D4" s="98">
        <f ca="1">SUM(INDEX(E:E,ROW()):INDEX(I:I,ROW()))</f>
        <v>20</v>
      </c>
      <c r="E4" s="76" cm="1">
        <f t="array" aca="1" ref="E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20</v>
      </c>
      <c r="F4" s="76" cm="1">
        <f t="array" aca="1" ref="F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4" s="76" cm="1">
        <f t="array" aca="1" ref="G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4" s="76" cm="1">
        <f t="array" aca="1" ref="H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4" s="76" cm="1">
        <f t="array" aca="1" ref="I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4" s="189">
        <f t="shared" ref="J4:J8" ca="1" si="1">IFERROR(E4/SUM(E4:G4),0)</f>
        <v>1</v>
      </c>
      <c r="K4" s="34" cm="1">
        <f t="array" aca="1" ref="K4"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5" spans="1:16" ht="15.75" customHeight="1">
      <c r="A5" s="450"/>
      <c r="B5" s="140" t="s">
        <v>35</v>
      </c>
      <c r="C5" s="98">
        <f t="shared" ca="1" si="0"/>
        <v>13</v>
      </c>
      <c r="D5" s="98">
        <f ca="1">SUM(INDEX(E:E,ROW()):INDEX(I:I,ROW()))</f>
        <v>13</v>
      </c>
      <c r="E5" s="76" cm="1">
        <f t="array" aca="1" ref="E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13</v>
      </c>
      <c r="F5" s="76" cm="1">
        <f t="array" aca="1" ref="F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5" s="76" cm="1">
        <f t="array" aca="1" ref="G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5" s="76" cm="1">
        <f t="array" aca="1" ref="H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5" s="76" cm="1">
        <f t="array" aca="1" ref="I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5" s="189">
        <f t="shared" ca="1" si="1"/>
        <v>1</v>
      </c>
      <c r="K5" s="34" cm="1">
        <f t="array" aca="1" ref="K5"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c r="N5" s="204" t="s">
        <v>20</v>
      </c>
      <c r="O5" s="204" t="s">
        <v>36</v>
      </c>
      <c r="P5" s="204" t="s">
        <v>37</v>
      </c>
    </row>
    <row r="6" spans="1:16" ht="15.75" customHeight="1">
      <c r="A6" s="450"/>
      <c r="B6" s="140" t="s">
        <v>38</v>
      </c>
      <c r="C6" s="98">
        <f t="shared" ca="1" si="0"/>
        <v>10</v>
      </c>
      <c r="D6" s="98">
        <f ca="1">SUM(INDEX(E:E,ROW()):INDEX(I:I,ROW()))</f>
        <v>10</v>
      </c>
      <c r="E6" s="76" cm="1">
        <f t="array" aca="1" ref="E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10</v>
      </c>
      <c r="F6" s="76" cm="1">
        <f t="array" aca="1" ref="F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6" s="76" cm="1">
        <f t="array" aca="1" ref="G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6" s="76" cm="1">
        <f t="array" aca="1" ref="H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6" s="76" cm="1">
        <f t="array" aca="1" ref="I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6" s="189">
        <f t="shared" ca="1" si="1"/>
        <v>1</v>
      </c>
      <c r="K6" s="34" cm="1">
        <f t="array" aca="1" ref="K6"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c r="N6" s="207" t="str">
        <f>A3</f>
        <v>SFP</v>
      </c>
      <c r="O6" s="208">
        <f ca="1">L8</f>
        <v>1</v>
      </c>
      <c r="P6" s="213">
        <v>0</v>
      </c>
    </row>
    <row r="7" spans="1:16" ht="15.75" customHeight="1">
      <c r="A7" s="450"/>
      <c r="B7" s="140" t="s">
        <v>39</v>
      </c>
      <c r="C7" s="98">
        <f t="shared" ca="1" si="0"/>
        <v>10</v>
      </c>
      <c r="D7" s="98">
        <f ca="1">SUM(INDEX(E:E,ROW()):INDEX(I:I,ROW()))</f>
        <v>10</v>
      </c>
      <c r="E7" s="76" cm="1">
        <f t="array" aca="1" ref="E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10</v>
      </c>
      <c r="F7" s="76" cm="1">
        <f t="array" aca="1" ref="F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7" s="76" cm="1">
        <f t="array" aca="1" ref="G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7" s="76" cm="1">
        <f t="array" aca="1" ref="H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7" s="76" cm="1">
        <f t="array" aca="1" ref="I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7" s="189">
        <f t="shared" ca="1" si="1"/>
        <v>1</v>
      </c>
      <c r="K7" s="34" cm="1">
        <f t="array" aca="1" ref="K7"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c r="N7" s="209" t="str">
        <f>A9</f>
        <v>QoS</v>
      </c>
      <c r="O7" s="205">
        <f ca="1">L13</f>
        <v>1</v>
      </c>
      <c r="P7" s="210">
        <v>1</v>
      </c>
    </row>
    <row r="8" spans="1:16" ht="15.75" customHeight="1">
      <c r="A8" s="450"/>
      <c r="B8" s="190" t="s">
        <v>40</v>
      </c>
      <c r="C8" s="191" cm="1">
        <f t="array" aca="1" ref="C8" ca="1">_xlfn.LET(
  _xlpm.r,ROW(),
  _xlpm.c,COLUMN(),
  _xlpm.prev,IFERROR(LOOKUP(2,1/($B$1:INDEX($B:$B,_xlpm.r-1)="TOTAL"),ROW($B$1:INDEX($B:$B,_xlpm.r-1))),2),
  _xlpm.start,_xlpm.prev+1,
  SUM(INDEX($1:$1048576,_xlpm.start,_xlpm.c):INDEX($1:$1048576,_xlpm.r-1,_xlpm.c))
)</f>
        <v>98</v>
      </c>
      <c r="D8" s="191" cm="1">
        <f t="array" aca="1" ref="D8" ca="1">_xlfn.LET(
  _xlpm.r,ROW(),
  _xlpm.c,COLUMN(),
  _xlpm.prev,IFERROR(LOOKUP(2,1/($B$1:INDEX($B:$B,_xlpm.r-1)="TOTAL"),ROW($B$1:INDEX($B:$B,_xlpm.r-1))),2),
  _xlpm.start,_xlpm.prev+1,
  SUM(INDEX($1:$1048576,_xlpm.start,_xlpm.c):INDEX($1:$1048576,_xlpm.r-1,_xlpm.c))
)</f>
        <v>98</v>
      </c>
      <c r="E8" s="191" cm="1">
        <f t="array" aca="1" ref="E8" ca="1">_xlfn.LET(
  _xlpm.r,ROW(),
  _xlpm.c,COLUMN(),
  _xlpm.prev,IFERROR(LOOKUP(2,1/($B$1:INDEX($B:$B,_xlpm.r-1)="TOTAL"),ROW($B$1:INDEX($B:$B,_xlpm.r-1))),2),
  _xlpm.start,_xlpm.prev+1,
  SUM(INDEX($1:$1048576,_xlpm.start,_xlpm.c):INDEX($1:$1048576,_xlpm.r-1,_xlpm.c))
)</f>
        <v>98</v>
      </c>
      <c r="F8" s="191" cm="1">
        <f t="array" aca="1" ref="F8" ca="1">_xlfn.LET(
  _xlpm.r,ROW(),
  _xlpm.c,COLUMN(),
  _xlpm.prev,IFERROR(LOOKUP(2,1/($B$1:INDEX($B:$B,_xlpm.r-1)="TOTAL"),ROW($B$1:INDEX($B:$B,_xlpm.r-1))),2),
  _xlpm.start,_xlpm.prev+1,
  SUM(INDEX($1:$1048576,_xlpm.start,_xlpm.c):INDEX($1:$1048576,_xlpm.r-1,_xlpm.c))
)</f>
        <v>0</v>
      </c>
      <c r="G8" s="191" cm="1">
        <f t="array" aca="1" ref="G8" ca="1">_xlfn.LET(
  _xlpm.r,ROW(),
  _xlpm.c,COLUMN(),
  _xlpm.prev,IFERROR(LOOKUP(2,1/($B$1:INDEX($B:$B,_xlpm.r-1)="TOTAL"),ROW($B$1:INDEX($B:$B,_xlpm.r-1))),2),
  _xlpm.start,_xlpm.prev+1,
  SUM(INDEX($1:$1048576,_xlpm.start,_xlpm.c):INDEX($1:$1048576,_xlpm.r-1,_xlpm.c))
)</f>
        <v>0</v>
      </c>
      <c r="H8" s="191" cm="1">
        <f t="array" aca="1" ref="H8" ca="1">_xlfn.LET(
  _xlpm.r,ROW(),
  _xlpm.c,COLUMN(),
  _xlpm.prev,IFERROR(LOOKUP(2,1/($B$1:INDEX($B:$B,_xlpm.r-1)="TOTAL"),ROW($B$1:INDEX($B:$B,_xlpm.r-1))),2),
  _xlpm.start,_xlpm.prev+1,
  SUM(INDEX($1:$1048576,_xlpm.start,_xlpm.c):INDEX($1:$1048576,_xlpm.r-1,_xlpm.c))
)</f>
        <v>0</v>
      </c>
      <c r="I8" s="191" cm="1">
        <f t="array" aca="1" ref="I8" ca="1">_xlfn.LET(
  _xlpm.r,ROW(),
  _xlpm.c,COLUMN(),
  _xlpm.prev,IFERROR(LOOKUP(2,1/($B$1:INDEX($B:$B,_xlpm.r-1)="TOTAL"),ROW($B$1:INDEX($B:$B,_xlpm.r-1))),2),
  _xlpm.start,_xlpm.prev+1,
  SUM(INDEX($1:$1048576,_xlpm.start,_xlpm.c):INDEX($1:$1048576,_xlpm.r-1,_xlpm.c))
)</f>
        <v>0</v>
      </c>
      <c r="J8" s="192">
        <f ca="1">IFERROR(E8/SUM(E8:G8),0)</f>
        <v>1</v>
      </c>
      <c r="K8" s="54" cm="1">
        <f t="array" aca="1" ref="K8" ca="1">_xlfn.LET(
  _xlpm.r,ROW(),
  _xlpm.prev,IFERROR(LOOKUP(2,1/($B$1:INDEX($B:$B,_xlpm.r-1)="TOTAL"),ROW($B$1:INDEX($B:$B,_xlpm.r-1))),2),
  _xlpm.start,_xlpm.prev+1,
  SUM(INDEX(K:K,_xlpm.start):INDEX(K:K,_xlpm.r-1))
)</f>
        <v>0</v>
      </c>
      <c r="L8" s="202">
        <f ca="1">IFERROR(D8/C8,0)</f>
        <v>1</v>
      </c>
      <c r="N8" s="209" t="str">
        <f>A14</f>
        <v>Ethernet</v>
      </c>
      <c r="O8" s="205">
        <f ca="1">L17</f>
        <v>1</v>
      </c>
      <c r="P8" s="210">
        <v>0</v>
      </c>
    </row>
    <row r="9" spans="1:16">
      <c r="A9" s="445" t="s">
        <v>41</v>
      </c>
      <c r="B9" s="197" t="s">
        <v>42</v>
      </c>
      <c r="C9" s="98">
        <f t="shared" ref="C9:C12" ca="1" si="2">SUM(D9,K9)</f>
        <v>6</v>
      </c>
      <c r="D9" s="98">
        <f ca="1">SUM(INDEX(E:E,ROW()):INDEX(I:I,ROW()))</f>
        <v>6</v>
      </c>
      <c r="E9" s="76" cm="1">
        <f t="array" aca="1" ref="E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4</v>
      </c>
      <c r="F9" s="76" cm="1">
        <f t="array" aca="1" ref="F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9" s="76" cm="1">
        <f t="array" aca="1" ref="G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9" s="76" cm="1">
        <f t="array" aca="1" ref="H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I9" s="76" cm="1">
        <f t="array" aca="1" ref="I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9" s="193">
        <f ca="1">IFERROR(E9/SUM(E9:G9),0)</f>
        <v>1</v>
      </c>
      <c r="K9" s="34" cm="1">
        <f t="array" aca="1" ref="K9"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c r="N9" s="209" t="str">
        <f>A18</f>
        <v>Button</v>
      </c>
      <c r="O9" s="205">
        <f ca="1">L19</f>
        <v>1</v>
      </c>
      <c r="P9" s="210">
        <v>0</v>
      </c>
    </row>
    <row r="10" spans="1:16">
      <c r="A10" s="446"/>
      <c r="B10" s="140" t="s">
        <v>43</v>
      </c>
      <c r="C10" s="98">
        <f t="shared" ca="1" si="2"/>
        <v>17</v>
      </c>
      <c r="D10" s="98">
        <f ca="1">SUM(INDEX(E:E,ROW()):INDEX(I:I,ROW()))</f>
        <v>17</v>
      </c>
      <c r="E10" s="76" cm="1">
        <f t="array" aca="1" ref="E1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15</v>
      </c>
      <c r="F10" s="76" cm="1">
        <f t="array" aca="1" ref="F1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10" s="76" cm="1">
        <f t="array" aca="1" ref="G1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10" s="76" cm="1">
        <f t="array" aca="1" ref="H1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I10" s="76" cm="1">
        <f t="array" aca="1" ref="I1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10" s="189">
        <f t="shared" ref="J10:J12" ca="1" si="3">IFERROR(E10/SUM(E10:G10),0)</f>
        <v>1</v>
      </c>
      <c r="K10" s="34" cm="1">
        <f t="array" aca="1" ref="K10"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c r="N10" s="209" t="str">
        <f>A20</f>
        <v>LED</v>
      </c>
      <c r="O10" s="206">
        <f ca="1">L21</f>
        <v>1</v>
      </c>
      <c r="P10" s="210">
        <v>0</v>
      </c>
    </row>
    <row r="11" spans="1:16">
      <c r="A11" s="446"/>
      <c r="B11" s="140" t="s">
        <v>44</v>
      </c>
      <c r="C11" s="98">
        <f t="shared" ca="1" si="2"/>
        <v>4</v>
      </c>
      <c r="D11" s="98">
        <f ca="1">SUM(INDEX(E:E,ROW()):INDEX(I:I,ROW()))</f>
        <v>4</v>
      </c>
      <c r="E11" s="76" cm="1">
        <f t="array" aca="1" ref="E1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3</v>
      </c>
      <c r="F11" s="76" cm="1">
        <f t="array" aca="1" ref="F1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11" s="76" cm="1">
        <f t="array" aca="1" ref="G1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11" s="76" cm="1">
        <f t="array" aca="1" ref="H1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v>
      </c>
      <c r="I11" s="76" cm="1">
        <f t="array" aca="1" ref="I1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11" s="189">
        <f t="shared" ca="1" si="3"/>
        <v>1</v>
      </c>
      <c r="K11" s="34" cm="1">
        <f t="array" aca="1" ref="K11"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c r="N11" s="209" t="str">
        <f>A22</f>
        <v>XPON</v>
      </c>
      <c r="O11" s="206">
        <f ca="1">L23</f>
        <v>1</v>
      </c>
      <c r="P11" s="210">
        <v>0</v>
      </c>
    </row>
    <row r="12" spans="1:16">
      <c r="A12" s="446"/>
      <c r="B12" s="140" t="s">
        <v>45</v>
      </c>
      <c r="C12" s="98">
        <f t="shared" ca="1" si="2"/>
        <v>6</v>
      </c>
      <c r="D12" s="98">
        <f ca="1">SUM(INDEX(E:E,ROW()):INDEX(I:I,ROW()))</f>
        <v>6</v>
      </c>
      <c r="E12" s="76" cm="1">
        <f t="array" aca="1" ref="E1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4</v>
      </c>
      <c r="F12" s="76" cm="1">
        <f t="array" aca="1" ref="F1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12" s="76" cm="1">
        <f t="array" aca="1" ref="G1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12" s="76" cm="1">
        <f t="array" aca="1" ref="H1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I12" s="76" cm="1">
        <f t="array" aca="1" ref="I1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12" s="189">
        <f t="shared" ca="1" si="3"/>
        <v>1</v>
      </c>
      <c r="K12" s="34" cm="1">
        <f t="array" aca="1" ref="K12"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c r="N12" s="209" t="str">
        <f>A24</f>
        <v>WiFi 5g</v>
      </c>
      <c r="O12" s="206">
        <f ca="1">L29</f>
        <v>1</v>
      </c>
      <c r="P12" s="210">
        <v>2.9600000000000001E-2</v>
      </c>
    </row>
    <row r="13" spans="1:16">
      <c r="A13" s="447"/>
      <c r="B13" s="196" t="s">
        <v>40</v>
      </c>
      <c r="C13" s="194" cm="1">
        <f t="array" aca="1" ref="C13" ca="1">_xlfn.LET(
  _xlpm.r,ROW(),
  _xlpm.c,COLUMN(),
  _xlpm.prev,IFERROR(LOOKUP(2,1/($B$1:INDEX($B:$B,_xlpm.r-1)="TOTAL"),ROW($B$1:INDEX($B:$B,_xlpm.r-1))),2),
  _xlpm.start,_xlpm.prev+1,
  SUM(INDEX($1:$1048576,_xlpm.start,_xlpm.c):INDEX($1:$1048576,_xlpm.r-1,_xlpm.c))
)</f>
        <v>33</v>
      </c>
      <c r="D13" s="194" cm="1">
        <f t="array" aca="1" ref="D13" ca="1">_xlfn.LET(
  _xlpm.r,ROW(),
  _xlpm.c,COLUMN(),
  _xlpm.prev,IFERROR(LOOKUP(2,1/($B$1:INDEX($B:$B,_xlpm.r-1)="TOTAL"),ROW($B$1:INDEX($B:$B,_xlpm.r-1))),2),
  _xlpm.start,_xlpm.prev+1,
  SUM(INDEX($1:$1048576,_xlpm.start,_xlpm.c):INDEX($1:$1048576,_xlpm.r-1,_xlpm.c))
)</f>
        <v>33</v>
      </c>
      <c r="E13" s="194" cm="1">
        <f t="array" aca="1" ref="E13" ca="1">_xlfn.LET(
  _xlpm.r,ROW(),
  _xlpm.c,COLUMN(),
  _xlpm.prev,IFERROR(LOOKUP(2,1/($B$1:INDEX($B:$B,_xlpm.r-1)="TOTAL"),ROW($B$1:INDEX($B:$B,_xlpm.r-1))),2),
  _xlpm.start,_xlpm.prev+1,
  SUM(INDEX($1:$1048576,_xlpm.start,_xlpm.c):INDEX($1:$1048576,_xlpm.r-1,_xlpm.c))
)</f>
        <v>26</v>
      </c>
      <c r="F13" s="194" cm="1">
        <f t="array" aca="1" ref="F13" ca="1">_xlfn.LET(
  _xlpm.r,ROW(),
  _xlpm.c,COLUMN(),
  _xlpm.prev,IFERROR(LOOKUP(2,1/($B$1:INDEX($B:$B,_xlpm.r-1)="TOTAL"),ROW($B$1:INDEX($B:$B,_xlpm.r-1))),2),
  _xlpm.start,_xlpm.prev+1,
  SUM(INDEX($1:$1048576,_xlpm.start,_xlpm.c):INDEX($1:$1048576,_xlpm.r-1,_xlpm.c))
)</f>
        <v>0</v>
      </c>
      <c r="G13" s="194" cm="1">
        <f t="array" aca="1" ref="G13" ca="1">_xlfn.LET(
  _xlpm.r,ROW(),
  _xlpm.c,COLUMN(),
  _xlpm.prev,IFERROR(LOOKUP(2,1/($B$1:INDEX($B:$B,_xlpm.r-1)="TOTAL"),ROW($B$1:INDEX($B:$B,_xlpm.r-1))),2),
  _xlpm.start,_xlpm.prev+1,
  SUM(INDEX($1:$1048576,_xlpm.start,_xlpm.c):INDEX($1:$1048576,_xlpm.r-1,_xlpm.c))
)</f>
        <v>0</v>
      </c>
      <c r="H13" s="194" cm="1">
        <f t="array" aca="1" ref="H13" ca="1">_xlfn.LET(
  _xlpm.r,ROW(),
  _xlpm.c,COLUMN(),
  _xlpm.prev,IFERROR(LOOKUP(2,1/($B$1:INDEX($B:$B,_xlpm.r-1)="TOTAL"),ROW($B$1:INDEX($B:$B,_xlpm.r-1))),2),
  _xlpm.start,_xlpm.prev+1,
  SUM(INDEX($1:$1048576,_xlpm.start,_xlpm.c):INDEX($1:$1048576,_xlpm.r-1,_xlpm.c))
)</f>
        <v>7</v>
      </c>
      <c r="I13" s="194" cm="1">
        <f t="array" aca="1" ref="I13" ca="1">_xlfn.LET(
  _xlpm.r,ROW(),
  _xlpm.c,COLUMN(),
  _xlpm.prev,IFERROR(LOOKUP(2,1/($B$1:INDEX($B:$B,_xlpm.r-1)="TOTAL"),ROW($B$1:INDEX($B:$B,_xlpm.r-1))),2),
  _xlpm.start,_xlpm.prev+1,
  SUM(INDEX($1:$1048576,_xlpm.start,_xlpm.c):INDEX($1:$1048576,_xlpm.r-1,_xlpm.c))
)</f>
        <v>0</v>
      </c>
      <c r="J13" s="192">
        <f ca="1">IFERROR(E13/SUM(E13:G13),0)</f>
        <v>1</v>
      </c>
      <c r="K13" s="54" cm="1">
        <f t="array" aca="1" ref="K13" ca="1">_xlfn.LET(
  _xlpm.r,ROW(),
  _xlpm.prev,IFERROR(LOOKUP(2,1/($B$1:INDEX($B:$B,_xlpm.r-1)="TOTAL"),ROW($B$1:INDEX($B:$B,_xlpm.r-1))),2),
  _xlpm.start,_xlpm.prev+1,
  SUM(INDEX(K:K,_xlpm.start):INDEX(K:K,_xlpm.r-1))
)</f>
        <v>0</v>
      </c>
      <c r="L13" s="202">
        <f ca="1">IFERROR(D13/C13,0)</f>
        <v>1</v>
      </c>
      <c r="N13" s="209" t="str">
        <f>A30</f>
        <v>WiFi 6g</v>
      </c>
      <c r="O13" s="206">
        <f ca="1">L35</f>
        <v>1</v>
      </c>
      <c r="P13" s="210">
        <v>2.9499999999999998E-2</v>
      </c>
    </row>
    <row r="14" spans="1:16">
      <c r="A14" s="445" t="s">
        <v>46</v>
      </c>
      <c r="B14" s="195" t="s">
        <v>47</v>
      </c>
      <c r="C14" s="98">
        <f t="shared" ref="C14:C16" ca="1" si="4">SUM(D14,K14)</f>
        <v>13</v>
      </c>
      <c r="D14" s="98">
        <f ca="1">SUM(INDEX(E:E,ROW()):INDEX(I:I,ROW()))</f>
        <v>13</v>
      </c>
      <c r="E14" s="76" cm="1">
        <f t="array" aca="1" ref="E1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12</v>
      </c>
      <c r="F14" s="76" cm="1">
        <f t="array" aca="1" ref="F1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v>
      </c>
      <c r="G14" s="76" cm="1">
        <f t="array" aca="1" ref="G1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14" s="76" cm="1">
        <f t="array" aca="1" ref="H1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14" s="76" cm="1">
        <f t="array" aca="1" ref="I1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14" s="193">
        <f ca="1">IFERROR(E14/SUM(E14:G14),0)</f>
        <v>0.92307692307692313</v>
      </c>
      <c r="K14" s="34" cm="1">
        <f t="array" aca="1" ref="K14"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c r="N14" s="211" t="str">
        <f>A36</f>
        <v>WiFi 2.4g</v>
      </c>
      <c r="O14" s="212">
        <f ca="1">L41</f>
        <v>1</v>
      </c>
      <c r="P14" s="214">
        <v>2.9600000000000001E-2</v>
      </c>
    </row>
    <row r="15" spans="1:16">
      <c r="A15" s="446"/>
      <c r="B15" s="140" t="s">
        <v>48</v>
      </c>
      <c r="C15" s="98">
        <f t="shared" ca="1" si="4"/>
        <v>2</v>
      </c>
      <c r="D15" s="98">
        <f ca="1">SUM(INDEX(E:E,ROW()):INDEX(I:I,ROW()))</f>
        <v>2</v>
      </c>
      <c r="E15" s="76" cm="1">
        <f t="array" aca="1" ref="E1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F15" s="76" cm="1">
        <f t="array" aca="1" ref="F1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15" s="76" cm="1">
        <f t="array" aca="1" ref="G1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15" s="76" cm="1">
        <f t="array" aca="1" ref="H1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15" s="76" cm="1">
        <f t="array" aca="1" ref="I1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15" s="189">
        <f t="shared" ref="J15:J28" ca="1" si="5">IFERROR(E15/SUM(E15:G15),0)</f>
        <v>1</v>
      </c>
      <c r="K15" s="34" cm="1">
        <f t="array" aca="1" ref="K15"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16" spans="1:16">
      <c r="A16" s="446"/>
      <c r="B16" s="140" t="s">
        <v>49</v>
      </c>
      <c r="C16" s="98">
        <f t="shared" ca="1" si="4"/>
        <v>22</v>
      </c>
      <c r="D16" s="98">
        <f ca="1">SUM(INDEX(E:E,ROW()):INDEX(I:I,ROW()))</f>
        <v>22</v>
      </c>
      <c r="E16" s="76" cm="1">
        <f t="array" aca="1" ref="E1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F16" s="76" cm="1">
        <f t="array" aca="1" ref="F1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16" s="76" cm="1">
        <f t="array" aca="1" ref="G1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16" s="76" cm="1">
        <f t="array" aca="1" ref="H1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16" s="76" cm="1">
        <f t="array" aca="1" ref="I1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22</v>
      </c>
      <c r="J16" s="189">
        <f t="shared" ca="1" si="5"/>
        <v>0</v>
      </c>
      <c r="K16" s="34" cm="1">
        <f t="array" aca="1" ref="K16"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17" spans="1:12">
      <c r="A17" s="449"/>
      <c r="B17" s="196" t="s">
        <v>40</v>
      </c>
      <c r="C17" s="194" cm="1">
        <f t="array" aca="1" ref="C17" ca="1">_xlfn.LET(
  _xlpm.r,ROW(),
  _xlpm.c,COLUMN(),
  _xlpm.prev,IFERROR(LOOKUP(2,1/($B$1:INDEX($B:$B,_xlpm.r-1)="TOTAL"),ROW($B$1:INDEX($B:$B,_xlpm.r-1))),2),
  _xlpm.start,_xlpm.prev+1,
  SUM(INDEX($1:$1048576,_xlpm.start,_xlpm.c):INDEX($1:$1048576,_xlpm.r-1,_xlpm.c))
)</f>
        <v>37</v>
      </c>
      <c r="D17" s="194" cm="1">
        <f t="array" aca="1" ref="D17" ca="1">_xlfn.LET(
  _xlpm.r,ROW(),
  _xlpm.c,COLUMN(),
  _xlpm.prev,IFERROR(LOOKUP(2,1/($B$1:INDEX($B:$B,_xlpm.r-1)="TOTAL"),ROW($B$1:INDEX($B:$B,_xlpm.r-1))),2),
  _xlpm.start,_xlpm.prev+1,
  SUM(INDEX($1:$1048576,_xlpm.start,_xlpm.c):INDEX($1:$1048576,_xlpm.r-1,_xlpm.c))
)</f>
        <v>37</v>
      </c>
      <c r="E17" s="194" cm="1">
        <f t="array" aca="1" ref="E17" ca="1">_xlfn.LET(
  _xlpm.r,ROW(),
  _xlpm.c,COLUMN(),
  _xlpm.prev,IFERROR(LOOKUP(2,1/($B$1:INDEX($B:$B,_xlpm.r-1)="TOTAL"),ROW($B$1:INDEX($B:$B,_xlpm.r-1))),2),
  _xlpm.start,_xlpm.prev+1,
  SUM(INDEX($1:$1048576,_xlpm.start,_xlpm.c):INDEX($1:$1048576,_xlpm.r-1,_xlpm.c))
)</f>
        <v>14</v>
      </c>
      <c r="F17" s="194" cm="1">
        <f t="array" aca="1" ref="F17" ca="1">_xlfn.LET(
  _xlpm.r,ROW(),
  _xlpm.c,COLUMN(),
  _xlpm.prev,IFERROR(LOOKUP(2,1/($B$1:INDEX($B:$B,_xlpm.r-1)="TOTAL"),ROW($B$1:INDEX($B:$B,_xlpm.r-1))),2),
  _xlpm.start,_xlpm.prev+1,
  SUM(INDEX($1:$1048576,_xlpm.start,_xlpm.c):INDEX($1:$1048576,_xlpm.r-1,_xlpm.c))
)</f>
        <v>1</v>
      </c>
      <c r="G17" s="194" cm="1">
        <f t="array" aca="1" ref="G17" ca="1">_xlfn.LET(
  _xlpm.r,ROW(),
  _xlpm.c,COLUMN(),
  _xlpm.prev,IFERROR(LOOKUP(2,1/($B$1:INDEX($B:$B,_xlpm.r-1)="TOTAL"),ROW($B$1:INDEX($B:$B,_xlpm.r-1))),2),
  _xlpm.start,_xlpm.prev+1,
  SUM(INDEX($1:$1048576,_xlpm.start,_xlpm.c):INDEX($1:$1048576,_xlpm.r-1,_xlpm.c))
)</f>
        <v>0</v>
      </c>
      <c r="H17" s="194" cm="1">
        <f t="array" aca="1" ref="H17" ca="1">_xlfn.LET(
  _xlpm.r,ROW(),
  _xlpm.c,COLUMN(),
  _xlpm.prev,IFERROR(LOOKUP(2,1/($B$1:INDEX($B:$B,_xlpm.r-1)="TOTAL"),ROW($B$1:INDEX($B:$B,_xlpm.r-1))),2),
  _xlpm.start,_xlpm.prev+1,
  SUM(INDEX($1:$1048576,_xlpm.start,_xlpm.c):INDEX($1:$1048576,_xlpm.r-1,_xlpm.c))
)</f>
        <v>0</v>
      </c>
      <c r="I17" s="194" cm="1">
        <f t="array" aca="1" ref="I17" ca="1">_xlfn.LET(
  _xlpm.r,ROW(),
  _xlpm.c,COLUMN(),
  _xlpm.prev,IFERROR(LOOKUP(2,1/($B$1:INDEX($B:$B,_xlpm.r-1)="TOTAL"),ROW($B$1:INDEX($B:$B,_xlpm.r-1))),2),
  _xlpm.start,_xlpm.prev+1,
  SUM(INDEX($1:$1048576,_xlpm.start,_xlpm.c):INDEX($1:$1048576,_xlpm.r-1,_xlpm.c))
)</f>
        <v>22</v>
      </c>
      <c r="J17" s="192">
        <f t="shared" ca="1" si="5"/>
        <v>0.93333333333333335</v>
      </c>
      <c r="K17" s="54" cm="1">
        <f t="array" aca="1" ref="K17" ca="1">_xlfn.LET(
  _xlpm.r,ROW(),
  _xlpm.prev,IFERROR(LOOKUP(2,1/($B$1:INDEX($B:$B,_xlpm.r-1)="TOTAL"),ROW($B$1:INDEX($B:$B,_xlpm.r-1))),2),
  _xlpm.start,_xlpm.prev+1,
  SUM(INDEX(K:K,_xlpm.start):INDEX(K:K,_xlpm.r-1))
)</f>
        <v>0</v>
      </c>
      <c r="L17" s="202">
        <f ca="1">IFERROR(D17/C17,0)</f>
        <v>1</v>
      </c>
    </row>
    <row r="18" spans="1:12">
      <c r="A18" s="448" t="s">
        <v>50</v>
      </c>
      <c r="B18" s="195" t="s">
        <v>51</v>
      </c>
      <c r="C18" s="98">
        <f ca="1">SUM(D18,K18)</f>
        <v>2</v>
      </c>
      <c r="D18" s="98">
        <f ca="1">SUM(INDEX(E:E,ROW()):INDEX(I:I,ROW()))</f>
        <v>2</v>
      </c>
      <c r="E18" s="76" cm="1">
        <f t="array" aca="1" ref="E1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F18" s="76" cm="1">
        <f t="array" aca="1" ref="F1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18" s="76" cm="1">
        <f t="array" aca="1" ref="G1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18" s="76" cm="1">
        <f t="array" aca="1" ref="H1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18" s="76" cm="1">
        <f t="array" aca="1" ref="I1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18" s="193">
        <f ca="1">IFERROR(E18/SUM(E18:G18),0)</f>
        <v>1</v>
      </c>
      <c r="K18" s="34" cm="1">
        <f t="array" aca="1" ref="K18"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19" spans="1:12">
      <c r="A19" s="449"/>
      <c r="B19" s="196" t="s">
        <v>40</v>
      </c>
      <c r="C19" s="194" cm="1">
        <f t="array" aca="1" ref="C19" ca="1">_xlfn.LET(
  _xlpm.r,ROW(),
  _xlpm.c,COLUMN(),
  _xlpm.prev,IFERROR(LOOKUP(2,1/($B$1:INDEX($B:$B,_xlpm.r-1)="TOTAL"),ROW($B$1:INDEX($B:$B,_xlpm.r-1))),2),
  _xlpm.start,_xlpm.prev+1,
  SUM(INDEX($1:$1048576,_xlpm.start,_xlpm.c):INDEX($1:$1048576,_xlpm.r-1,_xlpm.c))
)</f>
        <v>2</v>
      </c>
      <c r="D19" s="194" cm="1">
        <f t="array" aca="1" ref="D19" ca="1">_xlfn.LET(
  _xlpm.r,ROW(),
  _xlpm.c,COLUMN(),
  _xlpm.prev,IFERROR(LOOKUP(2,1/($B$1:INDEX($B:$B,_xlpm.r-1)="TOTAL"),ROW($B$1:INDEX($B:$B,_xlpm.r-1))),2),
  _xlpm.start,_xlpm.prev+1,
  SUM(INDEX($1:$1048576,_xlpm.start,_xlpm.c):INDEX($1:$1048576,_xlpm.r-1,_xlpm.c))
)</f>
        <v>2</v>
      </c>
      <c r="E19" s="194" cm="1">
        <f t="array" aca="1" ref="E19" ca="1">_xlfn.LET(
  _xlpm.r,ROW(),
  _xlpm.c,COLUMN(),
  _xlpm.prev,IFERROR(LOOKUP(2,1/($B$1:INDEX($B:$B,_xlpm.r-1)="TOTAL"),ROW($B$1:INDEX($B:$B,_xlpm.r-1))),2),
  _xlpm.start,_xlpm.prev+1,
  SUM(INDEX($1:$1048576,_xlpm.start,_xlpm.c):INDEX($1:$1048576,_xlpm.r-1,_xlpm.c))
)</f>
        <v>2</v>
      </c>
      <c r="F19" s="194" cm="1">
        <f t="array" aca="1" ref="F19" ca="1">_xlfn.LET(
  _xlpm.r,ROW(),
  _xlpm.c,COLUMN(),
  _xlpm.prev,IFERROR(LOOKUP(2,1/($B$1:INDEX($B:$B,_xlpm.r-1)="TOTAL"),ROW($B$1:INDEX($B:$B,_xlpm.r-1))),2),
  _xlpm.start,_xlpm.prev+1,
  SUM(INDEX($1:$1048576,_xlpm.start,_xlpm.c):INDEX($1:$1048576,_xlpm.r-1,_xlpm.c))
)</f>
        <v>0</v>
      </c>
      <c r="G19" s="194" cm="1">
        <f t="array" aca="1" ref="G19" ca="1">_xlfn.LET(
  _xlpm.r,ROW(),
  _xlpm.c,COLUMN(),
  _xlpm.prev,IFERROR(LOOKUP(2,1/($B$1:INDEX($B:$B,_xlpm.r-1)="TOTAL"),ROW($B$1:INDEX($B:$B,_xlpm.r-1))),2),
  _xlpm.start,_xlpm.prev+1,
  SUM(INDEX($1:$1048576,_xlpm.start,_xlpm.c):INDEX($1:$1048576,_xlpm.r-1,_xlpm.c))
)</f>
        <v>0</v>
      </c>
      <c r="H19" s="194" cm="1">
        <f t="array" aca="1" ref="H19" ca="1">_xlfn.LET(
  _xlpm.r,ROW(),
  _xlpm.c,COLUMN(),
  _xlpm.prev,IFERROR(LOOKUP(2,1/($B$1:INDEX($B:$B,_xlpm.r-1)="TOTAL"),ROW($B$1:INDEX($B:$B,_xlpm.r-1))),2),
  _xlpm.start,_xlpm.prev+1,
  SUM(INDEX($1:$1048576,_xlpm.start,_xlpm.c):INDEX($1:$1048576,_xlpm.r-1,_xlpm.c))
)</f>
        <v>0</v>
      </c>
      <c r="I19" s="194" cm="1">
        <f t="array" aca="1" ref="I19" ca="1">_xlfn.LET(
  _xlpm.r,ROW(),
  _xlpm.c,COLUMN(),
  _xlpm.prev,IFERROR(LOOKUP(2,1/($B$1:INDEX($B:$B,_xlpm.r-1)="TOTAL"),ROW($B$1:INDEX($B:$B,_xlpm.r-1))),2),
  _xlpm.start,_xlpm.prev+1,
  SUM(INDEX($1:$1048576,_xlpm.start,_xlpm.c):INDEX($1:$1048576,_xlpm.r-1,_xlpm.c))
)</f>
        <v>0</v>
      </c>
      <c r="J19" s="192">
        <f t="shared" ca="1" si="5"/>
        <v>1</v>
      </c>
      <c r="K19" s="54" cm="1">
        <f t="array" aca="1" ref="K19" ca="1">_xlfn.LET(
  _xlpm.r,ROW(),
  _xlpm.prev,IFERROR(LOOKUP(2,1/($B$1:INDEX($B:$B,_xlpm.r-1)="TOTAL"),ROW($B$1:INDEX($B:$B,_xlpm.r-1))),2),
  _xlpm.start,_xlpm.prev+1,
  SUM(INDEX(K:K,_xlpm.start):INDEX(K:K,_xlpm.r-1))
)</f>
        <v>0</v>
      </c>
      <c r="L19" s="202">
        <f ca="1">IFERROR(D19/C19,0)</f>
        <v>1</v>
      </c>
    </row>
    <row r="20" spans="1:12">
      <c r="A20" s="448" t="s">
        <v>52</v>
      </c>
      <c r="B20" s="195" t="s">
        <v>53</v>
      </c>
      <c r="C20" s="98">
        <f ca="1">SUM(D20,K20)</f>
        <v>5</v>
      </c>
      <c r="D20" s="98">
        <f ca="1">SUM(INDEX(E:E,ROW()):INDEX(I:I,ROW()))</f>
        <v>5</v>
      </c>
      <c r="E20" s="76" cm="1">
        <f t="array" aca="1" ref="E2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4</v>
      </c>
      <c r="F20" s="76" cm="1">
        <f t="array" aca="1" ref="F2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v>
      </c>
      <c r="G20" s="76" cm="1">
        <f t="array" aca="1" ref="G2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20" s="76" cm="1">
        <f t="array" aca="1" ref="H2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20" s="76" cm="1">
        <f t="array" aca="1" ref="I2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20" s="193">
        <f ca="1">IFERROR(E20/SUM(E20:G20),0)</f>
        <v>0.8</v>
      </c>
      <c r="K20" s="34" cm="1">
        <f t="array" aca="1" ref="K20"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21" spans="1:12">
      <c r="A21" s="449"/>
      <c r="B21" s="196" t="s">
        <v>40</v>
      </c>
      <c r="C21" s="194" cm="1">
        <f t="array" aca="1" ref="C21" ca="1">_xlfn.LET(
  _xlpm.r,ROW(),
  _xlpm.c,COLUMN(),
  _xlpm.prev,IFERROR(LOOKUP(2,1/($B$1:INDEX($B:$B,_xlpm.r-1)="TOTAL"),ROW($B$1:INDEX($B:$B,_xlpm.r-1))),2),
  _xlpm.start,_xlpm.prev+1,
  SUM(INDEX($1:$1048576,_xlpm.start,_xlpm.c):INDEX($1:$1048576,_xlpm.r-1,_xlpm.c))
)</f>
        <v>5</v>
      </c>
      <c r="D21" s="194" cm="1">
        <f t="array" aca="1" ref="D21" ca="1">_xlfn.LET(
  _xlpm.r,ROW(),
  _xlpm.c,COLUMN(),
  _xlpm.prev,IFERROR(LOOKUP(2,1/($B$1:INDEX($B:$B,_xlpm.r-1)="TOTAL"),ROW($B$1:INDEX($B:$B,_xlpm.r-1))),2),
  _xlpm.start,_xlpm.prev+1,
  SUM(INDEX($1:$1048576,_xlpm.start,_xlpm.c):INDEX($1:$1048576,_xlpm.r-1,_xlpm.c))
)</f>
        <v>5</v>
      </c>
      <c r="E21" s="194" cm="1">
        <f t="array" aca="1" ref="E21" ca="1">_xlfn.LET(
  _xlpm.r,ROW(),
  _xlpm.c,COLUMN(),
  _xlpm.prev,IFERROR(LOOKUP(2,1/($B$1:INDEX($B:$B,_xlpm.r-1)="TOTAL"),ROW($B$1:INDEX($B:$B,_xlpm.r-1))),2),
  _xlpm.start,_xlpm.prev+1,
  SUM(INDEX($1:$1048576,_xlpm.start,_xlpm.c):INDEX($1:$1048576,_xlpm.r-1,_xlpm.c))
)</f>
        <v>4</v>
      </c>
      <c r="F21" s="194" cm="1">
        <f t="array" aca="1" ref="F21" ca="1">_xlfn.LET(
  _xlpm.r,ROW(),
  _xlpm.c,COLUMN(),
  _xlpm.prev,IFERROR(LOOKUP(2,1/($B$1:INDEX($B:$B,_xlpm.r-1)="TOTAL"),ROW($B$1:INDEX($B:$B,_xlpm.r-1))),2),
  _xlpm.start,_xlpm.prev+1,
  SUM(INDEX($1:$1048576,_xlpm.start,_xlpm.c):INDEX($1:$1048576,_xlpm.r-1,_xlpm.c))
)</f>
        <v>1</v>
      </c>
      <c r="G21" s="194" cm="1">
        <f t="array" aca="1" ref="G21" ca="1">_xlfn.LET(
  _xlpm.r,ROW(),
  _xlpm.c,COLUMN(),
  _xlpm.prev,IFERROR(LOOKUP(2,1/($B$1:INDEX($B:$B,_xlpm.r-1)="TOTAL"),ROW($B$1:INDEX($B:$B,_xlpm.r-1))),2),
  _xlpm.start,_xlpm.prev+1,
  SUM(INDEX($1:$1048576,_xlpm.start,_xlpm.c):INDEX($1:$1048576,_xlpm.r-1,_xlpm.c))
)</f>
        <v>0</v>
      </c>
      <c r="H21" s="194" cm="1">
        <f t="array" aca="1" ref="H21" ca="1">_xlfn.LET(
  _xlpm.r,ROW(),
  _xlpm.c,COLUMN(),
  _xlpm.prev,IFERROR(LOOKUP(2,1/($B$1:INDEX($B:$B,_xlpm.r-1)="TOTAL"),ROW($B$1:INDEX($B:$B,_xlpm.r-1))),2),
  _xlpm.start,_xlpm.prev+1,
  SUM(INDEX($1:$1048576,_xlpm.start,_xlpm.c):INDEX($1:$1048576,_xlpm.r-1,_xlpm.c))
)</f>
        <v>0</v>
      </c>
      <c r="I21" s="194" cm="1">
        <f t="array" aca="1" ref="I21" ca="1">_xlfn.LET(
  _xlpm.r,ROW(),
  _xlpm.c,COLUMN(),
  _xlpm.prev,IFERROR(LOOKUP(2,1/($B$1:INDEX($B:$B,_xlpm.r-1)="TOTAL"),ROW($B$1:INDEX($B:$B,_xlpm.r-1))),2),
  _xlpm.start,_xlpm.prev+1,
  SUM(INDEX($1:$1048576,_xlpm.start,_xlpm.c):INDEX($1:$1048576,_xlpm.r-1,_xlpm.c))
)</f>
        <v>0</v>
      </c>
      <c r="J21" s="192">
        <f t="shared" ca="1" si="5"/>
        <v>0.8</v>
      </c>
      <c r="K21" s="54" cm="1">
        <f t="array" aca="1" ref="K21" ca="1">_xlfn.LET(
  _xlpm.r,ROW(),
  _xlpm.prev,IFERROR(LOOKUP(2,1/($B$1:INDEX($B:$B,_xlpm.r-1)="TOTAL"),ROW($B$1:INDEX($B:$B,_xlpm.r-1))),2),
  _xlpm.start,_xlpm.prev+1,
  SUM(INDEX(K:K,_xlpm.start):INDEX(K:K,_xlpm.r-1))
)</f>
        <v>0</v>
      </c>
      <c r="L21" s="202">
        <f ca="1">IFERROR(D21/C21,0)</f>
        <v>1</v>
      </c>
    </row>
    <row r="22" spans="1:12">
      <c r="A22" s="448" t="s">
        <v>54</v>
      </c>
      <c r="B22" s="195" t="s">
        <v>55</v>
      </c>
      <c r="C22" s="98">
        <f ca="1">SUM(D22,K22)</f>
        <v>8</v>
      </c>
      <c r="D22" s="98">
        <f ca="1">SUM(INDEX(E:E,ROW()):INDEX(I:I,ROW()))</f>
        <v>8</v>
      </c>
      <c r="E22" s="76" cm="1">
        <f t="array" aca="1" ref="E2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8</v>
      </c>
      <c r="F22" s="76" cm="1">
        <f t="array" aca="1" ref="F2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22" s="76" cm="1">
        <f t="array" aca="1" ref="G2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22" s="76" cm="1">
        <f t="array" aca="1" ref="H2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22" s="76" cm="1">
        <f t="array" aca="1" ref="I2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22" s="193">
        <f ca="1">IFERROR(E22/SUM(E22:G22),0)</f>
        <v>1</v>
      </c>
      <c r="K22" s="34" cm="1">
        <f t="array" aca="1" ref="K22"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23" spans="1:12">
      <c r="A23" s="449"/>
      <c r="B23" s="196" t="s">
        <v>40</v>
      </c>
      <c r="C23" s="194" cm="1">
        <f t="array" aca="1" ref="C23" ca="1">_xlfn.LET(
  _xlpm.r,ROW(),
  _xlpm.c,COLUMN(),
  _xlpm.prev,IFERROR(LOOKUP(2,1/($B$1:INDEX($B:$B,_xlpm.r-1)="TOTAL"),ROW($B$1:INDEX($B:$B,_xlpm.r-1))),2),
  _xlpm.start,_xlpm.prev+1,
  SUM(INDEX($1:$1048576,_xlpm.start,_xlpm.c):INDEX($1:$1048576,_xlpm.r-1,_xlpm.c))
)</f>
        <v>8</v>
      </c>
      <c r="D23" s="194" cm="1">
        <f t="array" aca="1" ref="D23" ca="1">_xlfn.LET(
  _xlpm.r,ROW(),
  _xlpm.c,COLUMN(),
  _xlpm.prev,IFERROR(LOOKUP(2,1/($B$1:INDEX($B:$B,_xlpm.r-1)="TOTAL"),ROW($B$1:INDEX($B:$B,_xlpm.r-1))),2),
  _xlpm.start,_xlpm.prev+1,
  SUM(INDEX($1:$1048576,_xlpm.start,_xlpm.c):INDEX($1:$1048576,_xlpm.r-1,_xlpm.c))
)</f>
        <v>8</v>
      </c>
      <c r="E23" s="194" cm="1">
        <f t="array" aca="1" ref="E23" ca="1">_xlfn.LET(
  _xlpm.r,ROW(),
  _xlpm.c,COLUMN(),
  _xlpm.prev,IFERROR(LOOKUP(2,1/($B$1:INDEX($B:$B,_xlpm.r-1)="TOTAL"),ROW($B$1:INDEX($B:$B,_xlpm.r-1))),2),
  _xlpm.start,_xlpm.prev+1,
  SUM(INDEX($1:$1048576,_xlpm.start,_xlpm.c):INDEX($1:$1048576,_xlpm.r-1,_xlpm.c))
)</f>
        <v>8</v>
      </c>
      <c r="F23" s="194" cm="1">
        <f t="array" aca="1" ref="F23" ca="1">_xlfn.LET(
  _xlpm.r,ROW(),
  _xlpm.c,COLUMN(),
  _xlpm.prev,IFERROR(LOOKUP(2,1/($B$1:INDEX($B:$B,_xlpm.r-1)="TOTAL"),ROW($B$1:INDEX($B:$B,_xlpm.r-1))),2),
  _xlpm.start,_xlpm.prev+1,
  SUM(INDEX($1:$1048576,_xlpm.start,_xlpm.c):INDEX($1:$1048576,_xlpm.r-1,_xlpm.c))
)</f>
        <v>0</v>
      </c>
      <c r="G23" s="194" cm="1">
        <f t="array" aca="1" ref="G23" ca="1">_xlfn.LET(
  _xlpm.r,ROW(),
  _xlpm.c,COLUMN(),
  _xlpm.prev,IFERROR(LOOKUP(2,1/($B$1:INDEX($B:$B,_xlpm.r-1)="TOTAL"),ROW($B$1:INDEX($B:$B,_xlpm.r-1))),2),
  _xlpm.start,_xlpm.prev+1,
  SUM(INDEX($1:$1048576,_xlpm.start,_xlpm.c):INDEX($1:$1048576,_xlpm.r-1,_xlpm.c))
)</f>
        <v>0</v>
      </c>
      <c r="H23" s="194" cm="1">
        <f t="array" aca="1" ref="H23" ca="1">_xlfn.LET(
  _xlpm.r,ROW(),
  _xlpm.c,COLUMN(),
  _xlpm.prev,IFERROR(LOOKUP(2,1/($B$1:INDEX($B:$B,_xlpm.r-1)="TOTAL"),ROW($B$1:INDEX($B:$B,_xlpm.r-1))),2),
  _xlpm.start,_xlpm.prev+1,
  SUM(INDEX($1:$1048576,_xlpm.start,_xlpm.c):INDEX($1:$1048576,_xlpm.r-1,_xlpm.c))
)</f>
        <v>0</v>
      </c>
      <c r="I23" s="194" cm="1">
        <f t="array" aca="1" ref="I23" ca="1">_xlfn.LET(
  _xlpm.r,ROW(),
  _xlpm.c,COLUMN(),
  _xlpm.prev,IFERROR(LOOKUP(2,1/($B$1:INDEX($B:$B,_xlpm.r-1)="TOTAL"),ROW($B$1:INDEX($B:$B,_xlpm.r-1))),2),
  _xlpm.start,_xlpm.prev+1,
  SUM(INDEX($1:$1048576,_xlpm.start,_xlpm.c):INDEX($1:$1048576,_xlpm.r-1,_xlpm.c))
)</f>
        <v>0</v>
      </c>
      <c r="J23" s="192">
        <f t="shared" ca="1" si="5"/>
        <v>1</v>
      </c>
      <c r="K23" s="54" cm="1">
        <f t="array" aca="1" ref="K23" ca="1">_xlfn.LET(
  _xlpm.r,ROW(),
  _xlpm.prev,IFERROR(LOOKUP(2,1/($B$1:INDEX($B:$B,_xlpm.r-1)="TOTAL"),ROW($B$1:INDEX($B:$B,_xlpm.r-1))),2),
  _xlpm.start,_xlpm.prev+1,
  SUM(INDEX(K:K,_xlpm.start):INDEX(K:K,_xlpm.r-1))
)</f>
        <v>0</v>
      </c>
      <c r="L23" s="202">
        <f ca="1">IFERROR(D23/C23,0)</f>
        <v>1</v>
      </c>
    </row>
    <row r="24" spans="1:12">
      <c r="A24" s="448" t="s">
        <v>56</v>
      </c>
      <c r="B24" s="195" t="s">
        <v>57</v>
      </c>
      <c r="C24" s="98">
        <f t="shared" ref="C24:C28" ca="1" si="6">SUM(D24,K24)</f>
        <v>135</v>
      </c>
      <c r="D24" s="98">
        <f ca="1">SUM(INDEX(E:E,ROW()):INDEX(I:I,ROW()))</f>
        <v>135</v>
      </c>
      <c r="E24" s="76" cm="1">
        <f t="array" aca="1" ref="E2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95</v>
      </c>
      <c r="F24" s="76" cm="1">
        <f t="array" aca="1" ref="F2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7</v>
      </c>
      <c r="G24" s="76" cm="1">
        <f t="array" aca="1" ref="G2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v>
      </c>
      <c r="H24" s="76" cm="1">
        <f t="array" aca="1" ref="H2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23</v>
      </c>
      <c r="I24" s="76" cm="1">
        <f t="array" aca="1" ref="I2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9</v>
      </c>
      <c r="J24" s="193">
        <f ca="1">IFERROR(E24/SUM(E24:G24),0)</f>
        <v>0.92233009708737868</v>
      </c>
      <c r="K24" s="34" cm="1">
        <f t="array" aca="1" ref="K24"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25" spans="1:12">
      <c r="A25" s="446"/>
      <c r="B25" s="140" t="s">
        <v>58</v>
      </c>
      <c r="C25" s="98">
        <f t="shared" ca="1" si="6"/>
        <v>33</v>
      </c>
      <c r="D25" s="98">
        <f ca="1">SUM(INDEX(E:E,ROW()):INDEX(I:I,ROW()))</f>
        <v>33</v>
      </c>
      <c r="E25" s="76" cm="1">
        <f t="array" aca="1" ref="E2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F25" s="76" cm="1">
        <f t="array" aca="1" ref="F2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25" s="76" cm="1">
        <f t="array" aca="1" ref="G2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25" s="76" cm="1">
        <f t="array" aca="1" ref="H2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25" s="76" cm="1">
        <f t="array" aca="1" ref="I2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33</v>
      </c>
      <c r="J25" s="189">
        <f t="shared" ca="1" si="5"/>
        <v>0</v>
      </c>
      <c r="K25" s="34" cm="1">
        <f t="array" aca="1" ref="K25"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26" spans="1:12">
      <c r="A26" s="446"/>
      <c r="B26" s="140" t="s">
        <v>59</v>
      </c>
      <c r="C26" s="98">
        <f t="shared" ca="1" si="6"/>
        <v>172</v>
      </c>
      <c r="D26" s="98">
        <f ca="1">SUM(INDEX(E:E,ROW()):INDEX(I:I,ROW()))</f>
        <v>172</v>
      </c>
      <c r="E26" s="76" cm="1">
        <f t="array" aca="1" ref="E2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141</v>
      </c>
      <c r="F26" s="76" cm="1">
        <f t="array" aca="1" ref="F2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16</v>
      </c>
      <c r="G26" s="76" cm="1">
        <f t="array" aca="1" ref="G2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10</v>
      </c>
      <c r="H26" s="76" cm="1">
        <f t="array" aca="1" ref="H2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I26" s="76" cm="1">
        <f t="array" aca="1" ref="I2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3</v>
      </c>
      <c r="J26" s="189">
        <f t="shared" ca="1" si="5"/>
        <v>0.84431137724550898</v>
      </c>
      <c r="K26" s="34" cm="1">
        <f t="array" aca="1" ref="K26"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27" spans="1:12">
      <c r="A27" s="446"/>
      <c r="B27" s="140" t="s">
        <v>60</v>
      </c>
      <c r="C27" s="98">
        <f t="shared" ca="1" si="6"/>
        <v>73</v>
      </c>
      <c r="D27" s="98">
        <f ca="1">SUM(INDEX(E:E,ROW()):INDEX(I:I,ROW()))</f>
        <v>73</v>
      </c>
      <c r="E27" s="76" cm="1">
        <f t="array" aca="1" ref="E2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28</v>
      </c>
      <c r="F27" s="76" cm="1">
        <f t="array" aca="1" ref="F2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7</v>
      </c>
      <c r="G27" s="76" cm="1">
        <f t="array" aca="1" ref="G2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16</v>
      </c>
      <c r="H27" s="76" cm="1">
        <f t="array" aca="1" ref="H2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20</v>
      </c>
      <c r="I27" s="76" cm="1">
        <f t="array" aca="1" ref="I2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J27" s="189">
        <f t="shared" ca="1" si="5"/>
        <v>0.5490196078431373</v>
      </c>
      <c r="K27" s="34" cm="1">
        <f t="array" aca="1" ref="K27"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28" spans="1:12">
      <c r="A28" s="446"/>
      <c r="B28" s="140" t="s">
        <v>61</v>
      </c>
      <c r="C28" s="98">
        <f t="shared" ca="1" si="6"/>
        <v>2</v>
      </c>
      <c r="D28" s="98">
        <f ca="1">SUM(INDEX(E:E,ROW()):INDEX(I:I,ROW()))</f>
        <v>2</v>
      </c>
      <c r="E28" s="76" cm="1">
        <f t="array" aca="1" ref="E2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F28" s="76" cm="1">
        <f t="array" aca="1" ref="F2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G28" s="76" cm="1">
        <f t="array" aca="1" ref="G2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28" s="76" cm="1">
        <f t="array" aca="1" ref="H2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28" s="76" cm="1">
        <f t="array" aca="1" ref="I2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28" s="189">
        <f t="shared" ca="1" si="5"/>
        <v>0</v>
      </c>
      <c r="K28" s="34" cm="1">
        <f t="array" aca="1" ref="K28"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29" spans="1:12">
      <c r="A29" s="449"/>
      <c r="B29" s="196" t="s">
        <v>40</v>
      </c>
      <c r="C29" s="194" cm="1">
        <f t="array" aca="1" ref="C29" ca="1">_xlfn.LET(
  _xlpm.r,ROW(),
  _xlpm.c,COLUMN(),
  _xlpm.prev,IFERROR(LOOKUP(2,1/($B$1:INDEX($B:$B,_xlpm.r-1)="TOTAL"),ROW($B$1:INDEX($B:$B,_xlpm.r-1))),2),
  _xlpm.start,_xlpm.prev+1,
  SUM(INDEX($1:$1048576,_xlpm.start,_xlpm.c):INDEX($1:$1048576,_xlpm.r-1,_xlpm.c))
)</f>
        <v>415</v>
      </c>
      <c r="D29" s="194" cm="1">
        <f t="array" aca="1" ref="D29" ca="1">_xlfn.LET(
  _xlpm.r,ROW(),
  _xlpm.c,COLUMN(),
  _xlpm.prev,IFERROR(LOOKUP(2,1/($B$1:INDEX($B:$B,_xlpm.r-1)="TOTAL"),ROW($B$1:INDEX($B:$B,_xlpm.r-1))),2),
  _xlpm.start,_xlpm.prev+1,
  SUM(INDEX($1:$1048576,_xlpm.start,_xlpm.c):INDEX($1:$1048576,_xlpm.r-1,_xlpm.c))
)</f>
        <v>415</v>
      </c>
      <c r="E29" s="194" cm="1">
        <f t="array" aca="1" ref="E29" ca="1">_xlfn.LET(
  _xlpm.r,ROW(),
  _xlpm.c,COLUMN(),
  _xlpm.prev,IFERROR(LOOKUP(2,1/($B$1:INDEX($B:$B,_xlpm.r-1)="TOTAL"),ROW($B$1:INDEX($B:$B,_xlpm.r-1))),2),
  _xlpm.start,_xlpm.prev+1,
  SUM(INDEX($1:$1048576,_xlpm.start,_xlpm.c):INDEX($1:$1048576,_xlpm.r-1,_xlpm.c))
)</f>
        <v>264</v>
      </c>
      <c r="F29" s="194" cm="1">
        <f t="array" aca="1" ref="F29" ca="1">_xlfn.LET(
  _xlpm.r,ROW(),
  _xlpm.c,COLUMN(),
  _xlpm.prev,IFERROR(LOOKUP(2,1/($B$1:INDEX($B:$B,_xlpm.r-1)="TOTAL"),ROW($B$1:INDEX($B:$B,_xlpm.r-1))),2),
  _xlpm.start,_xlpm.prev+1,
  SUM(INDEX($1:$1048576,_xlpm.start,_xlpm.c):INDEX($1:$1048576,_xlpm.r-1,_xlpm.c))
)</f>
        <v>32</v>
      </c>
      <c r="G29" s="194" cm="1">
        <f t="array" aca="1" ref="G29" ca="1">_xlfn.LET(
  _xlpm.r,ROW(),
  _xlpm.c,COLUMN(),
  _xlpm.prev,IFERROR(LOOKUP(2,1/($B$1:INDEX($B:$B,_xlpm.r-1)="TOTAL"),ROW($B$1:INDEX($B:$B,_xlpm.r-1))),2),
  _xlpm.start,_xlpm.prev+1,
  SUM(INDEX($1:$1048576,_xlpm.start,_xlpm.c):INDEX($1:$1048576,_xlpm.r-1,_xlpm.c))
)</f>
        <v>27</v>
      </c>
      <c r="H29" s="194" cm="1">
        <f t="array" aca="1" ref="H29" ca="1">_xlfn.LET(
  _xlpm.r,ROW(),
  _xlpm.c,COLUMN(),
  _xlpm.prev,IFERROR(LOOKUP(2,1/($B$1:INDEX($B:$B,_xlpm.r-1)="TOTAL"),ROW($B$1:INDEX($B:$B,_xlpm.r-1))),2),
  _xlpm.start,_xlpm.prev+1,
  SUM(INDEX($1:$1048576,_xlpm.start,_xlpm.c):INDEX($1:$1048576,_xlpm.r-1,_xlpm.c))
)</f>
        <v>45</v>
      </c>
      <c r="I29" s="194" cm="1">
        <f t="array" aca="1" ref="I29" ca="1">_xlfn.LET(
  _xlpm.r,ROW(),
  _xlpm.c,COLUMN(),
  _xlpm.prev,IFERROR(LOOKUP(2,1/($B$1:INDEX($B:$B,_xlpm.r-1)="TOTAL"),ROW($B$1:INDEX($B:$B,_xlpm.r-1))),2),
  _xlpm.start,_xlpm.prev+1,
  SUM(INDEX($1:$1048576,_xlpm.start,_xlpm.c):INDEX($1:$1048576,_xlpm.r-1,_xlpm.c))
)</f>
        <v>47</v>
      </c>
      <c r="J29" s="192">
        <f ca="1">IFERROR(E29/SUM(E29:G29),0)</f>
        <v>0.8173374613003096</v>
      </c>
      <c r="K29" s="54" cm="1">
        <f t="array" aca="1" ref="K29" ca="1">_xlfn.LET(
  _xlpm.r,ROW(),
  _xlpm.prev,IFERROR(LOOKUP(2,1/($B$1:INDEX($B:$B,_xlpm.r-1)="TOTAL"),ROW($B$1:INDEX($B:$B,_xlpm.r-1))),2),
  _xlpm.start,_xlpm.prev+1,
  SUM(INDEX(K:K,_xlpm.start):INDEX(K:K,_xlpm.r-1))
)</f>
        <v>0</v>
      </c>
      <c r="L29" s="202">
        <f ca="1">IFERROR(D29/C29,0)</f>
        <v>1</v>
      </c>
    </row>
    <row r="30" spans="1:12">
      <c r="A30" s="448" t="s">
        <v>62</v>
      </c>
      <c r="B30" s="195" t="s">
        <v>57</v>
      </c>
      <c r="C30" s="98">
        <f t="shared" ref="C30:C34" ca="1" si="7">SUM(D30,K30)</f>
        <v>135</v>
      </c>
      <c r="D30" s="98">
        <f ca="1">SUM(INDEX(E:E,ROW()):INDEX(I:I,ROW()))</f>
        <v>135</v>
      </c>
      <c r="E30" s="76" cm="1">
        <f t="array" aca="1" ref="E3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85</v>
      </c>
      <c r="F30" s="76" cm="1">
        <f t="array" aca="1" ref="F3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8</v>
      </c>
      <c r="G30" s="76" cm="1">
        <f t="array" aca="1" ref="G3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v>
      </c>
      <c r="H30" s="76" cm="1">
        <f t="array" aca="1" ref="H3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33</v>
      </c>
      <c r="I30" s="76" cm="1">
        <f t="array" aca="1" ref="I3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8</v>
      </c>
      <c r="J30" s="193">
        <f ca="1">IFERROR(E30/SUM(E30:G30),0)</f>
        <v>0.9042553191489362</v>
      </c>
      <c r="K30" s="34" cm="1">
        <f t="array" aca="1" ref="K30"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31" spans="1:12">
      <c r="A31" s="448"/>
      <c r="B31" s="195" t="s">
        <v>58</v>
      </c>
      <c r="C31" s="98">
        <f t="shared" ca="1" si="7"/>
        <v>33</v>
      </c>
      <c r="D31" s="98">
        <f ca="1">SUM(INDEX(E:E,ROW()):INDEX(I:I,ROW()))</f>
        <v>33</v>
      </c>
      <c r="E31" s="76" cm="1">
        <f t="array" aca="1" ref="E3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F31" s="76" cm="1">
        <f t="array" aca="1" ref="F3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31" s="76" cm="1">
        <f t="array" aca="1" ref="G3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31" s="76" cm="1">
        <f t="array" aca="1" ref="H3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31" s="76" cm="1">
        <f t="array" aca="1" ref="I3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33</v>
      </c>
      <c r="J31" s="189">
        <f t="shared" ref="J31:J34" ca="1" si="8">IFERROR(E31/SUM(E31:G31),0)</f>
        <v>0</v>
      </c>
      <c r="K31" s="34" cm="1">
        <f t="array" aca="1" ref="K31"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32" spans="1:12">
      <c r="A32" s="446"/>
      <c r="B32" s="140" t="s">
        <v>59</v>
      </c>
      <c r="C32" s="98">
        <f t="shared" ca="1" si="7"/>
        <v>172</v>
      </c>
      <c r="D32" s="98">
        <f ca="1">SUM(INDEX(E:E,ROW()):INDEX(I:I,ROW()))</f>
        <v>172</v>
      </c>
      <c r="E32" s="76" cm="1">
        <f t="array" aca="1" ref="E3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139</v>
      </c>
      <c r="F32" s="76" cm="1">
        <f t="array" aca="1" ref="F3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16</v>
      </c>
      <c r="G32" s="76" cm="1">
        <f t="array" aca="1" ref="G3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10</v>
      </c>
      <c r="H32" s="76" cm="1">
        <f t="array" aca="1" ref="H3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4</v>
      </c>
      <c r="I32" s="76" cm="1">
        <f t="array" aca="1" ref="I3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3</v>
      </c>
      <c r="J32" s="189">
        <f t="shared" ca="1" si="8"/>
        <v>0.84242424242424241</v>
      </c>
      <c r="K32" s="34" cm="1">
        <f t="array" aca="1" ref="K32"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33" spans="1:12">
      <c r="A33" s="446"/>
      <c r="B33" s="140" t="s">
        <v>60</v>
      </c>
      <c r="C33" s="98">
        <f t="shared" ca="1" si="7"/>
        <v>73</v>
      </c>
      <c r="D33" s="98">
        <f ca="1">SUM(INDEX(E:E,ROW()):INDEX(I:I,ROW()))</f>
        <v>73</v>
      </c>
      <c r="E33" s="76" cm="1">
        <f t="array" aca="1" ref="E3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28</v>
      </c>
      <c r="F33" s="76" cm="1">
        <f t="array" aca="1" ref="F3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7</v>
      </c>
      <c r="G33" s="76" cm="1">
        <f t="array" aca="1" ref="G3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16</v>
      </c>
      <c r="H33" s="76" cm="1">
        <f t="array" aca="1" ref="H3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20</v>
      </c>
      <c r="I33" s="76" cm="1">
        <f t="array" aca="1" ref="I3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J33" s="189">
        <f t="shared" ca="1" si="8"/>
        <v>0.5490196078431373</v>
      </c>
      <c r="K33" s="34" cm="1">
        <f t="array" aca="1" ref="K33"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34" spans="1:12">
      <c r="A34" s="446"/>
      <c r="B34" s="140" t="s">
        <v>61</v>
      </c>
      <c r="C34" s="98">
        <f t="shared" ca="1" si="7"/>
        <v>2</v>
      </c>
      <c r="D34" s="98">
        <f ca="1">SUM(INDEX(E:E,ROW()):INDEX(I:I,ROW()))</f>
        <v>2</v>
      </c>
      <c r="E34" s="76" cm="1">
        <f t="array" aca="1" ref="E3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F34" s="76" cm="1">
        <f t="array" aca="1" ref="F3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G34" s="76" cm="1">
        <f t="array" aca="1" ref="G3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34" s="76" cm="1">
        <f t="array" aca="1" ref="H3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34" s="76" cm="1">
        <f t="array" aca="1" ref="I3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34" s="189">
        <f t="shared" ca="1" si="8"/>
        <v>0</v>
      </c>
      <c r="K34" s="34" cm="1">
        <f t="array" aca="1" ref="K34"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35" spans="1:12">
      <c r="A35" s="447"/>
      <c r="B35" s="190" t="s">
        <v>40</v>
      </c>
      <c r="C35" s="194" cm="1">
        <f t="array" aca="1" ref="C35" ca="1">_xlfn.LET(
  _xlpm.r,ROW(),
  _xlpm.c,COLUMN(),
  _xlpm.prev,IFERROR(LOOKUP(2,1/($B$1:INDEX($B:$B,_xlpm.r-1)="TOTAL"),ROW($B$1:INDEX($B:$B,_xlpm.r-1))),2),
  _xlpm.start,_xlpm.prev+1,
  SUM(INDEX($1:$1048576,_xlpm.start,_xlpm.c):INDEX($1:$1048576,_xlpm.r-1,_xlpm.c))
)</f>
        <v>415</v>
      </c>
      <c r="D35" s="194" cm="1">
        <f t="array" aca="1" ref="D35" ca="1">_xlfn.LET(
  _xlpm.r,ROW(),
  _xlpm.c,COLUMN(),
  _xlpm.prev,IFERROR(LOOKUP(2,1/($B$1:INDEX($B:$B,_xlpm.r-1)="TOTAL"),ROW($B$1:INDEX($B:$B,_xlpm.r-1))),2),
  _xlpm.start,_xlpm.prev+1,
  SUM(INDEX($1:$1048576,_xlpm.start,_xlpm.c):INDEX($1:$1048576,_xlpm.r-1,_xlpm.c))
)</f>
        <v>415</v>
      </c>
      <c r="E35" s="194" cm="1">
        <f t="array" aca="1" ref="E35" ca="1">_xlfn.LET(
  _xlpm.r,ROW(),
  _xlpm.c,COLUMN(),
  _xlpm.prev,IFERROR(LOOKUP(2,1/($B$1:INDEX($B:$B,_xlpm.r-1)="TOTAL"),ROW($B$1:INDEX($B:$B,_xlpm.r-1))),2),
  _xlpm.start,_xlpm.prev+1,
  SUM(INDEX($1:$1048576,_xlpm.start,_xlpm.c):INDEX($1:$1048576,_xlpm.r-1,_xlpm.c))
)</f>
        <v>252</v>
      </c>
      <c r="F35" s="194" cm="1">
        <f t="array" aca="1" ref="F35" ca="1">_xlfn.LET(
  _xlpm.r,ROW(),
  _xlpm.c,COLUMN(),
  _xlpm.prev,IFERROR(LOOKUP(2,1/($B$1:INDEX($B:$B,_xlpm.r-1)="TOTAL"),ROW($B$1:INDEX($B:$B,_xlpm.r-1))),2),
  _xlpm.start,_xlpm.prev+1,
  SUM(INDEX($1:$1048576,_xlpm.start,_xlpm.c):INDEX($1:$1048576,_xlpm.r-1,_xlpm.c))
)</f>
        <v>33</v>
      </c>
      <c r="G35" s="194" cm="1">
        <f t="array" aca="1" ref="G35" ca="1">_xlfn.LET(
  _xlpm.r,ROW(),
  _xlpm.c,COLUMN(),
  _xlpm.prev,IFERROR(LOOKUP(2,1/($B$1:INDEX($B:$B,_xlpm.r-1)="TOTAL"),ROW($B$1:INDEX($B:$B,_xlpm.r-1))),2),
  _xlpm.start,_xlpm.prev+1,
  SUM(INDEX($1:$1048576,_xlpm.start,_xlpm.c):INDEX($1:$1048576,_xlpm.r-1,_xlpm.c))
)</f>
        <v>27</v>
      </c>
      <c r="H35" s="194" cm="1">
        <f t="array" aca="1" ref="H35" ca="1">_xlfn.LET(
  _xlpm.r,ROW(),
  _xlpm.c,COLUMN(),
  _xlpm.prev,IFERROR(LOOKUP(2,1/($B$1:INDEX($B:$B,_xlpm.r-1)="TOTAL"),ROW($B$1:INDEX($B:$B,_xlpm.r-1))),2),
  _xlpm.start,_xlpm.prev+1,
  SUM(INDEX($1:$1048576,_xlpm.start,_xlpm.c):INDEX($1:$1048576,_xlpm.r-1,_xlpm.c))
)</f>
        <v>57</v>
      </c>
      <c r="I35" s="194" cm="1">
        <f t="array" aca="1" ref="I35" ca="1">_xlfn.LET(
  _xlpm.r,ROW(),
  _xlpm.c,COLUMN(),
  _xlpm.prev,IFERROR(LOOKUP(2,1/($B$1:INDEX($B:$B,_xlpm.r-1)="TOTAL"),ROW($B$1:INDEX($B:$B,_xlpm.r-1))),2),
  _xlpm.start,_xlpm.prev+1,
  SUM(INDEX($1:$1048576,_xlpm.start,_xlpm.c):INDEX($1:$1048576,_xlpm.r-1,_xlpm.c))
)</f>
        <v>46</v>
      </c>
      <c r="J35" s="192">
        <f ca="1">IFERROR(E35/SUM(E35:G35),0)</f>
        <v>0.80769230769230771</v>
      </c>
      <c r="K35" s="54" cm="1">
        <f t="array" aca="1" ref="K35" ca="1">_xlfn.LET(
  _xlpm.r,ROW(),
  _xlpm.prev,IFERROR(LOOKUP(2,1/($B$1:INDEX($B:$B,_xlpm.r-1)="TOTAL"),ROW($B$1:INDEX($B:$B,_xlpm.r-1))),2),
  _xlpm.start,_xlpm.prev+1,
  SUM(INDEX(K:K,_xlpm.start):INDEX(K:K,_xlpm.r-1))
)</f>
        <v>0</v>
      </c>
      <c r="L35" s="202">
        <f ca="1">IFERROR(D35/C35,0)</f>
        <v>1</v>
      </c>
    </row>
    <row r="36" spans="1:12">
      <c r="A36" s="445" t="s">
        <v>63</v>
      </c>
      <c r="B36" s="197" t="s">
        <v>57</v>
      </c>
      <c r="C36" s="98">
        <f t="shared" ref="C36:C40" ca="1" si="9">SUM(D36,K36)</f>
        <v>135</v>
      </c>
      <c r="D36" s="98">
        <f ca="1">SUM(INDEX(E:E,ROW()):INDEX(I:I,ROW()))</f>
        <v>135</v>
      </c>
      <c r="E36" s="76" cm="1">
        <f t="array" aca="1" ref="E3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92</v>
      </c>
      <c r="F36" s="76" cm="1">
        <f t="array" aca="1" ref="F3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7</v>
      </c>
      <c r="G36" s="76" cm="1">
        <f t="array" aca="1" ref="G3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36" s="76" cm="1">
        <f t="array" aca="1" ref="H3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27</v>
      </c>
      <c r="I36" s="76" cm="1">
        <f t="array" aca="1" ref="I3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9</v>
      </c>
      <c r="J36" s="193">
        <f ca="1">IFERROR(E36/SUM(E36:G36),0)</f>
        <v>0.92929292929292928</v>
      </c>
      <c r="K36" s="34" cm="1">
        <f t="array" aca="1" ref="K36"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37" spans="1:12">
      <c r="A37" s="446"/>
      <c r="B37" s="140" t="s">
        <v>58</v>
      </c>
      <c r="C37" s="98">
        <f t="shared" ca="1" si="9"/>
        <v>33</v>
      </c>
      <c r="D37" s="98">
        <f ca="1">SUM(INDEX(E:E,ROW()):INDEX(I:I,ROW()))</f>
        <v>33</v>
      </c>
      <c r="E37" s="76" cm="1">
        <f t="array" aca="1" ref="E3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F37" s="76" cm="1">
        <f t="array" aca="1" ref="F3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37" s="76" cm="1">
        <f t="array" aca="1" ref="G3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37" s="76" cm="1">
        <f t="array" aca="1" ref="H3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37" s="76" cm="1">
        <f t="array" aca="1" ref="I3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33</v>
      </c>
      <c r="J37" s="189">
        <f t="shared" ref="J37:J40" ca="1" si="10">IFERROR(E37/SUM(E37:G37),0)</f>
        <v>0</v>
      </c>
      <c r="K37" s="34" cm="1">
        <f t="array" aca="1" ref="K37"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38" spans="1:12">
      <c r="A38" s="446"/>
      <c r="B38" s="140" t="s">
        <v>59</v>
      </c>
      <c r="C38" s="98">
        <f t="shared" ca="1" si="9"/>
        <v>172</v>
      </c>
      <c r="D38" s="98">
        <f ca="1">SUM(INDEX(E:E,ROW()):INDEX(I:I,ROW()))</f>
        <v>172</v>
      </c>
      <c r="E38" s="76" cm="1">
        <f t="array" aca="1" ref="E3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141</v>
      </c>
      <c r="F38" s="76" cm="1">
        <f t="array" aca="1" ref="F3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15</v>
      </c>
      <c r="G38" s="76" cm="1">
        <f t="array" aca="1" ref="G3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11</v>
      </c>
      <c r="H38" s="76" cm="1">
        <f t="array" aca="1" ref="H3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I38" s="76" cm="1">
        <f t="array" aca="1" ref="I3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3</v>
      </c>
      <c r="J38" s="189">
        <f t="shared" ca="1" si="10"/>
        <v>0.84431137724550898</v>
      </c>
      <c r="K38" s="34" cm="1">
        <f t="array" aca="1" ref="K38"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39" spans="1:12">
      <c r="A39" s="446"/>
      <c r="B39" s="140" t="s">
        <v>60</v>
      </c>
      <c r="C39" s="98">
        <f t="shared" ca="1" si="9"/>
        <v>73</v>
      </c>
      <c r="D39" s="98">
        <f ca="1">SUM(INDEX(E:E,ROW()):INDEX(I:I,ROW()))</f>
        <v>73</v>
      </c>
      <c r="E39" s="76" cm="1">
        <f t="array" aca="1" ref="E3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28</v>
      </c>
      <c r="F39" s="76" cm="1">
        <f t="array" aca="1" ref="F3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7</v>
      </c>
      <c r="G39" s="76" cm="1">
        <f t="array" aca="1" ref="G3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16</v>
      </c>
      <c r="H39" s="76" cm="1">
        <f t="array" aca="1" ref="H3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20</v>
      </c>
      <c r="I39" s="76" cm="1">
        <f t="array" aca="1" ref="I3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J39" s="189">
        <f t="shared" ca="1" si="10"/>
        <v>0.5490196078431373</v>
      </c>
      <c r="K39" s="34" cm="1">
        <f t="array" aca="1" ref="K39"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40" spans="1:12">
      <c r="A40" s="446"/>
      <c r="B40" s="140" t="s">
        <v>61</v>
      </c>
      <c r="C40" s="98">
        <f t="shared" ca="1" si="9"/>
        <v>2</v>
      </c>
      <c r="D40" s="98">
        <f ca="1">SUM(INDEX(E:E,ROW()):INDEX(I:I,ROW()))</f>
        <v>2</v>
      </c>
      <c r="E40" s="76" cm="1">
        <f t="array" aca="1" ref="E4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F40" s="76" cm="1">
        <f t="array" aca="1" ref="F4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G40" s="76" cm="1">
        <f t="array" aca="1" ref="G4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40" s="76" cm="1">
        <f t="array" aca="1" ref="H4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40" s="76" cm="1">
        <f t="array" aca="1" ref="I4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40" s="189">
        <f t="shared" ca="1" si="10"/>
        <v>0</v>
      </c>
      <c r="K40" s="34" cm="1">
        <f t="array" aca="1" ref="K40"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41" spans="1:12">
      <c r="A41" s="449"/>
      <c r="B41" s="196" t="s">
        <v>40</v>
      </c>
      <c r="C41" s="194" cm="1">
        <f t="array" aca="1" ref="C41" ca="1">_xlfn.LET(
  _xlpm.r,ROW(),
  _xlpm.c,COLUMN(),
  _xlpm.prev,IFERROR(LOOKUP(2,1/($B$1:INDEX($B:$B,_xlpm.r-1)="TOTAL"),ROW($B$1:INDEX($B:$B,_xlpm.r-1))),2),
  _xlpm.start,_xlpm.prev+1,
  SUM(INDEX($1:$1048576,_xlpm.start,_xlpm.c):INDEX($1:$1048576,_xlpm.r-1,_xlpm.c))
)</f>
        <v>415</v>
      </c>
      <c r="D41" s="194" cm="1">
        <f t="array" aca="1" ref="D41" ca="1">_xlfn.LET(
  _xlpm.r,ROW(),
  _xlpm.c,COLUMN(),
  _xlpm.prev,IFERROR(LOOKUP(2,1/($B$1:INDEX($B:$B,_xlpm.r-1)="TOTAL"),ROW($B$1:INDEX($B:$B,_xlpm.r-1))),2),
  _xlpm.start,_xlpm.prev+1,
  SUM(INDEX($1:$1048576,_xlpm.start,_xlpm.c):INDEX($1:$1048576,_xlpm.r-1,_xlpm.c))
)</f>
        <v>415</v>
      </c>
      <c r="E41" s="194" cm="1">
        <f t="array" aca="1" ref="E41" ca="1">_xlfn.LET(
  _xlpm.r,ROW(),
  _xlpm.c,COLUMN(),
  _xlpm.prev,IFERROR(LOOKUP(2,1/($B$1:INDEX($B:$B,_xlpm.r-1)="TOTAL"),ROW($B$1:INDEX($B:$B,_xlpm.r-1))),2),
  _xlpm.start,_xlpm.prev+1,
  SUM(INDEX($1:$1048576,_xlpm.start,_xlpm.c):INDEX($1:$1048576,_xlpm.r-1,_xlpm.c))
)</f>
        <v>261</v>
      </c>
      <c r="F41" s="194" cm="1">
        <f t="array" aca="1" ref="F41" ca="1">_xlfn.LET(
  _xlpm.r,ROW(),
  _xlpm.c,COLUMN(),
  _xlpm.prev,IFERROR(LOOKUP(2,1/($B$1:INDEX($B:$B,_xlpm.r-1)="TOTAL"),ROW($B$1:INDEX($B:$B,_xlpm.r-1))),2),
  _xlpm.start,_xlpm.prev+1,
  SUM(INDEX($1:$1048576,_xlpm.start,_xlpm.c):INDEX($1:$1048576,_xlpm.r-1,_xlpm.c))
)</f>
        <v>31</v>
      </c>
      <c r="G41" s="194" cm="1">
        <f t="array" aca="1" ref="G41" ca="1">_xlfn.LET(
  _xlpm.r,ROW(),
  _xlpm.c,COLUMN(),
  _xlpm.prev,IFERROR(LOOKUP(2,1/($B$1:INDEX($B:$B,_xlpm.r-1)="TOTAL"),ROW($B$1:INDEX($B:$B,_xlpm.r-1))),2),
  _xlpm.start,_xlpm.prev+1,
  SUM(INDEX($1:$1048576,_xlpm.start,_xlpm.c):INDEX($1:$1048576,_xlpm.r-1,_xlpm.c))
)</f>
        <v>27</v>
      </c>
      <c r="H41" s="194" cm="1">
        <f t="array" aca="1" ref="H41" ca="1">_xlfn.LET(
  _xlpm.r,ROW(),
  _xlpm.c,COLUMN(),
  _xlpm.prev,IFERROR(LOOKUP(2,1/($B$1:INDEX($B:$B,_xlpm.r-1)="TOTAL"),ROW($B$1:INDEX($B:$B,_xlpm.r-1))),2),
  _xlpm.start,_xlpm.prev+1,
  SUM(INDEX($1:$1048576,_xlpm.start,_xlpm.c):INDEX($1:$1048576,_xlpm.r-1,_xlpm.c))
)</f>
        <v>49</v>
      </c>
      <c r="I41" s="194" cm="1">
        <f t="array" aca="1" ref="I41" ca="1">_xlfn.LET(
  _xlpm.r,ROW(),
  _xlpm.c,COLUMN(),
  _xlpm.prev,IFERROR(LOOKUP(2,1/($B$1:INDEX($B:$B,_xlpm.r-1)="TOTAL"),ROW($B$1:INDEX($B:$B,_xlpm.r-1))),2),
  _xlpm.start,_xlpm.prev+1,
  SUM(INDEX($1:$1048576,_xlpm.start,_xlpm.c):INDEX($1:$1048576,_xlpm.r-1,_xlpm.c))
)</f>
        <v>47</v>
      </c>
      <c r="J41" s="192">
        <f t="shared" ref="J41" ca="1" si="11">IFERROR(E41/SUM(E41:G41),0)</f>
        <v>0.81818181818181823</v>
      </c>
      <c r="K41" s="54" cm="1">
        <f t="array" aca="1" ref="K41" ca="1">_xlfn.LET(
  _xlpm.r,ROW(),
  _xlpm.prev,IFERROR(LOOKUP(2,1/($B$1:INDEX($B:$B,_xlpm.r-1)="TOTAL"),ROW($B$1:INDEX($B:$B,_xlpm.r-1))),2),
  _xlpm.start,_xlpm.prev+1,
  SUM(INDEX(K:K,_xlpm.start):INDEX(K:K,_xlpm.r-1))
)</f>
        <v>0</v>
      </c>
      <c r="L41" s="202">
        <f ca="1">IFERROR(D41/C41,0)</f>
        <v>1</v>
      </c>
    </row>
    <row r="43" spans="1:12" ht="366.75" customHeight="1">
      <c r="A43" s="89"/>
      <c r="B43" s="443" t="s">
        <v>64</v>
      </c>
      <c r="C43" s="444"/>
      <c r="D43" s="444"/>
      <c r="E43" s="444"/>
      <c r="F43" s="444"/>
      <c r="G43" s="444"/>
      <c r="H43" s="444"/>
      <c r="I43" s="444"/>
      <c r="J43" s="444"/>
    </row>
    <row r="44" spans="1:12" ht="85.5" customHeight="1">
      <c r="B44" s="443" t="s">
        <v>65</v>
      </c>
      <c r="C44" s="444"/>
      <c r="D44" s="444"/>
      <c r="E44" s="444"/>
      <c r="F44" s="444"/>
      <c r="G44" s="444"/>
      <c r="H44" s="444"/>
      <c r="I44" s="444"/>
      <c r="J44" s="444"/>
    </row>
  </sheetData>
  <protectedRanges>
    <protectedRange sqref="A44:J44" name="Range1"/>
  </protectedRanges>
  <mergeCells count="12">
    <mergeCell ref="C1:J1"/>
    <mergeCell ref="B43:J43"/>
    <mergeCell ref="B44:J44"/>
    <mergeCell ref="A9:A13"/>
    <mergeCell ref="A20:A21"/>
    <mergeCell ref="A3:A8"/>
    <mergeCell ref="A14:A17"/>
    <mergeCell ref="A18:A19"/>
    <mergeCell ref="A22:A23"/>
    <mergeCell ref="A24:A29"/>
    <mergeCell ref="A30:A35"/>
    <mergeCell ref="A36:A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AC480-7561-467E-A795-AC1E05BC1386}">
  <sheetPr filterMode="1"/>
  <dimension ref="A1:M53"/>
  <sheetViews>
    <sheetView workbookViewId="0">
      <pane ySplit="1" topLeftCell="E7" activePane="bottomLeft" state="frozen"/>
      <selection pane="bottomLeft" activeCell="H10" sqref="H10"/>
    </sheetView>
  </sheetViews>
  <sheetFormatPr defaultRowHeight="12"/>
  <cols>
    <col min="1" max="1" width="20.25" style="49" customWidth="1"/>
    <col min="2" max="2" width="25.875" style="34" bestFit="1" customWidth="1"/>
    <col min="3" max="3" width="47.5" style="34" customWidth="1"/>
    <col min="4" max="4" width="14" style="34" bestFit="1" customWidth="1"/>
    <col min="5" max="5" width="13.25" style="34" customWidth="1"/>
    <col min="6" max="6" width="6.625" style="34" customWidth="1"/>
    <col min="7" max="9" width="14.875" style="34" customWidth="1"/>
    <col min="10" max="10" width="13.125" style="34" customWidth="1"/>
    <col min="11" max="11" width="35.25" style="34" customWidth="1"/>
    <col min="12" max="12" width="26.625" style="34" customWidth="1"/>
    <col min="13" max="13" width="54.25" style="34" customWidth="1"/>
    <col min="14" max="14" width="9" style="34" bestFit="1" customWidth="1"/>
    <col min="15" max="16384" width="9" style="34"/>
  </cols>
  <sheetData>
    <row r="1" spans="1:13" ht="27">
      <c r="A1" s="31" t="s">
        <v>66</v>
      </c>
      <c r="B1" s="31" t="s">
        <v>67</v>
      </c>
      <c r="C1" s="31" t="s">
        <v>68</v>
      </c>
      <c r="D1" s="31" t="s">
        <v>69</v>
      </c>
      <c r="E1" s="32" t="s">
        <v>70</v>
      </c>
      <c r="F1" s="31" t="s">
        <v>71</v>
      </c>
      <c r="G1" s="33" t="s">
        <v>72</v>
      </c>
      <c r="H1" s="32" t="s">
        <v>73</v>
      </c>
      <c r="I1" s="32" t="s">
        <v>74</v>
      </c>
      <c r="J1" s="32" t="s">
        <v>75</v>
      </c>
      <c r="K1" s="32" t="s">
        <v>76</v>
      </c>
      <c r="L1" s="32" t="s">
        <v>77</v>
      </c>
      <c r="M1" s="31" t="s">
        <v>78</v>
      </c>
    </row>
    <row r="2" spans="1:13">
      <c r="A2" s="218" t="s">
        <v>79</v>
      </c>
      <c r="B2" s="219" t="s">
        <v>80</v>
      </c>
      <c r="C2" s="220" t="s">
        <v>81</v>
      </c>
      <c r="D2" s="220" t="s">
        <v>27</v>
      </c>
      <c r="E2" s="220" t="s">
        <v>82</v>
      </c>
      <c r="F2" s="220" t="s">
        <v>83</v>
      </c>
      <c r="G2" s="48" t="s">
        <v>24</v>
      </c>
      <c r="H2" s="220" t="s">
        <v>27</v>
      </c>
      <c r="I2" s="220"/>
      <c r="J2" s="220"/>
      <c r="K2" s="220"/>
      <c r="L2" s="220"/>
      <c r="M2" s="37"/>
    </row>
    <row r="3" spans="1:13">
      <c r="A3" s="35" t="s">
        <v>79</v>
      </c>
      <c r="B3" s="219" t="s">
        <v>84</v>
      </c>
      <c r="C3" s="220" t="s">
        <v>85</v>
      </c>
      <c r="D3" s="220" t="s">
        <v>27</v>
      </c>
      <c r="E3" s="220" t="s">
        <v>82</v>
      </c>
      <c r="F3" s="220" t="s">
        <v>83</v>
      </c>
      <c r="G3" s="48" t="s">
        <v>24</v>
      </c>
      <c r="H3" s="220" t="s">
        <v>27</v>
      </c>
      <c r="I3" s="220"/>
      <c r="J3" s="220"/>
      <c r="K3" s="220"/>
      <c r="L3" s="220"/>
      <c r="M3" s="37"/>
    </row>
    <row r="4" spans="1:13">
      <c r="A4" s="218" t="s">
        <v>79</v>
      </c>
      <c r="B4" s="219" t="s">
        <v>86</v>
      </c>
      <c r="C4" s="220" t="s">
        <v>87</v>
      </c>
      <c r="D4" s="220" t="s">
        <v>27</v>
      </c>
      <c r="E4" s="220" t="s">
        <v>82</v>
      </c>
      <c r="F4" s="220" t="s">
        <v>83</v>
      </c>
      <c r="G4" s="48" t="s">
        <v>24</v>
      </c>
      <c r="H4" s="220" t="s">
        <v>27</v>
      </c>
      <c r="I4" s="220"/>
      <c r="J4" s="220"/>
      <c r="K4" s="220"/>
      <c r="L4" s="220"/>
      <c r="M4" s="37"/>
    </row>
    <row r="5" spans="1:13">
      <c r="A5" s="218" t="s">
        <v>79</v>
      </c>
      <c r="B5" s="219" t="s">
        <v>88</v>
      </c>
      <c r="C5" s="220" t="s">
        <v>89</v>
      </c>
      <c r="D5" s="220" t="s">
        <v>27</v>
      </c>
      <c r="E5" s="220" t="s">
        <v>82</v>
      </c>
      <c r="F5" s="220" t="s">
        <v>83</v>
      </c>
      <c r="G5" s="38" t="s">
        <v>25</v>
      </c>
      <c r="H5" s="220" t="s">
        <v>27</v>
      </c>
      <c r="I5" s="220"/>
      <c r="J5" s="220"/>
      <c r="K5" s="220"/>
      <c r="L5" s="220"/>
      <c r="M5" s="37"/>
    </row>
    <row r="6" spans="1:13" ht="24.75">
      <c r="A6" s="218" t="s">
        <v>79</v>
      </c>
      <c r="B6" s="219" t="s">
        <v>90</v>
      </c>
      <c r="C6" s="221" t="s">
        <v>91</v>
      </c>
      <c r="D6" s="220" t="s">
        <v>27</v>
      </c>
      <c r="E6" s="220" t="s">
        <v>82</v>
      </c>
      <c r="F6" s="220" t="s">
        <v>83</v>
      </c>
      <c r="G6" s="38" t="s">
        <v>25</v>
      </c>
      <c r="H6" s="220" t="s">
        <v>27</v>
      </c>
      <c r="I6" s="220"/>
      <c r="J6" s="220"/>
      <c r="K6" s="220"/>
      <c r="L6" s="220"/>
      <c r="M6" s="37"/>
    </row>
    <row r="7" spans="1:13">
      <c r="A7" s="35" t="s">
        <v>79</v>
      </c>
      <c r="B7" s="36" t="s">
        <v>92</v>
      </c>
      <c r="C7" s="37" t="s">
        <v>93</v>
      </c>
      <c r="D7" s="37" t="s">
        <v>94</v>
      </c>
      <c r="E7" s="37" t="s">
        <v>95</v>
      </c>
      <c r="F7" s="37" t="s">
        <v>96</v>
      </c>
      <c r="G7" s="38" t="s">
        <v>25</v>
      </c>
      <c r="H7" s="37" t="s">
        <v>24</v>
      </c>
      <c r="I7" s="39" t="s">
        <v>24</v>
      </c>
      <c r="J7" s="37"/>
      <c r="K7" s="40" t="s">
        <v>97</v>
      </c>
      <c r="L7" s="37"/>
      <c r="M7" s="37"/>
    </row>
    <row r="8" spans="1:13">
      <c r="A8" s="35" t="s">
        <v>79</v>
      </c>
      <c r="B8" s="36" t="s">
        <v>98</v>
      </c>
      <c r="C8" s="37" t="s">
        <v>99</v>
      </c>
      <c r="D8" s="37" t="s">
        <v>94</v>
      </c>
      <c r="E8" s="37" t="s">
        <v>95</v>
      </c>
      <c r="F8" s="37" t="s">
        <v>96</v>
      </c>
      <c r="G8" s="37" t="s">
        <v>24</v>
      </c>
      <c r="H8" s="37" t="s">
        <v>24</v>
      </c>
      <c r="I8" s="39" t="s">
        <v>24</v>
      </c>
      <c r="J8" s="37"/>
      <c r="K8" s="40" t="s">
        <v>100</v>
      </c>
      <c r="L8" s="37"/>
      <c r="M8" s="37"/>
    </row>
    <row r="9" spans="1:13">
      <c r="A9" s="35" t="s">
        <v>79</v>
      </c>
      <c r="B9" s="36" t="s">
        <v>101</v>
      </c>
      <c r="C9" s="37" t="s">
        <v>102</v>
      </c>
      <c r="D9" s="37" t="s">
        <v>94</v>
      </c>
      <c r="E9" s="37" t="s">
        <v>95</v>
      </c>
      <c r="F9" s="37" t="s">
        <v>96</v>
      </c>
      <c r="G9" s="37" t="s">
        <v>24</v>
      </c>
      <c r="H9" s="37" t="s">
        <v>24</v>
      </c>
      <c r="I9" s="39" t="s">
        <v>24</v>
      </c>
      <c r="J9" s="37"/>
      <c r="K9" s="40" t="s">
        <v>103</v>
      </c>
      <c r="L9" s="37"/>
      <c r="M9" s="37"/>
    </row>
    <row r="10" spans="1:13" ht="24.75">
      <c r="A10" s="35" t="s">
        <v>79</v>
      </c>
      <c r="B10" s="36" t="s">
        <v>104</v>
      </c>
      <c r="C10" s="37" t="s">
        <v>105</v>
      </c>
      <c r="D10" s="37" t="s">
        <v>94</v>
      </c>
      <c r="E10" s="37" t="s">
        <v>95</v>
      </c>
      <c r="F10" s="37" t="s">
        <v>96</v>
      </c>
      <c r="G10" s="38" t="s">
        <v>25</v>
      </c>
      <c r="H10" s="37" t="s">
        <v>24</v>
      </c>
      <c r="I10" s="39" t="s">
        <v>24</v>
      </c>
      <c r="J10" s="41"/>
      <c r="K10" s="40" t="s">
        <v>106</v>
      </c>
      <c r="L10" s="41" t="s">
        <v>107</v>
      </c>
      <c r="M10" s="42" t="s">
        <v>108</v>
      </c>
    </row>
    <row r="11" spans="1:13" ht="24.75">
      <c r="A11" s="35" t="s">
        <v>79</v>
      </c>
      <c r="B11" s="36" t="s">
        <v>109</v>
      </c>
      <c r="C11" s="37" t="s">
        <v>110</v>
      </c>
      <c r="D11" s="37" t="s">
        <v>94</v>
      </c>
      <c r="E11" s="37" t="s">
        <v>95</v>
      </c>
      <c r="F11" s="37" t="s">
        <v>96</v>
      </c>
      <c r="G11" s="38" t="s">
        <v>25</v>
      </c>
      <c r="H11" s="43" t="s">
        <v>27</v>
      </c>
      <c r="I11" s="43" t="s">
        <v>27</v>
      </c>
      <c r="J11" s="41"/>
      <c r="K11" s="44" t="s">
        <v>111</v>
      </c>
      <c r="L11" s="41" t="s">
        <v>107</v>
      </c>
      <c r="M11" s="42" t="s">
        <v>108</v>
      </c>
    </row>
    <row r="12" spans="1:13" ht="24.75">
      <c r="A12" s="35" t="s">
        <v>79</v>
      </c>
      <c r="B12" s="36" t="s">
        <v>112</v>
      </c>
      <c r="C12" s="37" t="s">
        <v>113</v>
      </c>
      <c r="D12" s="37" t="s">
        <v>94</v>
      </c>
      <c r="E12" s="37" t="s">
        <v>95</v>
      </c>
      <c r="F12" s="37" t="s">
        <v>96</v>
      </c>
      <c r="G12" s="37" t="s">
        <v>24</v>
      </c>
      <c r="H12" s="43" t="s">
        <v>27</v>
      </c>
      <c r="I12" s="43" t="s">
        <v>27</v>
      </c>
      <c r="J12" s="41"/>
      <c r="K12" s="40" t="s">
        <v>114</v>
      </c>
      <c r="L12" s="41" t="s">
        <v>107</v>
      </c>
      <c r="M12" s="42" t="s">
        <v>108</v>
      </c>
    </row>
    <row r="13" spans="1:13" ht="24.75">
      <c r="A13" s="45" t="s">
        <v>115</v>
      </c>
      <c r="B13" s="36" t="s">
        <v>80</v>
      </c>
      <c r="C13" s="37" t="s">
        <v>116</v>
      </c>
      <c r="D13" s="37" t="s">
        <v>94</v>
      </c>
      <c r="E13" s="42" t="s">
        <v>117</v>
      </c>
      <c r="F13" s="37" t="s">
        <v>96</v>
      </c>
      <c r="G13" s="37" t="s">
        <v>24</v>
      </c>
      <c r="H13" s="37" t="s">
        <v>24</v>
      </c>
      <c r="I13" s="39" t="s">
        <v>24</v>
      </c>
      <c r="J13" s="37"/>
      <c r="K13" s="40" t="s">
        <v>118</v>
      </c>
      <c r="L13" s="37"/>
      <c r="M13" s="37"/>
    </row>
    <row r="14" spans="1:13">
      <c r="A14" s="72" t="s">
        <v>115</v>
      </c>
      <c r="B14" s="219" t="s">
        <v>84</v>
      </c>
      <c r="C14" s="220" t="s">
        <v>119</v>
      </c>
      <c r="D14" s="220" t="s">
        <v>27</v>
      </c>
      <c r="E14" s="220" t="s">
        <v>82</v>
      </c>
      <c r="F14" s="220" t="s">
        <v>83</v>
      </c>
      <c r="G14" s="48" t="s">
        <v>24</v>
      </c>
      <c r="H14" s="220" t="s">
        <v>27</v>
      </c>
      <c r="I14" s="220"/>
      <c r="J14" s="220"/>
      <c r="K14" s="220"/>
      <c r="L14" s="220"/>
      <c r="M14" s="37"/>
    </row>
    <row r="15" spans="1:13">
      <c r="A15" s="72" t="s">
        <v>115</v>
      </c>
      <c r="B15" s="219" t="s">
        <v>86</v>
      </c>
      <c r="C15" s="220" t="s">
        <v>87</v>
      </c>
      <c r="D15" s="220" t="s">
        <v>27</v>
      </c>
      <c r="E15" s="220" t="s">
        <v>82</v>
      </c>
      <c r="F15" s="220" t="s">
        <v>83</v>
      </c>
      <c r="G15" s="38" t="s">
        <v>25</v>
      </c>
      <c r="H15" s="220" t="s">
        <v>27</v>
      </c>
      <c r="I15" s="220"/>
      <c r="J15" s="220"/>
      <c r="K15" s="220"/>
      <c r="L15" s="220"/>
      <c r="M15" s="37"/>
    </row>
    <row r="16" spans="1:13">
      <c r="A16" s="72" t="s">
        <v>115</v>
      </c>
      <c r="B16" s="219" t="s">
        <v>120</v>
      </c>
      <c r="C16" s="220" t="s">
        <v>121</v>
      </c>
      <c r="D16" s="220" t="s">
        <v>27</v>
      </c>
      <c r="E16" s="220" t="s">
        <v>82</v>
      </c>
      <c r="F16" s="220" t="s">
        <v>83</v>
      </c>
      <c r="G16" s="38" t="s">
        <v>25</v>
      </c>
      <c r="H16" s="220" t="s">
        <v>27</v>
      </c>
      <c r="I16" s="220"/>
      <c r="J16" s="220"/>
      <c r="K16" s="220"/>
      <c r="L16" s="220"/>
      <c r="M16" s="37"/>
    </row>
    <row r="17" spans="1:13" ht="24.75">
      <c r="A17" s="72" t="s">
        <v>115</v>
      </c>
      <c r="B17" s="219" t="s">
        <v>122</v>
      </c>
      <c r="C17" s="221" t="s">
        <v>123</v>
      </c>
      <c r="D17" s="220" t="s">
        <v>27</v>
      </c>
      <c r="E17" s="220" t="s">
        <v>82</v>
      </c>
      <c r="F17" s="220" t="s">
        <v>83</v>
      </c>
      <c r="G17" s="38" t="s">
        <v>25</v>
      </c>
      <c r="H17" s="220" t="s">
        <v>27</v>
      </c>
      <c r="I17" s="220"/>
      <c r="J17" s="220"/>
      <c r="K17" s="220"/>
      <c r="L17" s="220"/>
      <c r="M17" s="37"/>
    </row>
    <row r="18" spans="1:13" ht="24.75">
      <c r="A18" s="45" t="s">
        <v>115</v>
      </c>
      <c r="B18" s="36" t="s">
        <v>88</v>
      </c>
      <c r="C18" s="42" t="s">
        <v>124</v>
      </c>
      <c r="D18" s="37" t="s">
        <v>94</v>
      </c>
      <c r="E18" s="37" t="s">
        <v>125</v>
      </c>
      <c r="F18" s="37" t="s">
        <v>96</v>
      </c>
      <c r="G18" s="38" t="s">
        <v>25</v>
      </c>
      <c r="H18" s="37" t="s">
        <v>24</v>
      </c>
      <c r="I18" s="39" t="s">
        <v>24</v>
      </c>
      <c r="J18" s="37"/>
      <c r="K18" s="40" t="s">
        <v>126</v>
      </c>
      <c r="L18" s="37"/>
      <c r="M18" s="37"/>
    </row>
    <row r="19" spans="1:13">
      <c r="A19" s="45" t="s">
        <v>115</v>
      </c>
      <c r="B19" s="36" t="s">
        <v>127</v>
      </c>
      <c r="C19" s="37" t="s">
        <v>128</v>
      </c>
      <c r="D19" s="37" t="s">
        <v>94</v>
      </c>
      <c r="E19" s="37" t="s">
        <v>125</v>
      </c>
      <c r="F19" s="37" t="s">
        <v>96</v>
      </c>
      <c r="G19" s="38" t="s">
        <v>25</v>
      </c>
      <c r="H19" s="43" t="s">
        <v>27</v>
      </c>
      <c r="I19" s="43" t="s">
        <v>27</v>
      </c>
      <c r="J19" s="41"/>
      <c r="K19" s="40" t="s">
        <v>129</v>
      </c>
      <c r="L19" s="41" t="s">
        <v>107</v>
      </c>
      <c r="M19" s="37" t="s">
        <v>130</v>
      </c>
    </row>
    <row r="20" spans="1:13" ht="37.5">
      <c r="A20" s="45" t="s">
        <v>115</v>
      </c>
      <c r="B20" s="36" t="s">
        <v>131</v>
      </c>
      <c r="C20" s="37" t="s">
        <v>132</v>
      </c>
      <c r="D20" s="37" t="s">
        <v>94</v>
      </c>
      <c r="E20" s="37" t="s">
        <v>125</v>
      </c>
      <c r="F20" s="37" t="s">
        <v>96</v>
      </c>
      <c r="G20" s="38" t="s">
        <v>25</v>
      </c>
      <c r="H20" s="37" t="s">
        <v>24</v>
      </c>
      <c r="I20" s="39" t="s">
        <v>24</v>
      </c>
      <c r="J20" s="41"/>
      <c r="K20" s="40" t="s">
        <v>133</v>
      </c>
      <c r="L20" s="41" t="s">
        <v>107</v>
      </c>
      <c r="M20" s="42" t="s">
        <v>134</v>
      </c>
    </row>
    <row r="21" spans="1:13" ht="75.75">
      <c r="A21" s="45" t="s">
        <v>115</v>
      </c>
      <c r="B21" s="36" t="s">
        <v>135</v>
      </c>
      <c r="C21" s="37" t="s">
        <v>136</v>
      </c>
      <c r="D21" s="37" t="s">
        <v>94</v>
      </c>
      <c r="E21" s="37" t="s">
        <v>125</v>
      </c>
      <c r="F21" s="37" t="s">
        <v>96</v>
      </c>
      <c r="G21" s="38" t="s">
        <v>25</v>
      </c>
      <c r="H21" s="48" t="s">
        <v>24</v>
      </c>
      <c r="I21" s="39" t="s">
        <v>24</v>
      </c>
      <c r="J21" s="46" t="s">
        <v>137</v>
      </c>
      <c r="K21" s="40" t="s">
        <v>138</v>
      </c>
      <c r="L21" s="41" t="s">
        <v>107</v>
      </c>
      <c r="M21" s="37" t="s">
        <v>130</v>
      </c>
    </row>
    <row r="22" spans="1:13">
      <c r="A22" s="45" t="s">
        <v>115</v>
      </c>
      <c r="B22" s="36" t="s">
        <v>139</v>
      </c>
      <c r="C22" s="37" t="s">
        <v>140</v>
      </c>
      <c r="D22" s="37" t="s">
        <v>94</v>
      </c>
      <c r="E22" s="37" t="s">
        <v>125</v>
      </c>
      <c r="F22" s="37" t="s">
        <v>96</v>
      </c>
      <c r="G22" s="38" t="s">
        <v>25</v>
      </c>
      <c r="H22" s="37" t="s">
        <v>24</v>
      </c>
      <c r="I22" s="39" t="s">
        <v>24</v>
      </c>
      <c r="J22" s="37"/>
      <c r="K22" s="40" t="s">
        <v>141</v>
      </c>
      <c r="L22" s="37"/>
      <c r="M22" s="37"/>
    </row>
    <row r="23" spans="1:13">
      <c r="A23" s="45" t="s">
        <v>115</v>
      </c>
      <c r="B23" s="36" t="s">
        <v>142</v>
      </c>
      <c r="C23" s="37" t="s">
        <v>143</v>
      </c>
      <c r="D23" s="37" t="s">
        <v>94</v>
      </c>
      <c r="E23" s="37" t="s">
        <v>125</v>
      </c>
      <c r="F23" s="37" t="s">
        <v>96</v>
      </c>
      <c r="G23" s="38" t="s">
        <v>25</v>
      </c>
      <c r="H23" s="37" t="s">
        <v>24</v>
      </c>
      <c r="I23" s="39" t="s">
        <v>24</v>
      </c>
      <c r="J23" s="37"/>
      <c r="K23" s="40" t="s">
        <v>144</v>
      </c>
      <c r="L23" s="37"/>
      <c r="M23" s="37"/>
    </row>
    <row r="24" spans="1:13" ht="37.5">
      <c r="A24" s="45" t="s">
        <v>115</v>
      </c>
      <c r="B24" s="36" t="s">
        <v>145</v>
      </c>
      <c r="C24" s="42" t="s">
        <v>146</v>
      </c>
      <c r="D24" s="37" t="s">
        <v>94</v>
      </c>
      <c r="E24" s="37" t="s">
        <v>125</v>
      </c>
      <c r="F24" s="37" t="s">
        <v>96</v>
      </c>
      <c r="G24" s="37" t="s">
        <v>24</v>
      </c>
      <c r="H24" s="37" t="s">
        <v>24</v>
      </c>
      <c r="I24" s="39" t="s">
        <v>24</v>
      </c>
      <c r="J24" s="41"/>
      <c r="K24" s="40" t="s">
        <v>147</v>
      </c>
      <c r="L24" s="41" t="s">
        <v>107</v>
      </c>
      <c r="M24" s="42" t="s">
        <v>148</v>
      </c>
    </row>
    <row r="25" spans="1:13" ht="24.75">
      <c r="A25" s="45" t="s">
        <v>115</v>
      </c>
      <c r="B25" s="36" t="s">
        <v>149</v>
      </c>
      <c r="C25" s="37" t="s">
        <v>150</v>
      </c>
      <c r="D25" s="37" t="s">
        <v>94</v>
      </c>
      <c r="E25" s="37" t="s">
        <v>125</v>
      </c>
      <c r="F25" s="37" t="s">
        <v>96</v>
      </c>
      <c r="G25" s="37" t="s">
        <v>24</v>
      </c>
      <c r="H25" s="37" t="s">
        <v>24</v>
      </c>
      <c r="I25" s="39" t="s">
        <v>24</v>
      </c>
      <c r="J25" s="46" t="s">
        <v>151</v>
      </c>
      <c r="K25" s="40" t="s">
        <v>152</v>
      </c>
      <c r="L25" s="41" t="s">
        <v>107</v>
      </c>
      <c r="M25" s="37" t="s">
        <v>130</v>
      </c>
    </row>
    <row r="26" spans="1:13" ht="37.5">
      <c r="A26" s="45" t="s">
        <v>115</v>
      </c>
      <c r="B26" s="36" t="s">
        <v>153</v>
      </c>
      <c r="C26" s="37" t="s">
        <v>154</v>
      </c>
      <c r="D26" s="37" t="s">
        <v>94</v>
      </c>
      <c r="E26" s="37" t="s">
        <v>125</v>
      </c>
      <c r="F26" s="37" t="s">
        <v>96</v>
      </c>
      <c r="G26" s="37" t="s">
        <v>24</v>
      </c>
      <c r="H26" s="37" t="s">
        <v>24</v>
      </c>
      <c r="I26" s="39" t="s">
        <v>24</v>
      </c>
      <c r="J26" s="46" t="s">
        <v>155</v>
      </c>
      <c r="K26" s="44" t="s">
        <v>156</v>
      </c>
      <c r="L26" s="41" t="s">
        <v>107</v>
      </c>
      <c r="M26" s="42" t="s">
        <v>157</v>
      </c>
    </row>
    <row r="27" spans="1:13" ht="50.25">
      <c r="A27" s="45" t="s">
        <v>115</v>
      </c>
      <c r="B27" s="36" t="s">
        <v>158</v>
      </c>
      <c r="C27" s="37" t="s">
        <v>159</v>
      </c>
      <c r="D27" s="37" t="s">
        <v>94</v>
      </c>
      <c r="E27" s="37" t="s">
        <v>125</v>
      </c>
      <c r="F27" s="37" t="s">
        <v>96</v>
      </c>
      <c r="G27" s="38" t="s">
        <v>25</v>
      </c>
      <c r="H27" s="37" t="s">
        <v>24</v>
      </c>
      <c r="I27" s="39" t="s">
        <v>24</v>
      </c>
      <c r="J27" s="46" t="s">
        <v>160</v>
      </c>
      <c r="K27" s="40" t="s">
        <v>161</v>
      </c>
      <c r="L27" s="41" t="s">
        <v>107</v>
      </c>
      <c r="M27" s="42" t="s">
        <v>162</v>
      </c>
    </row>
    <row r="28" spans="1:13" ht="37.5">
      <c r="A28" s="45" t="s">
        <v>115</v>
      </c>
      <c r="B28" s="36" t="s">
        <v>163</v>
      </c>
      <c r="C28" s="37" t="s">
        <v>164</v>
      </c>
      <c r="D28" s="37" t="s">
        <v>94</v>
      </c>
      <c r="E28" s="37" t="s">
        <v>125</v>
      </c>
      <c r="F28" s="37" t="s">
        <v>96</v>
      </c>
      <c r="G28" s="38" t="s">
        <v>25</v>
      </c>
      <c r="H28" s="37" t="s">
        <v>24</v>
      </c>
      <c r="I28" s="39" t="s">
        <v>24</v>
      </c>
      <c r="J28" s="41"/>
      <c r="K28" s="40" t="s">
        <v>165</v>
      </c>
      <c r="L28" s="41" t="s">
        <v>107</v>
      </c>
      <c r="M28" s="42" t="s">
        <v>166</v>
      </c>
    </row>
    <row r="29" spans="1:13" ht="24.75">
      <c r="A29" s="45" t="s">
        <v>115</v>
      </c>
      <c r="B29" s="36" t="s">
        <v>167</v>
      </c>
      <c r="C29" s="37" t="s">
        <v>168</v>
      </c>
      <c r="D29" s="37" t="s">
        <v>94</v>
      </c>
      <c r="E29" s="37" t="s">
        <v>169</v>
      </c>
      <c r="F29" s="37" t="s">
        <v>96</v>
      </c>
      <c r="G29" s="47" t="s">
        <v>82</v>
      </c>
      <c r="H29" s="37" t="s">
        <v>24</v>
      </c>
      <c r="I29" s="39" t="s">
        <v>24</v>
      </c>
      <c r="J29" s="41"/>
      <c r="K29" s="40" t="s">
        <v>170</v>
      </c>
      <c r="L29" s="41" t="s">
        <v>107</v>
      </c>
      <c r="M29" s="42" t="s">
        <v>171</v>
      </c>
    </row>
    <row r="30" spans="1:13">
      <c r="A30" s="45" t="s">
        <v>115</v>
      </c>
      <c r="B30" s="36" t="s">
        <v>172</v>
      </c>
      <c r="C30" s="37" t="s">
        <v>173</v>
      </c>
      <c r="D30" s="37" t="s">
        <v>94</v>
      </c>
      <c r="E30" s="37" t="s">
        <v>125</v>
      </c>
      <c r="F30" s="37" t="s">
        <v>96</v>
      </c>
      <c r="G30" s="48" t="s">
        <v>24</v>
      </c>
      <c r="H30" s="37" t="s">
        <v>24</v>
      </c>
      <c r="I30" s="39" t="s">
        <v>24</v>
      </c>
      <c r="J30" s="41"/>
      <c r="K30" s="40" t="s">
        <v>174</v>
      </c>
      <c r="L30" s="41" t="s">
        <v>107</v>
      </c>
      <c r="M30" s="37" t="s">
        <v>130</v>
      </c>
    </row>
    <row r="31" spans="1:13" ht="24.75">
      <c r="A31" s="45" t="s">
        <v>115</v>
      </c>
      <c r="B31" s="36" t="s">
        <v>175</v>
      </c>
      <c r="C31" s="37" t="s">
        <v>176</v>
      </c>
      <c r="D31" s="37" t="s">
        <v>94</v>
      </c>
      <c r="E31" s="37" t="s">
        <v>169</v>
      </c>
      <c r="F31" s="37" t="s">
        <v>96</v>
      </c>
      <c r="G31" s="47" t="s">
        <v>82</v>
      </c>
      <c r="H31" s="37" t="s">
        <v>24</v>
      </c>
      <c r="I31" s="39" t="s">
        <v>24</v>
      </c>
      <c r="J31" s="41"/>
      <c r="K31" s="40" t="s">
        <v>177</v>
      </c>
      <c r="L31" s="41" t="s">
        <v>107</v>
      </c>
      <c r="M31" s="42" t="s">
        <v>171</v>
      </c>
    </row>
    <row r="32" spans="1:13">
      <c r="A32" s="45" t="s">
        <v>115</v>
      </c>
      <c r="B32" s="36" t="s">
        <v>178</v>
      </c>
      <c r="C32" s="37" t="s">
        <v>179</v>
      </c>
      <c r="D32" s="37" t="s">
        <v>94</v>
      </c>
      <c r="E32" s="37" t="s">
        <v>125</v>
      </c>
      <c r="F32" s="37" t="s">
        <v>96</v>
      </c>
      <c r="G32" s="47" t="s">
        <v>82</v>
      </c>
      <c r="H32" s="43" t="s">
        <v>27</v>
      </c>
      <c r="I32" s="43" t="s">
        <v>27</v>
      </c>
      <c r="J32" s="41"/>
      <c r="K32" s="44" t="s">
        <v>180</v>
      </c>
      <c r="L32" s="41" t="s">
        <v>107</v>
      </c>
      <c r="M32" s="37" t="s">
        <v>130</v>
      </c>
    </row>
    <row r="33" spans="1:13" ht="37.5">
      <c r="A33" s="72" t="s">
        <v>115</v>
      </c>
      <c r="B33" s="219" t="s">
        <v>181</v>
      </c>
      <c r="C33" s="221" t="s">
        <v>182</v>
      </c>
      <c r="D33" s="220" t="s">
        <v>27</v>
      </c>
      <c r="E33" s="220" t="s">
        <v>82</v>
      </c>
      <c r="F33" s="220" t="s">
        <v>83</v>
      </c>
      <c r="G33" s="220" t="s">
        <v>82</v>
      </c>
      <c r="H33" s="220" t="s">
        <v>27</v>
      </c>
      <c r="I33" s="220"/>
      <c r="J33" s="220"/>
      <c r="K33" s="220"/>
      <c r="L33" s="220"/>
      <c r="M33" s="37"/>
    </row>
    <row r="34" spans="1:13" ht="37.5">
      <c r="A34" s="45" t="s">
        <v>115</v>
      </c>
      <c r="B34" s="36" t="s">
        <v>183</v>
      </c>
      <c r="C34" s="42" t="s">
        <v>184</v>
      </c>
      <c r="D34" s="37" t="s">
        <v>94</v>
      </c>
      <c r="E34" s="37" t="s">
        <v>125</v>
      </c>
      <c r="F34" s="37" t="s">
        <v>96</v>
      </c>
      <c r="G34" s="48" t="s">
        <v>24</v>
      </c>
      <c r="H34" s="37" t="s">
        <v>24</v>
      </c>
      <c r="I34" s="39" t="s">
        <v>24</v>
      </c>
      <c r="J34" s="37"/>
      <c r="K34" s="40" t="s">
        <v>185</v>
      </c>
      <c r="L34" s="37"/>
      <c r="M34" s="37" t="s">
        <v>186</v>
      </c>
    </row>
    <row r="35" spans="1:13" ht="24.75">
      <c r="A35" s="45" t="s">
        <v>187</v>
      </c>
      <c r="B35" s="36" t="s">
        <v>80</v>
      </c>
      <c r="C35" s="37" t="s">
        <v>188</v>
      </c>
      <c r="D35" s="37" t="s">
        <v>94</v>
      </c>
      <c r="E35" s="42" t="s">
        <v>189</v>
      </c>
      <c r="F35" s="37" t="s">
        <v>96</v>
      </c>
      <c r="G35" s="38" t="s">
        <v>25</v>
      </c>
      <c r="H35" s="37" t="s">
        <v>24</v>
      </c>
      <c r="I35" s="39" t="s">
        <v>24</v>
      </c>
      <c r="J35" s="37"/>
      <c r="K35" s="40" t="s">
        <v>118</v>
      </c>
      <c r="L35" s="37"/>
      <c r="M35" s="37"/>
    </row>
    <row r="36" spans="1:13">
      <c r="A36" s="72" t="s">
        <v>187</v>
      </c>
      <c r="B36" s="219" t="s">
        <v>84</v>
      </c>
      <c r="C36" s="220" t="s">
        <v>190</v>
      </c>
      <c r="D36" s="220" t="s">
        <v>27</v>
      </c>
      <c r="E36" s="220" t="s">
        <v>82</v>
      </c>
      <c r="F36" s="220" t="s">
        <v>83</v>
      </c>
      <c r="G36" s="38" t="s">
        <v>25</v>
      </c>
      <c r="H36" s="220" t="s">
        <v>27</v>
      </c>
      <c r="I36" s="220"/>
      <c r="J36" s="220"/>
      <c r="K36" s="220"/>
      <c r="L36" s="220"/>
      <c r="M36" s="37"/>
    </row>
    <row r="37" spans="1:13">
      <c r="A37" s="72" t="s">
        <v>187</v>
      </c>
      <c r="B37" s="219" t="s">
        <v>86</v>
      </c>
      <c r="C37" s="220" t="s">
        <v>87</v>
      </c>
      <c r="D37" s="220" t="s">
        <v>27</v>
      </c>
      <c r="E37" s="220" t="s">
        <v>82</v>
      </c>
      <c r="F37" s="220" t="s">
        <v>83</v>
      </c>
      <c r="G37" s="38" t="s">
        <v>25</v>
      </c>
      <c r="H37" s="220" t="s">
        <v>27</v>
      </c>
      <c r="I37" s="220"/>
      <c r="J37" s="220"/>
      <c r="K37" s="220"/>
      <c r="L37" s="220"/>
      <c r="M37" s="37"/>
    </row>
    <row r="38" spans="1:13">
      <c r="A38" s="72" t="s">
        <v>187</v>
      </c>
      <c r="B38" s="219" t="s">
        <v>120</v>
      </c>
      <c r="C38" s="220" t="s">
        <v>191</v>
      </c>
      <c r="D38" s="220" t="s">
        <v>27</v>
      </c>
      <c r="E38" s="220" t="s">
        <v>82</v>
      </c>
      <c r="F38" s="220" t="s">
        <v>83</v>
      </c>
      <c r="G38" s="48" t="s">
        <v>24</v>
      </c>
      <c r="H38" s="220" t="s">
        <v>27</v>
      </c>
      <c r="I38" s="220"/>
      <c r="J38" s="220"/>
      <c r="K38" s="220"/>
      <c r="L38" s="220"/>
      <c r="M38" s="37"/>
    </row>
    <row r="39" spans="1:13" ht="24.75">
      <c r="A39" s="45" t="s">
        <v>187</v>
      </c>
      <c r="B39" s="36" t="s">
        <v>88</v>
      </c>
      <c r="C39" s="42" t="s">
        <v>192</v>
      </c>
      <c r="D39" s="37" t="s">
        <v>94</v>
      </c>
      <c r="E39" s="37" t="s">
        <v>193</v>
      </c>
      <c r="F39" s="37" t="s">
        <v>96</v>
      </c>
      <c r="G39" s="47" t="s">
        <v>82</v>
      </c>
      <c r="H39" s="37" t="s">
        <v>24</v>
      </c>
      <c r="I39" s="39" t="s">
        <v>24</v>
      </c>
      <c r="J39" s="37"/>
      <c r="K39" s="40" t="s">
        <v>126</v>
      </c>
      <c r="L39" s="37"/>
      <c r="M39" s="37"/>
    </row>
    <row r="40" spans="1:13" ht="37.5">
      <c r="A40" s="45" t="s">
        <v>187</v>
      </c>
      <c r="B40" s="36" t="s">
        <v>163</v>
      </c>
      <c r="C40" s="37" t="s">
        <v>194</v>
      </c>
      <c r="D40" s="37" t="s">
        <v>94</v>
      </c>
      <c r="E40" s="37" t="s">
        <v>193</v>
      </c>
      <c r="F40" s="37" t="s">
        <v>96</v>
      </c>
      <c r="G40" s="37"/>
      <c r="H40" s="48" t="s">
        <v>24</v>
      </c>
      <c r="I40" s="39" t="s">
        <v>24</v>
      </c>
      <c r="J40" s="41"/>
      <c r="K40" s="40" t="s">
        <v>195</v>
      </c>
      <c r="L40" s="41" t="s">
        <v>107</v>
      </c>
      <c r="M40" s="42" t="s">
        <v>166</v>
      </c>
    </row>
    <row r="41" spans="1:13">
      <c r="A41" s="45" t="s">
        <v>187</v>
      </c>
      <c r="B41" s="36" t="s">
        <v>178</v>
      </c>
      <c r="C41" s="37" t="s">
        <v>196</v>
      </c>
      <c r="D41" s="37" t="s">
        <v>94</v>
      </c>
      <c r="E41" s="37" t="s">
        <v>193</v>
      </c>
      <c r="F41" s="37" t="s">
        <v>96</v>
      </c>
      <c r="G41" s="37"/>
      <c r="H41" s="43" t="s">
        <v>27</v>
      </c>
      <c r="I41" s="43" t="s">
        <v>27</v>
      </c>
      <c r="J41" s="41"/>
      <c r="K41" s="40" t="s">
        <v>197</v>
      </c>
      <c r="L41" s="41" t="s">
        <v>107</v>
      </c>
      <c r="M41" s="37" t="s">
        <v>198</v>
      </c>
    </row>
    <row r="42" spans="1:13" ht="37.5">
      <c r="A42" s="72" t="s">
        <v>187</v>
      </c>
      <c r="B42" s="219" t="s">
        <v>181</v>
      </c>
      <c r="C42" s="221" t="s">
        <v>199</v>
      </c>
      <c r="D42" s="220" t="s">
        <v>27</v>
      </c>
      <c r="E42" s="220" t="s">
        <v>82</v>
      </c>
      <c r="F42" s="220" t="s">
        <v>83</v>
      </c>
      <c r="G42" s="220"/>
      <c r="H42" s="220" t="s">
        <v>27</v>
      </c>
      <c r="I42" s="220"/>
      <c r="J42" s="220"/>
      <c r="K42" s="220"/>
      <c r="L42" s="220"/>
      <c r="M42" s="37"/>
    </row>
    <row r="43" spans="1:13" ht="37.5">
      <c r="A43" s="45" t="s">
        <v>200</v>
      </c>
      <c r="B43" s="36" t="s">
        <v>80</v>
      </c>
      <c r="C43" s="37" t="s">
        <v>201</v>
      </c>
      <c r="D43" s="37" t="s">
        <v>94</v>
      </c>
      <c r="E43" s="42" t="s">
        <v>202</v>
      </c>
      <c r="F43" s="37" t="s">
        <v>96</v>
      </c>
      <c r="G43" s="37"/>
      <c r="H43" s="37" t="s">
        <v>24</v>
      </c>
      <c r="I43" s="39" t="s">
        <v>24</v>
      </c>
      <c r="J43" s="48"/>
      <c r="K43" s="40" t="s">
        <v>118</v>
      </c>
      <c r="L43" s="37"/>
      <c r="M43" s="37"/>
    </row>
    <row r="44" spans="1:13">
      <c r="A44" s="72" t="s">
        <v>200</v>
      </c>
      <c r="B44" s="219" t="s">
        <v>84</v>
      </c>
      <c r="C44" s="220" t="s">
        <v>203</v>
      </c>
      <c r="D44" s="220" t="s">
        <v>27</v>
      </c>
      <c r="E44" s="220" t="s">
        <v>82</v>
      </c>
      <c r="F44" s="220" t="s">
        <v>83</v>
      </c>
      <c r="G44" s="220"/>
      <c r="H44" s="220" t="s">
        <v>27</v>
      </c>
      <c r="I44" s="220"/>
      <c r="J44" s="220"/>
      <c r="K44" s="220"/>
      <c r="L44" s="220"/>
      <c r="M44" s="37"/>
    </row>
    <row r="45" spans="1:13">
      <c r="A45" s="72" t="s">
        <v>200</v>
      </c>
      <c r="B45" s="219" t="s">
        <v>86</v>
      </c>
      <c r="C45" s="220" t="s">
        <v>87</v>
      </c>
      <c r="D45" s="220" t="s">
        <v>27</v>
      </c>
      <c r="E45" s="220" t="s">
        <v>82</v>
      </c>
      <c r="F45" s="220" t="s">
        <v>83</v>
      </c>
      <c r="G45" s="220"/>
      <c r="H45" s="220" t="s">
        <v>27</v>
      </c>
      <c r="I45" s="220"/>
      <c r="J45" s="220"/>
      <c r="K45" s="220"/>
      <c r="L45" s="220"/>
      <c r="M45" s="37"/>
    </row>
    <row r="46" spans="1:13">
      <c r="A46" s="72" t="s">
        <v>200</v>
      </c>
      <c r="B46" s="219" t="s">
        <v>120</v>
      </c>
      <c r="C46" s="220" t="s">
        <v>204</v>
      </c>
      <c r="D46" s="220" t="s">
        <v>27</v>
      </c>
      <c r="E46" s="220" t="s">
        <v>82</v>
      </c>
      <c r="F46" s="220" t="s">
        <v>83</v>
      </c>
      <c r="G46" s="220"/>
      <c r="H46" s="220" t="s">
        <v>27</v>
      </c>
      <c r="I46" s="220"/>
      <c r="J46" s="220"/>
      <c r="K46" s="220"/>
      <c r="L46" s="220"/>
      <c r="M46" s="37"/>
    </row>
    <row r="47" spans="1:13" ht="24.75">
      <c r="A47" s="45" t="s">
        <v>200</v>
      </c>
      <c r="B47" s="36" t="s">
        <v>88</v>
      </c>
      <c r="C47" s="42" t="s">
        <v>205</v>
      </c>
      <c r="D47" s="37" t="s">
        <v>94</v>
      </c>
      <c r="E47" s="37" t="s">
        <v>206</v>
      </c>
      <c r="F47" s="37" t="s">
        <v>96</v>
      </c>
      <c r="G47" s="37"/>
      <c r="H47" s="37" t="s">
        <v>24</v>
      </c>
      <c r="I47" s="39" t="s">
        <v>24</v>
      </c>
      <c r="J47" s="48"/>
      <c r="K47" s="40" t="s">
        <v>126</v>
      </c>
      <c r="L47" s="37"/>
      <c r="M47" s="37"/>
    </row>
    <row r="48" spans="1:13" ht="50.25">
      <c r="A48" s="45" t="s">
        <v>200</v>
      </c>
      <c r="B48" s="36" t="s">
        <v>158</v>
      </c>
      <c r="C48" s="37" t="s">
        <v>207</v>
      </c>
      <c r="D48" s="37" t="s">
        <v>94</v>
      </c>
      <c r="E48" s="37" t="s">
        <v>206</v>
      </c>
      <c r="F48" s="37" t="s">
        <v>96</v>
      </c>
      <c r="G48" s="37"/>
      <c r="H48" s="37" t="s">
        <v>24</v>
      </c>
      <c r="I48" s="39" t="s">
        <v>24</v>
      </c>
      <c r="J48" s="46" t="s">
        <v>160</v>
      </c>
      <c r="K48" s="40" t="s">
        <v>161</v>
      </c>
      <c r="L48" s="41" t="s">
        <v>107</v>
      </c>
      <c r="M48" s="42" t="s">
        <v>208</v>
      </c>
    </row>
    <row r="49" spans="1:13">
      <c r="A49" s="45" t="s">
        <v>200</v>
      </c>
      <c r="B49" s="36" t="s">
        <v>163</v>
      </c>
      <c r="C49" s="37" t="s">
        <v>209</v>
      </c>
      <c r="D49" s="37" t="s">
        <v>94</v>
      </c>
      <c r="E49" s="37" t="s">
        <v>206</v>
      </c>
      <c r="F49" s="37" t="s">
        <v>96</v>
      </c>
      <c r="G49" s="37"/>
      <c r="H49" s="43" t="s">
        <v>27</v>
      </c>
      <c r="I49" s="43" t="s">
        <v>27</v>
      </c>
      <c r="J49" s="41"/>
      <c r="K49" s="44" t="s">
        <v>210</v>
      </c>
      <c r="L49" s="41" t="s">
        <v>107</v>
      </c>
      <c r="M49" s="37" t="s">
        <v>211</v>
      </c>
    </row>
    <row r="50" spans="1:13">
      <c r="A50" s="45" t="s">
        <v>200</v>
      </c>
      <c r="B50" s="36" t="s">
        <v>172</v>
      </c>
      <c r="C50" s="37" t="s">
        <v>212</v>
      </c>
      <c r="D50" s="37" t="s">
        <v>94</v>
      </c>
      <c r="E50" s="37" t="s">
        <v>206</v>
      </c>
      <c r="F50" s="37" t="s">
        <v>96</v>
      </c>
      <c r="G50" s="37"/>
      <c r="H50" s="43" t="s">
        <v>27</v>
      </c>
      <c r="I50" s="43" t="s">
        <v>27</v>
      </c>
      <c r="J50" s="41"/>
      <c r="K50" s="44" t="s">
        <v>210</v>
      </c>
      <c r="L50" s="41" t="s">
        <v>107</v>
      </c>
      <c r="M50" s="37" t="s">
        <v>211</v>
      </c>
    </row>
    <row r="51" spans="1:13" ht="24.75">
      <c r="A51" s="45" t="s">
        <v>200</v>
      </c>
      <c r="B51" s="36" t="s">
        <v>213</v>
      </c>
      <c r="C51" s="42" t="s">
        <v>214</v>
      </c>
      <c r="D51" s="37" t="s">
        <v>94</v>
      </c>
      <c r="E51" s="37" t="s">
        <v>206</v>
      </c>
      <c r="F51" s="37" t="s">
        <v>96</v>
      </c>
      <c r="G51" s="37"/>
      <c r="H51" s="37" t="s">
        <v>24</v>
      </c>
      <c r="I51" s="39" t="s">
        <v>24</v>
      </c>
      <c r="J51" s="48"/>
      <c r="K51" s="40" t="s">
        <v>215</v>
      </c>
      <c r="L51" s="37"/>
      <c r="M51" s="37"/>
    </row>
    <row r="52" spans="1:13" ht="37.5">
      <c r="A52" s="72" t="s">
        <v>200</v>
      </c>
      <c r="B52" s="219" t="s">
        <v>181</v>
      </c>
      <c r="C52" s="221" t="s">
        <v>216</v>
      </c>
      <c r="D52" s="220" t="s">
        <v>27</v>
      </c>
      <c r="E52" s="220" t="s">
        <v>82</v>
      </c>
      <c r="F52" s="220" t="s">
        <v>83</v>
      </c>
      <c r="G52" s="220"/>
      <c r="H52" s="220" t="s">
        <v>27</v>
      </c>
      <c r="I52" s="220"/>
      <c r="J52" s="220"/>
      <c r="K52" s="220"/>
      <c r="L52" s="220"/>
      <c r="M52" s="37"/>
    </row>
    <row r="53" spans="1:13" ht="37.5">
      <c r="A53" s="72" t="s">
        <v>200</v>
      </c>
      <c r="B53" s="219" t="s">
        <v>217</v>
      </c>
      <c r="C53" s="221" t="s">
        <v>218</v>
      </c>
      <c r="D53" s="220" t="s">
        <v>27</v>
      </c>
      <c r="E53" s="220" t="s">
        <v>82</v>
      </c>
      <c r="F53" s="220" t="s">
        <v>83</v>
      </c>
      <c r="G53" s="220"/>
      <c r="H53" s="220" t="s">
        <v>27</v>
      </c>
      <c r="I53" s="220"/>
      <c r="J53" s="220"/>
      <c r="K53" s="220"/>
      <c r="L53" s="220"/>
      <c r="M53" s="37"/>
    </row>
  </sheetData>
  <autoFilter ref="A1:I53" xr:uid="{089AC480-7561-467E-A795-AC1E05BC1386}">
    <filterColumn colId="3">
      <filters>
        <filter val="Supported"/>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D1621-941C-4B7C-833C-E0926D469F9C}">
  <dimension ref="A1:F18"/>
  <sheetViews>
    <sheetView workbookViewId="0">
      <pane ySplit="1" topLeftCell="A2" activePane="bottomLeft" state="frozen"/>
      <selection pane="bottomLeft" activeCell="F12" sqref="F12"/>
    </sheetView>
  </sheetViews>
  <sheetFormatPr defaultRowHeight="11.25"/>
  <cols>
    <col min="1" max="1" width="23.25" style="54" customWidth="1"/>
    <col min="2" max="2" width="43.75" style="54" customWidth="1"/>
    <col min="3" max="3" width="58.875" style="54" customWidth="1"/>
    <col min="4" max="4" width="70.125" style="54" customWidth="1"/>
    <col min="5" max="5" width="102.5" style="54" customWidth="1"/>
    <col min="6" max="6" width="93.125" style="54" customWidth="1"/>
    <col min="7" max="16384" width="9" style="54"/>
  </cols>
  <sheetData>
    <row r="1" spans="1:6" ht="24.75">
      <c r="A1" s="50" t="s">
        <v>69</v>
      </c>
      <c r="B1" s="50" t="s">
        <v>219</v>
      </c>
      <c r="C1" s="50" t="s">
        <v>220</v>
      </c>
      <c r="D1" s="51" t="s">
        <v>221</v>
      </c>
      <c r="E1" s="52" t="s">
        <v>222</v>
      </c>
      <c r="F1" s="53" t="s">
        <v>223</v>
      </c>
    </row>
    <row r="2" spans="1:6" ht="330" customHeight="1">
      <c r="A2" s="451" t="s">
        <v>224</v>
      </c>
      <c r="B2" s="62" t="s">
        <v>225</v>
      </c>
      <c r="C2" s="65" t="s">
        <v>226</v>
      </c>
      <c r="D2" s="66" t="s">
        <v>227</v>
      </c>
      <c r="E2" s="56" t="s">
        <v>228</v>
      </c>
      <c r="F2" s="69" t="s">
        <v>229</v>
      </c>
    </row>
    <row r="3" spans="1:6" ht="409.6">
      <c r="A3" s="451"/>
      <c r="B3" s="62" t="s">
        <v>230</v>
      </c>
      <c r="C3" s="65" t="s">
        <v>231</v>
      </c>
      <c r="D3" s="66" t="s">
        <v>232</v>
      </c>
      <c r="E3" s="56" t="s">
        <v>233</v>
      </c>
      <c r="F3" s="69" t="s">
        <v>234</v>
      </c>
    </row>
    <row r="4" spans="1:6" ht="188.25">
      <c r="A4" s="61" t="s">
        <v>235</v>
      </c>
      <c r="B4" s="62" t="s">
        <v>236</v>
      </c>
      <c r="C4" s="65" t="s">
        <v>237</v>
      </c>
      <c r="D4" s="67" t="s">
        <v>238</v>
      </c>
      <c r="E4" s="56" t="s">
        <v>239</v>
      </c>
      <c r="F4" s="69" t="s">
        <v>240</v>
      </c>
    </row>
    <row r="5" spans="1:6" ht="409.6">
      <c r="A5" s="61" t="s">
        <v>241</v>
      </c>
      <c r="B5" s="62" t="s">
        <v>242</v>
      </c>
      <c r="C5" s="65" t="s">
        <v>243</v>
      </c>
      <c r="D5" s="66" t="s">
        <v>244</v>
      </c>
      <c r="E5" s="56" t="s">
        <v>245</v>
      </c>
      <c r="F5" s="69" t="s">
        <v>246</v>
      </c>
    </row>
    <row r="6" spans="1:6" ht="226.5">
      <c r="A6" s="61" t="s">
        <v>247</v>
      </c>
      <c r="B6" s="62" t="s">
        <v>248</v>
      </c>
      <c r="C6" s="65" t="s">
        <v>249</v>
      </c>
      <c r="D6" s="66" t="s">
        <v>250</v>
      </c>
      <c r="E6" s="56" t="s">
        <v>251</v>
      </c>
      <c r="F6" s="69" t="s">
        <v>252</v>
      </c>
    </row>
    <row r="7" spans="1:6" ht="265.5">
      <c r="A7" s="452" t="s">
        <v>253</v>
      </c>
      <c r="B7" s="64" t="s">
        <v>254</v>
      </c>
      <c r="C7" s="59" t="s">
        <v>255</v>
      </c>
      <c r="D7" s="66" t="s">
        <v>256</v>
      </c>
      <c r="E7" s="56" t="s">
        <v>257</v>
      </c>
      <c r="F7" s="69" t="s">
        <v>258</v>
      </c>
    </row>
    <row r="8" spans="1:6" ht="241.5" customHeight="1">
      <c r="A8" s="453"/>
      <c r="B8" s="62" t="s">
        <v>259</v>
      </c>
      <c r="C8" s="59" t="s">
        <v>260</v>
      </c>
      <c r="D8" s="66" t="s">
        <v>261</v>
      </c>
      <c r="E8" s="56" t="s">
        <v>262</v>
      </c>
      <c r="F8" s="69" t="s">
        <v>263</v>
      </c>
    </row>
    <row r="9" spans="1:6" ht="409.6">
      <c r="A9" s="453"/>
      <c r="B9" s="64" t="s">
        <v>264</v>
      </c>
      <c r="C9" s="59" t="s">
        <v>265</v>
      </c>
      <c r="D9" s="66" t="s">
        <v>266</v>
      </c>
      <c r="E9" s="56" t="s">
        <v>267</v>
      </c>
      <c r="F9" s="69" t="s">
        <v>268</v>
      </c>
    </row>
    <row r="10" spans="1:6" ht="409.6">
      <c r="A10" s="454"/>
      <c r="B10" s="64" t="s">
        <v>269</v>
      </c>
      <c r="C10" s="59" t="s">
        <v>270</v>
      </c>
      <c r="D10" s="66" t="s">
        <v>271</v>
      </c>
      <c r="E10" s="56" t="s">
        <v>272</v>
      </c>
      <c r="F10" s="69" t="s">
        <v>273</v>
      </c>
    </row>
    <row r="11" spans="1:6" ht="409.6">
      <c r="A11" s="63" t="s">
        <v>274</v>
      </c>
      <c r="B11" s="62" t="s">
        <v>275</v>
      </c>
      <c r="C11" s="65" t="s">
        <v>276</v>
      </c>
      <c r="D11" s="65" t="s">
        <v>277</v>
      </c>
      <c r="E11" s="58" t="s">
        <v>278</v>
      </c>
      <c r="F11" s="70" t="s">
        <v>279</v>
      </c>
    </row>
    <row r="12" spans="1:6" ht="409.6">
      <c r="A12" s="63" t="s">
        <v>280</v>
      </c>
      <c r="B12" s="62" t="s">
        <v>281</v>
      </c>
      <c r="C12" s="59" t="s">
        <v>282</v>
      </c>
      <c r="D12" s="68" t="s">
        <v>283</v>
      </c>
      <c r="E12" s="58" t="s">
        <v>284</v>
      </c>
      <c r="F12" s="69" t="s">
        <v>285</v>
      </c>
    </row>
    <row r="13" spans="1:6" ht="371.25">
      <c r="A13" s="61" t="s">
        <v>286</v>
      </c>
      <c r="B13" s="62" t="s">
        <v>287</v>
      </c>
      <c r="C13" s="59" t="s">
        <v>288</v>
      </c>
      <c r="D13" s="65" t="s">
        <v>289</v>
      </c>
      <c r="E13" s="58" t="s">
        <v>290</v>
      </c>
      <c r="F13" s="71" t="s">
        <v>289</v>
      </c>
    </row>
    <row r="18" spans="3:5">
      <c r="C18" s="60"/>
      <c r="E18" s="60"/>
    </row>
  </sheetData>
  <autoFilter ref="A1:E1" xr:uid="{43DD1621-941C-4B7C-833C-E0926D469F9C}"/>
  <mergeCells count="2">
    <mergeCell ref="A2:A3"/>
    <mergeCell ref="A7:A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DA59E-98C5-4922-9499-E2B51AC6BC8D}">
  <dimension ref="A1:AC573715"/>
  <sheetViews>
    <sheetView tabSelected="1" workbookViewId="0">
      <pane ySplit="1" topLeftCell="A255" activePane="bottomLeft" state="frozen"/>
      <selection pane="bottomLeft" activeCell="D256" sqref="D256"/>
    </sheetView>
  </sheetViews>
  <sheetFormatPr defaultColWidth="9" defaultRowHeight="15" customHeight="1"/>
  <cols>
    <col min="1" max="1" width="9.875" style="235" customWidth="1"/>
    <col min="2" max="2" width="18.125" style="236" customWidth="1"/>
    <col min="3" max="3" width="14" style="235" customWidth="1"/>
    <col min="4" max="4" width="9" style="235" customWidth="1"/>
    <col min="5" max="6" width="9" style="236" customWidth="1"/>
    <col min="7" max="7" width="9" style="237" customWidth="1"/>
    <col min="8" max="8" width="9" style="238" customWidth="1"/>
    <col min="9" max="12" width="9" style="239" hidden="1" customWidth="1"/>
    <col min="13" max="15" width="9" style="239" customWidth="1"/>
    <col min="16" max="16" width="9.25" style="239" customWidth="1"/>
    <col min="17" max="17" width="9" style="240" customWidth="1"/>
    <col min="18" max="19" width="9" style="241" customWidth="1"/>
    <col min="20" max="20" width="9" style="242" customWidth="1"/>
    <col min="21" max="21" width="9" style="235" customWidth="1"/>
    <col min="22" max="22" width="52.25" style="235" customWidth="1"/>
    <col min="23" max="23" width="9" style="235" customWidth="1"/>
    <col min="24" max="29" width="9" style="236"/>
    <col min="30" max="16384" width="9" style="235"/>
  </cols>
  <sheetData>
    <row r="1" spans="1:29" ht="42.75" customHeight="1">
      <c r="A1" s="235" t="s">
        <v>66</v>
      </c>
      <c r="B1" s="236" t="s">
        <v>291</v>
      </c>
      <c r="C1" s="235" t="s">
        <v>67</v>
      </c>
      <c r="D1" s="235" t="s">
        <v>68</v>
      </c>
      <c r="E1" s="236" t="s">
        <v>69</v>
      </c>
      <c r="F1" s="236" t="s">
        <v>71</v>
      </c>
      <c r="G1" s="237" t="s">
        <v>292</v>
      </c>
      <c r="H1" s="238" t="s">
        <v>293</v>
      </c>
      <c r="I1" s="239" t="s">
        <v>294</v>
      </c>
      <c r="J1" s="239" t="s">
        <v>295</v>
      </c>
      <c r="K1" s="239" t="s">
        <v>296</v>
      </c>
      <c r="L1" s="239" t="s">
        <v>297</v>
      </c>
      <c r="M1" s="239" t="s">
        <v>298</v>
      </c>
      <c r="N1" s="239" t="s">
        <v>299</v>
      </c>
      <c r="O1" s="239" t="s">
        <v>300</v>
      </c>
      <c r="P1" s="239" t="s">
        <v>301</v>
      </c>
      <c r="Q1" s="240" t="s">
        <v>302</v>
      </c>
      <c r="R1" s="241" t="s">
        <v>303</v>
      </c>
      <c r="S1" s="241" t="s">
        <v>304</v>
      </c>
      <c r="T1" s="242" t="s">
        <v>305</v>
      </c>
      <c r="U1" s="235" t="s">
        <v>297</v>
      </c>
      <c r="V1" s="235" t="s">
        <v>306</v>
      </c>
      <c r="X1" s="236" t="s">
        <v>307</v>
      </c>
      <c r="Y1" s="236" t="s">
        <v>308</v>
      </c>
      <c r="Z1" s="239" t="s">
        <v>309</v>
      </c>
      <c r="AA1" s="239" t="s">
        <v>310</v>
      </c>
      <c r="AB1" s="236" t="s">
        <v>311</v>
      </c>
      <c r="AC1" s="236" t="s">
        <v>312</v>
      </c>
    </row>
    <row r="2" spans="1:29" ht="409.6">
      <c r="A2" s="79" t="s">
        <v>313</v>
      </c>
      <c r="B2" s="243" t="s">
        <v>314</v>
      </c>
      <c r="C2" s="244" t="s">
        <v>315</v>
      </c>
      <c r="D2" s="86" t="s">
        <v>316</v>
      </c>
      <c r="E2" s="245" t="s">
        <v>27</v>
      </c>
      <c r="F2" s="225" t="s">
        <v>317</v>
      </c>
      <c r="G2" s="246" t="s">
        <v>318</v>
      </c>
      <c r="H2" s="234" t="s">
        <v>319</v>
      </c>
      <c r="I2" s="247" t="s">
        <v>317</v>
      </c>
      <c r="J2" s="247" t="s">
        <v>317</v>
      </c>
      <c r="K2" s="247" t="s">
        <v>317</v>
      </c>
      <c r="L2" s="248"/>
      <c r="M2" s="249"/>
      <c r="N2" s="225"/>
      <c r="O2" s="225"/>
      <c r="P2" s="225"/>
      <c r="Q2" s="250"/>
      <c r="R2" s="215" t="s">
        <v>27</v>
      </c>
      <c r="S2" s="215" t="s">
        <v>27</v>
      </c>
      <c r="T2" s="215" t="s">
        <v>27</v>
      </c>
      <c r="U2" s="225"/>
      <c r="V2" s="251"/>
      <c r="W2" s="377"/>
      <c r="X2" s="85"/>
      <c r="Y2" s="85"/>
      <c r="Z2" s="85"/>
      <c r="AA2" s="85"/>
      <c r="AB2" s="85"/>
      <c r="AC2" s="85"/>
    </row>
    <row r="3" spans="1:29" ht="357">
      <c r="A3" s="79" t="s">
        <v>313</v>
      </c>
      <c r="B3" s="243" t="s">
        <v>314</v>
      </c>
      <c r="C3" s="252" t="s">
        <v>320</v>
      </c>
      <c r="D3" s="81" t="s">
        <v>321</v>
      </c>
      <c r="E3" s="245" t="s">
        <v>27</v>
      </c>
      <c r="F3" s="225" t="s">
        <v>317</v>
      </c>
      <c r="G3" s="246" t="s">
        <v>322</v>
      </c>
      <c r="H3" s="234"/>
      <c r="I3" s="247" t="s">
        <v>317</v>
      </c>
      <c r="J3" s="247" t="s">
        <v>317</v>
      </c>
      <c r="K3" s="247" t="s">
        <v>317</v>
      </c>
      <c r="L3" s="248"/>
      <c r="M3" s="249"/>
      <c r="N3" s="225"/>
      <c r="O3" s="225"/>
      <c r="P3" s="225"/>
      <c r="Q3" s="250"/>
      <c r="R3" s="215" t="s">
        <v>27</v>
      </c>
      <c r="S3" s="215" t="s">
        <v>27</v>
      </c>
      <c r="T3" s="215" t="s">
        <v>27</v>
      </c>
      <c r="U3" s="225"/>
      <c r="V3" s="251"/>
      <c r="W3" s="377"/>
      <c r="X3" s="85"/>
      <c r="Y3" s="85"/>
      <c r="Z3" s="85"/>
      <c r="AA3" s="85"/>
      <c r="AB3" s="85"/>
      <c r="AC3" s="85"/>
    </row>
    <row r="4" spans="1:29" ht="409.6">
      <c r="A4" s="79" t="s">
        <v>313</v>
      </c>
      <c r="B4" s="243" t="s">
        <v>314</v>
      </c>
      <c r="C4" s="252" t="s">
        <v>323</v>
      </c>
      <c r="D4" s="81" t="s">
        <v>324</v>
      </c>
      <c r="E4" s="225" t="s">
        <v>325</v>
      </c>
      <c r="F4" s="253" t="s">
        <v>326</v>
      </c>
      <c r="G4" s="246" t="s">
        <v>327</v>
      </c>
      <c r="H4" s="234" t="s">
        <v>328</v>
      </c>
      <c r="I4" s="225" t="s">
        <v>24</v>
      </c>
      <c r="J4" s="225" t="s">
        <v>24</v>
      </c>
      <c r="K4" s="248" t="s">
        <v>24</v>
      </c>
      <c r="L4" s="248" t="s">
        <v>329</v>
      </c>
      <c r="M4" s="232" t="s">
        <v>24</v>
      </c>
      <c r="N4" s="233" t="s">
        <v>24</v>
      </c>
      <c r="O4" s="233" t="s">
        <v>24</v>
      </c>
      <c r="P4" s="107"/>
      <c r="Q4" s="254"/>
      <c r="R4" s="215" t="s">
        <v>24</v>
      </c>
      <c r="S4" s="225" t="s">
        <v>24</v>
      </c>
      <c r="T4" s="225" t="s">
        <v>24</v>
      </c>
      <c r="U4" s="225" t="s">
        <v>329</v>
      </c>
      <c r="V4" s="251"/>
      <c r="W4" s="377"/>
      <c r="X4" s="85"/>
      <c r="Y4" s="85"/>
      <c r="Z4" s="85"/>
      <c r="AA4" s="85"/>
      <c r="AB4" s="85"/>
      <c r="AC4" s="85"/>
    </row>
    <row r="5" spans="1:29" ht="409.6">
      <c r="A5" s="79" t="s">
        <v>313</v>
      </c>
      <c r="B5" s="243" t="s">
        <v>314</v>
      </c>
      <c r="C5" s="252" t="s">
        <v>330</v>
      </c>
      <c r="D5" s="81" t="s">
        <v>331</v>
      </c>
      <c r="E5" s="87" t="s">
        <v>325</v>
      </c>
      <c r="F5" s="87" t="s">
        <v>326</v>
      </c>
      <c r="G5" s="246" t="s">
        <v>332</v>
      </c>
      <c r="H5" s="255" t="s">
        <v>333</v>
      </c>
      <c r="I5" s="225" t="s">
        <v>24</v>
      </c>
      <c r="J5" s="225" t="s">
        <v>24</v>
      </c>
      <c r="K5" s="248" t="s">
        <v>24</v>
      </c>
      <c r="L5" s="248" t="s">
        <v>329</v>
      </c>
      <c r="M5" s="232" t="s">
        <v>24</v>
      </c>
      <c r="N5" s="233" t="s">
        <v>24</v>
      </c>
      <c r="O5" s="233" t="s">
        <v>24</v>
      </c>
      <c r="P5" s="107"/>
      <c r="Q5" s="254"/>
      <c r="R5" s="215" t="s">
        <v>24</v>
      </c>
      <c r="S5" s="225" t="s">
        <v>24</v>
      </c>
      <c r="T5" s="225" t="s">
        <v>24</v>
      </c>
      <c r="U5" s="225" t="s">
        <v>329</v>
      </c>
      <c r="V5" s="251"/>
      <c r="W5" s="377"/>
      <c r="X5" s="85"/>
      <c r="Y5" s="85"/>
      <c r="Z5" s="85"/>
      <c r="AA5" s="85"/>
      <c r="AB5" s="85"/>
      <c r="AC5" s="85"/>
    </row>
    <row r="6" spans="1:29" ht="409.6">
      <c r="A6" s="79" t="s">
        <v>313</v>
      </c>
      <c r="B6" s="243" t="s">
        <v>314</v>
      </c>
      <c r="C6" s="252" t="s">
        <v>334</v>
      </c>
      <c r="D6" s="81" t="s">
        <v>335</v>
      </c>
      <c r="E6" s="87" t="s">
        <v>325</v>
      </c>
      <c r="F6" s="87" t="s">
        <v>326</v>
      </c>
      <c r="G6" s="246" t="s">
        <v>336</v>
      </c>
      <c r="H6" s="256"/>
      <c r="I6" s="245" t="s">
        <v>337</v>
      </c>
      <c r="J6" s="245" t="s">
        <v>337</v>
      </c>
      <c r="K6" s="257" t="s">
        <v>337</v>
      </c>
      <c r="L6" s="248" t="s">
        <v>329</v>
      </c>
      <c r="M6" s="224" t="s">
        <v>24</v>
      </c>
      <c r="N6" s="107" t="s">
        <v>24</v>
      </c>
      <c r="O6" s="107" t="s">
        <v>24</v>
      </c>
      <c r="P6" s="81" t="s">
        <v>338</v>
      </c>
      <c r="Q6" s="254" t="s">
        <v>339</v>
      </c>
      <c r="R6" s="224" t="s">
        <v>24</v>
      </c>
      <c r="S6" s="224" t="s">
        <v>24</v>
      </c>
      <c r="T6" s="224" t="s">
        <v>24</v>
      </c>
      <c r="U6" s="248" t="s">
        <v>329</v>
      </c>
      <c r="V6" s="251" t="s">
        <v>340</v>
      </c>
      <c r="W6" s="377" t="s">
        <v>341</v>
      </c>
      <c r="X6" s="85"/>
      <c r="Y6" s="85"/>
      <c r="Z6" s="85"/>
      <c r="AA6" s="85"/>
      <c r="AB6" s="85"/>
      <c r="AC6" s="85"/>
    </row>
    <row r="7" spans="1:29" ht="409.6">
      <c r="A7" s="79" t="s">
        <v>313</v>
      </c>
      <c r="B7" s="243" t="s">
        <v>314</v>
      </c>
      <c r="C7" s="80" t="s">
        <v>342</v>
      </c>
      <c r="D7" s="81" t="s">
        <v>343</v>
      </c>
      <c r="E7" s="87" t="s">
        <v>325</v>
      </c>
      <c r="F7" s="87" t="s">
        <v>326</v>
      </c>
      <c r="G7" s="246" t="s">
        <v>344</v>
      </c>
      <c r="H7" s="256"/>
      <c r="I7" s="245" t="s">
        <v>337</v>
      </c>
      <c r="J7" s="245" t="s">
        <v>337</v>
      </c>
      <c r="K7" s="257" t="s">
        <v>337</v>
      </c>
      <c r="L7" s="248" t="s">
        <v>329</v>
      </c>
      <c r="M7" s="224" t="s">
        <v>24</v>
      </c>
      <c r="N7" s="107" t="s">
        <v>24</v>
      </c>
      <c r="O7" s="107" t="s">
        <v>24</v>
      </c>
      <c r="P7" s="258" t="s">
        <v>345</v>
      </c>
      <c r="Q7" s="254" t="s">
        <v>339</v>
      </c>
      <c r="R7" s="298" t="s">
        <v>24</v>
      </c>
      <c r="S7" s="225" t="s">
        <v>24</v>
      </c>
      <c r="T7" s="314" t="s">
        <v>24</v>
      </c>
      <c r="U7" s="248" t="s">
        <v>329</v>
      </c>
      <c r="V7" s="251" t="s">
        <v>346</v>
      </c>
      <c r="W7" s="377" t="s">
        <v>341</v>
      </c>
      <c r="X7" s="85"/>
      <c r="Y7" s="85"/>
      <c r="Z7" s="85"/>
      <c r="AA7" s="85"/>
      <c r="AB7" s="85"/>
      <c r="AC7" s="85"/>
    </row>
    <row r="8" spans="1:29" ht="42" customHeight="1">
      <c r="A8" s="79" t="s">
        <v>313</v>
      </c>
      <c r="B8" s="243" t="s">
        <v>314</v>
      </c>
      <c r="C8" s="252" t="s">
        <v>347</v>
      </c>
      <c r="D8" s="81" t="s">
        <v>348</v>
      </c>
      <c r="E8" s="245" t="s">
        <v>27</v>
      </c>
      <c r="F8" s="87" t="s">
        <v>317</v>
      </c>
      <c r="G8" s="259"/>
      <c r="H8" s="256"/>
      <c r="I8" s="247" t="s">
        <v>317</v>
      </c>
      <c r="J8" s="247" t="s">
        <v>317</v>
      </c>
      <c r="K8" s="247" t="s">
        <v>317</v>
      </c>
      <c r="L8" s="248"/>
      <c r="M8" s="249"/>
      <c r="N8" s="225"/>
      <c r="O8" s="225"/>
      <c r="P8" s="225"/>
      <c r="Q8" s="250"/>
      <c r="R8" s="215" t="s">
        <v>27</v>
      </c>
      <c r="S8" s="215" t="s">
        <v>27</v>
      </c>
      <c r="T8" s="215" t="s">
        <v>27</v>
      </c>
      <c r="U8" s="225"/>
      <c r="V8" s="251"/>
      <c r="W8" s="377"/>
      <c r="X8" s="85"/>
      <c r="Y8" s="85"/>
      <c r="Z8" s="85"/>
      <c r="AA8" s="85"/>
      <c r="AB8" s="85"/>
      <c r="AC8" s="85"/>
    </row>
    <row r="9" spans="1:29" ht="409.6">
      <c r="A9" s="79" t="s">
        <v>349</v>
      </c>
      <c r="B9" s="260" t="s">
        <v>350</v>
      </c>
      <c r="C9" s="80" t="s">
        <v>351</v>
      </c>
      <c r="D9" s="81" t="s">
        <v>352</v>
      </c>
      <c r="E9" s="87" t="s">
        <v>325</v>
      </c>
      <c r="F9" s="87" t="s">
        <v>326</v>
      </c>
      <c r="G9" s="246" t="s">
        <v>353</v>
      </c>
      <c r="H9" s="234" t="s">
        <v>354</v>
      </c>
      <c r="I9" s="225" t="s">
        <v>24</v>
      </c>
      <c r="J9" s="225" t="s">
        <v>24</v>
      </c>
      <c r="K9" s="248" t="s">
        <v>24</v>
      </c>
      <c r="L9" s="248" t="s">
        <v>329</v>
      </c>
      <c r="M9" s="224" t="s">
        <v>24</v>
      </c>
      <c r="N9" s="107" t="s">
        <v>24</v>
      </c>
      <c r="O9" s="107" t="s">
        <v>24</v>
      </c>
      <c r="P9" s="107"/>
      <c r="Q9" s="254"/>
      <c r="R9" s="215" t="s">
        <v>24</v>
      </c>
      <c r="S9" s="225" t="s">
        <v>24</v>
      </c>
      <c r="T9" s="225" t="s">
        <v>24</v>
      </c>
      <c r="U9" s="225" t="s">
        <v>329</v>
      </c>
      <c r="V9" s="251"/>
      <c r="W9" s="377"/>
      <c r="X9" s="85"/>
      <c r="Y9" s="85"/>
      <c r="Z9" s="85"/>
      <c r="AA9" s="85"/>
      <c r="AB9" s="85"/>
      <c r="AC9" s="85"/>
    </row>
    <row r="10" spans="1:29" ht="409.6">
      <c r="A10" s="79" t="s">
        <v>349</v>
      </c>
      <c r="B10" s="260" t="s">
        <v>350</v>
      </c>
      <c r="C10" s="80" t="s">
        <v>355</v>
      </c>
      <c r="D10" s="81" t="s">
        <v>356</v>
      </c>
      <c r="E10" s="87" t="s">
        <v>325</v>
      </c>
      <c r="F10" s="87" t="s">
        <v>326</v>
      </c>
      <c r="G10" s="246" t="s">
        <v>357</v>
      </c>
      <c r="H10" s="255" t="s">
        <v>358</v>
      </c>
      <c r="I10" s="225" t="s">
        <v>24</v>
      </c>
      <c r="J10" s="225" t="s">
        <v>24</v>
      </c>
      <c r="K10" s="248" t="s">
        <v>24</v>
      </c>
      <c r="L10" s="248" t="s">
        <v>329</v>
      </c>
      <c r="M10" s="224" t="s">
        <v>24</v>
      </c>
      <c r="N10" s="107" t="s">
        <v>24</v>
      </c>
      <c r="O10" s="107" t="s">
        <v>24</v>
      </c>
      <c r="P10" s="107"/>
      <c r="Q10" s="254"/>
      <c r="R10" s="215" t="s">
        <v>24</v>
      </c>
      <c r="S10" s="225" t="s">
        <v>24</v>
      </c>
      <c r="T10" s="225" t="s">
        <v>24</v>
      </c>
      <c r="U10" s="225" t="s">
        <v>329</v>
      </c>
      <c r="V10" s="251"/>
      <c r="W10" s="377"/>
      <c r="X10" s="85"/>
      <c r="Y10" s="85"/>
      <c r="Z10" s="85"/>
      <c r="AA10" s="85"/>
      <c r="AB10" s="85"/>
      <c r="AC10" s="85"/>
    </row>
    <row r="11" spans="1:29" ht="409.6">
      <c r="A11" s="79" t="s">
        <v>349</v>
      </c>
      <c r="B11" s="260" t="s">
        <v>350</v>
      </c>
      <c r="C11" s="80" t="s">
        <v>359</v>
      </c>
      <c r="D11" s="81" t="s">
        <v>360</v>
      </c>
      <c r="E11" s="87" t="s">
        <v>325</v>
      </c>
      <c r="F11" s="87" t="s">
        <v>326</v>
      </c>
      <c r="G11" s="246" t="s">
        <v>361</v>
      </c>
      <c r="H11" s="255" t="s">
        <v>362</v>
      </c>
      <c r="I11" s="245" t="s">
        <v>337</v>
      </c>
      <c r="J11" s="245" t="s">
        <v>337</v>
      </c>
      <c r="K11" s="257" t="s">
        <v>337</v>
      </c>
      <c r="L11" s="248" t="s">
        <v>329</v>
      </c>
      <c r="M11" s="261" t="s">
        <v>25</v>
      </c>
      <c r="N11" s="104" t="s">
        <v>25</v>
      </c>
      <c r="O11" s="104" t="s">
        <v>25</v>
      </c>
      <c r="P11" s="81" t="s">
        <v>363</v>
      </c>
      <c r="Q11" s="254" t="s">
        <v>364</v>
      </c>
      <c r="R11" s="104" t="s">
        <v>25</v>
      </c>
      <c r="S11" s="104" t="s">
        <v>25</v>
      </c>
      <c r="T11" s="104" t="s">
        <v>25</v>
      </c>
      <c r="U11" s="225" t="s">
        <v>329</v>
      </c>
      <c r="V11" s="251" t="s">
        <v>365</v>
      </c>
      <c r="W11" s="377"/>
      <c r="X11" s="85"/>
      <c r="Y11" s="85"/>
      <c r="Z11" s="85"/>
      <c r="AA11" s="85"/>
      <c r="AB11" s="85"/>
      <c r="AC11" s="85"/>
    </row>
    <row r="12" spans="1:29" ht="409.6">
      <c r="A12" s="79" t="s">
        <v>349</v>
      </c>
      <c r="B12" s="243" t="s">
        <v>350</v>
      </c>
      <c r="C12" s="80" t="s">
        <v>366</v>
      </c>
      <c r="D12" s="81" t="s">
        <v>367</v>
      </c>
      <c r="E12" s="87" t="s">
        <v>325</v>
      </c>
      <c r="F12" s="87" t="s">
        <v>326</v>
      </c>
      <c r="G12" s="246" t="s">
        <v>368</v>
      </c>
      <c r="H12" s="255" t="s">
        <v>369</v>
      </c>
      <c r="I12" s="225" t="s">
        <v>24</v>
      </c>
      <c r="J12" s="225" t="s">
        <v>24</v>
      </c>
      <c r="K12" s="248" t="s">
        <v>24</v>
      </c>
      <c r="L12" s="248" t="s">
        <v>329</v>
      </c>
      <c r="M12" s="224" t="s">
        <v>24</v>
      </c>
      <c r="N12" s="107" t="s">
        <v>24</v>
      </c>
      <c r="O12" s="107" t="s">
        <v>24</v>
      </c>
      <c r="P12" s="107"/>
      <c r="Q12" s="254"/>
      <c r="R12" s="215" t="s">
        <v>24</v>
      </c>
      <c r="S12" s="225" t="s">
        <v>24</v>
      </c>
      <c r="T12" s="225" t="s">
        <v>24</v>
      </c>
      <c r="U12" s="225" t="s">
        <v>329</v>
      </c>
      <c r="V12" s="251"/>
      <c r="W12" s="377"/>
      <c r="X12" s="85"/>
      <c r="Y12" s="85"/>
      <c r="Z12" s="85"/>
      <c r="AA12" s="85"/>
      <c r="AB12" s="85"/>
      <c r="AC12" s="85"/>
    </row>
    <row r="13" spans="1:29" s="54" customFormat="1" ht="409.6">
      <c r="A13" s="35" t="s">
        <v>349</v>
      </c>
      <c r="B13" s="387" t="s">
        <v>350</v>
      </c>
      <c r="C13" s="388" t="s">
        <v>370</v>
      </c>
      <c r="D13" s="389" t="s">
        <v>371</v>
      </c>
      <c r="E13" s="87" t="s">
        <v>325</v>
      </c>
      <c r="F13" s="87" t="s">
        <v>326</v>
      </c>
      <c r="G13" s="62" t="s">
        <v>372</v>
      </c>
      <c r="H13" s="408" t="s">
        <v>373</v>
      </c>
      <c r="I13" s="245" t="s">
        <v>337</v>
      </c>
      <c r="J13" s="245" t="s">
        <v>337</v>
      </c>
      <c r="K13" s="257" t="s">
        <v>337</v>
      </c>
      <c r="L13" s="248" t="s">
        <v>329</v>
      </c>
      <c r="M13" s="232" t="s">
        <v>24</v>
      </c>
      <c r="N13" s="233" t="s">
        <v>24</v>
      </c>
      <c r="O13" s="233" t="s">
        <v>24</v>
      </c>
      <c r="P13" s="389" t="s">
        <v>374</v>
      </c>
      <c r="Q13" s="398" t="s">
        <v>375</v>
      </c>
      <c r="R13" s="43" t="s">
        <v>25</v>
      </c>
      <c r="S13" s="43" t="s">
        <v>25</v>
      </c>
      <c r="T13" s="43" t="s">
        <v>25</v>
      </c>
      <c r="U13" s="76" t="s">
        <v>329</v>
      </c>
      <c r="V13" s="416" t="s">
        <v>376</v>
      </c>
      <c r="W13" s="410"/>
      <c r="X13" s="73" t="s">
        <v>377</v>
      </c>
      <c r="Y13" s="73"/>
      <c r="Z13" s="73"/>
      <c r="AA13" s="73" t="s">
        <v>377</v>
      </c>
      <c r="AB13" s="73"/>
      <c r="AC13" s="73"/>
    </row>
    <row r="14" spans="1:29" ht="288.75">
      <c r="A14" s="79" t="s">
        <v>349</v>
      </c>
      <c r="B14" s="243" t="s">
        <v>350</v>
      </c>
      <c r="C14" s="252" t="s">
        <v>378</v>
      </c>
      <c r="D14" s="86" t="s">
        <v>379</v>
      </c>
      <c r="E14" s="87" t="s">
        <v>325</v>
      </c>
      <c r="F14" s="87" t="s">
        <v>326</v>
      </c>
      <c r="G14" s="246" t="s">
        <v>380</v>
      </c>
      <c r="H14" s="264" t="s">
        <v>381</v>
      </c>
      <c r="I14" s="225" t="s">
        <v>311</v>
      </c>
      <c r="J14" s="225" t="s">
        <v>311</v>
      </c>
      <c r="K14" s="225" t="s">
        <v>311</v>
      </c>
      <c r="L14" s="248"/>
      <c r="M14" s="224" t="s">
        <v>26</v>
      </c>
      <c r="N14" s="107" t="s">
        <v>26</v>
      </c>
      <c r="O14" s="107" t="s">
        <v>26</v>
      </c>
      <c r="P14" s="81" t="s">
        <v>382</v>
      </c>
      <c r="Q14" s="254" t="s">
        <v>339</v>
      </c>
      <c r="R14" s="215" t="s">
        <v>28</v>
      </c>
      <c r="S14" s="225" t="s">
        <v>28</v>
      </c>
      <c r="T14" s="225" t="s">
        <v>28</v>
      </c>
      <c r="U14" s="225" t="s">
        <v>329</v>
      </c>
      <c r="V14" s="251" t="s">
        <v>383</v>
      </c>
      <c r="W14" s="377"/>
      <c r="X14" s="87"/>
      <c r="Y14" s="87" t="s">
        <v>377</v>
      </c>
      <c r="Z14" s="87"/>
      <c r="AA14" s="87"/>
      <c r="AB14" s="87"/>
      <c r="AC14" s="87"/>
    </row>
    <row r="15" spans="1:29" ht="398.25">
      <c r="A15" s="79" t="s">
        <v>349</v>
      </c>
      <c r="B15" s="243" t="s">
        <v>350</v>
      </c>
      <c r="C15" s="80" t="s">
        <v>384</v>
      </c>
      <c r="D15" s="81" t="s">
        <v>385</v>
      </c>
      <c r="E15" s="87" t="s">
        <v>325</v>
      </c>
      <c r="F15" s="87" t="s">
        <v>326</v>
      </c>
      <c r="G15" s="246" t="s">
        <v>386</v>
      </c>
      <c r="H15" s="234" t="s">
        <v>354</v>
      </c>
      <c r="I15" s="225" t="s">
        <v>24</v>
      </c>
      <c r="J15" s="225" t="s">
        <v>24</v>
      </c>
      <c r="K15" s="248" t="s">
        <v>24</v>
      </c>
      <c r="L15" s="248" t="s">
        <v>329</v>
      </c>
      <c r="M15" s="224" t="s">
        <v>24</v>
      </c>
      <c r="N15" s="107" t="s">
        <v>24</v>
      </c>
      <c r="O15" s="107" t="s">
        <v>24</v>
      </c>
      <c r="P15" s="107"/>
      <c r="Q15" s="254"/>
      <c r="R15" s="215" t="s">
        <v>24</v>
      </c>
      <c r="S15" s="225" t="s">
        <v>24</v>
      </c>
      <c r="T15" s="225" t="s">
        <v>24</v>
      </c>
      <c r="U15" s="225" t="s">
        <v>329</v>
      </c>
      <c r="V15" s="251"/>
      <c r="W15" s="377"/>
      <c r="X15" s="85"/>
      <c r="Y15" s="85"/>
      <c r="Z15" s="85"/>
      <c r="AA15" s="85"/>
      <c r="AB15" s="85"/>
      <c r="AC15" s="85"/>
    </row>
    <row r="16" spans="1:29" ht="398.25">
      <c r="A16" s="79" t="s">
        <v>349</v>
      </c>
      <c r="B16" s="243" t="s">
        <v>350</v>
      </c>
      <c r="C16" s="80" t="s">
        <v>387</v>
      </c>
      <c r="D16" s="81" t="s">
        <v>388</v>
      </c>
      <c r="E16" s="87" t="s">
        <v>325</v>
      </c>
      <c r="F16" s="87" t="s">
        <v>326</v>
      </c>
      <c r="G16" s="246" t="s">
        <v>389</v>
      </c>
      <c r="H16" s="255" t="s">
        <v>390</v>
      </c>
      <c r="I16" s="225" t="s">
        <v>24</v>
      </c>
      <c r="J16" s="225" t="s">
        <v>24</v>
      </c>
      <c r="K16" s="248" t="s">
        <v>24</v>
      </c>
      <c r="L16" s="248" t="s">
        <v>329</v>
      </c>
      <c r="M16" s="224" t="s">
        <v>24</v>
      </c>
      <c r="N16" s="107" t="s">
        <v>24</v>
      </c>
      <c r="O16" s="107" t="s">
        <v>24</v>
      </c>
      <c r="P16" s="225"/>
      <c r="Q16" s="250"/>
      <c r="R16" s="215" t="s">
        <v>24</v>
      </c>
      <c r="S16" s="225" t="s">
        <v>24</v>
      </c>
      <c r="T16" s="225" t="s">
        <v>24</v>
      </c>
      <c r="U16" s="225" t="s">
        <v>329</v>
      </c>
      <c r="V16" s="251"/>
      <c r="W16" s="377"/>
      <c r="X16" s="85"/>
      <c r="Y16" s="85"/>
      <c r="Z16" s="85"/>
      <c r="AA16" s="85"/>
      <c r="AB16" s="85"/>
      <c r="AC16" s="85"/>
    </row>
    <row r="17" spans="1:29" ht="409.6">
      <c r="A17" s="265" t="s">
        <v>349</v>
      </c>
      <c r="B17" s="243" t="s">
        <v>350</v>
      </c>
      <c r="C17" s="80" t="s">
        <v>391</v>
      </c>
      <c r="D17" s="81" t="s">
        <v>392</v>
      </c>
      <c r="E17" s="87" t="s">
        <v>325</v>
      </c>
      <c r="F17" s="87" t="s">
        <v>326</v>
      </c>
      <c r="G17" s="266" t="s">
        <v>393</v>
      </c>
      <c r="H17" s="81" t="s">
        <v>394</v>
      </c>
      <c r="I17" s="245" t="s">
        <v>24</v>
      </c>
      <c r="J17" s="245" t="s">
        <v>24</v>
      </c>
      <c r="K17" s="257" t="s">
        <v>24</v>
      </c>
      <c r="L17" s="248" t="s">
        <v>329</v>
      </c>
      <c r="M17" s="224" t="s">
        <v>24</v>
      </c>
      <c r="N17" s="107" t="s">
        <v>24</v>
      </c>
      <c r="O17" s="107" t="s">
        <v>24</v>
      </c>
      <c r="P17" s="107"/>
      <c r="Q17" s="254"/>
      <c r="R17" s="267" t="s">
        <v>24</v>
      </c>
      <c r="S17" s="107" t="s">
        <v>24</v>
      </c>
      <c r="T17" s="107" t="s">
        <v>24</v>
      </c>
      <c r="U17" s="225" t="s">
        <v>329</v>
      </c>
      <c r="V17" s="251" t="s">
        <v>395</v>
      </c>
      <c r="W17" s="377"/>
      <c r="X17" s="85"/>
      <c r="Y17" s="85"/>
      <c r="Z17" s="85"/>
      <c r="AA17" s="85"/>
      <c r="AB17" s="85"/>
      <c r="AC17" s="85"/>
    </row>
    <row r="18" spans="1:29" ht="409.6">
      <c r="A18" s="79" t="s">
        <v>349</v>
      </c>
      <c r="B18" s="243" t="s">
        <v>350</v>
      </c>
      <c r="C18" s="80" t="s">
        <v>396</v>
      </c>
      <c r="D18" s="81" t="s">
        <v>397</v>
      </c>
      <c r="E18" s="87" t="s">
        <v>325</v>
      </c>
      <c r="F18" s="87" t="s">
        <v>326</v>
      </c>
      <c r="G18" s="246" t="s">
        <v>398</v>
      </c>
      <c r="H18" s="81" t="s">
        <v>399</v>
      </c>
      <c r="I18" s="225" t="s">
        <v>24</v>
      </c>
      <c r="J18" s="225" t="s">
        <v>24</v>
      </c>
      <c r="K18" s="248" t="s">
        <v>24</v>
      </c>
      <c r="L18" s="248" t="s">
        <v>329</v>
      </c>
      <c r="M18" s="224" t="s">
        <v>24</v>
      </c>
      <c r="N18" s="107" t="s">
        <v>24</v>
      </c>
      <c r="O18" s="107" t="s">
        <v>24</v>
      </c>
      <c r="P18" s="107"/>
      <c r="Q18" s="254"/>
      <c r="R18" s="215" t="s">
        <v>24</v>
      </c>
      <c r="S18" s="225" t="s">
        <v>24</v>
      </c>
      <c r="T18" s="225" t="s">
        <v>24</v>
      </c>
      <c r="U18" s="225" t="s">
        <v>329</v>
      </c>
      <c r="V18" s="251" t="s">
        <v>400</v>
      </c>
      <c r="W18" s="377"/>
      <c r="X18" s="85"/>
      <c r="Y18" s="85"/>
      <c r="Z18" s="85"/>
      <c r="AA18" s="85"/>
      <c r="AB18" s="85"/>
      <c r="AC18" s="85"/>
    </row>
    <row r="19" spans="1:29" s="54" customFormat="1" ht="398.25">
      <c r="A19" s="35" t="s">
        <v>349</v>
      </c>
      <c r="B19" s="387" t="s">
        <v>350</v>
      </c>
      <c r="C19" s="388" t="s">
        <v>401</v>
      </c>
      <c r="D19" s="389" t="s">
        <v>402</v>
      </c>
      <c r="E19" s="87" t="s">
        <v>325</v>
      </c>
      <c r="F19" s="87" t="s">
        <v>326</v>
      </c>
      <c r="G19" s="62" t="s">
        <v>403</v>
      </c>
      <c r="H19" s="408" t="s">
        <v>404</v>
      </c>
      <c r="I19" s="245" t="s">
        <v>337</v>
      </c>
      <c r="J19" s="245" t="s">
        <v>337</v>
      </c>
      <c r="K19" s="257" t="s">
        <v>337</v>
      </c>
      <c r="L19" s="248" t="s">
        <v>329</v>
      </c>
      <c r="M19" s="397" t="s">
        <v>24</v>
      </c>
      <c r="N19" s="77" t="s">
        <v>24</v>
      </c>
      <c r="O19" s="77" t="s">
        <v>24</v>
      </c>
      <c r="P19" s="389" t="s">
        <v>405</v>
      </c>
      <c r="Q19" s="398" t="s">
        <v>406</v>
      </c>
      <c r="R19" s="43" t="s">
        <v>25</v>
      </c>
      <c r="S19" s="43" t="s">
        <v>25</v>
      </c>
      <c r="T19" s="43" t="s">
        <v>25</v>
      </c>
      <c r="U19" s="76" t="s">
        <v>329</v>
      </c>
      <c r="V19" s="416" t="s">
        <v>407</v>
      </c>
      <c r="W19" s="410"/>
      <c r="X19" s="73" t="s">
        <v>377</v>
      </c>
      <c r="Y19" s="73"/>
      <c r="Z19" s="73"/>
      <c r="AA19" s="73" t="s">
        <v>377</v>
      </c>
      <c r="AB19" s="73"/>
      <c r="AC19" s="73"/>
    </row>
    <row r="20" spans="1:29" ht="398.25">
      <c r="A20" s="79" t="s">
        <v>349</v>
      </c>
      <c r="B20" s="243" t="s">
        <v>350</v>
      </c>
      <c r="C20" s="80" t="s">
        <v>408</v>
      </c>
      <c r="D20" s="81" t="s">
        <v>409</v>
      </c>
      <c r="E20" s="87" t="s">
        <v>325</v>
      </c>
      <c r="F20" s="87" t="s">
        <v>326</v>
      </c>
      <c r="G20" s="246" t="s">
        <v>410</v>
      </c>
      <c r="H20" s="255" t="s">
        <v>411</v>
      </c>
      <c r="I20" s="225" t="s">
        <v>24</v>
      </c>
      <c r="J20" s="225" t="s">
        <v>24</v>
      </c>
      <c r="K20" s="248" t="s">
        <v>24</v>
      </c>
      <c r="L20" s="248" t="s">
        <v>329</v>
      </c>
      <c r="M20" s="224" t="s">
        <v>24</v>
      </c>
      <c r="N20" s="107" t="s">
        <v>24</v>
      </c>
      <c r="O20" s="107" t="s">
        <v>24</v>
      </c>
      <c r="P20" s="107"/>
      <c r="Q20" s="254"/>
      <c r="R20" s="215" t="s">
        <v>24</v>
      </c>
      <c r="S20" s="225" t="s">
        <v>24</v>
      </c>
      <c r="T20" s="225" t="s">
        <v>24</v>
      </c>
      <c r="U20" s="225" t="s">
        <v>329</v>
      </c>
      <c r="V20" s="251"/>
      <c r="W20" s="377"/>
      <c r="X20" s="85"/>
      <c r="Y20" s="85"/>
      <c r="Z20" s="85"/>
      <c r="AA20" s="85"/>
      <c r="AB20" s="85"/>
      <c r="AC20" s="85"/>
    </row>
    <row r="21" spans="1:29" ht="409.6">
      <c r="A21" s="79" t="s">
        <v>349</v>
      </c>
      <c r="B21" s="243" t="s">
        <v>350</v>
      </c>
      <c r="C21" s="80" t="s">
        <v>412</v>
      </c>
      <c r="D21" s="81" t="s">
        <v>413</v>
      </c>
      <c r="E21" s="87" t="s">
        <v>325</v>
      </c>
      <c r="F21" s="87" t="s">
        <v>326</v>
      </c>
      <c r="G21" s="246" t="s">
        <v>414</v>
      </c>
      <c r="H21" s="255" t="s">
        <v>415</v>
      </c>
      <c r="I21" s="225" t="s">
        <v>24</v>
      </c>
      <c r="J21" s="225" t="s">
        <v>24</v>
      </c>
      <c r="K21" s="248" t="s">
        <v>24</v>
      </c>
      <c r="L21" s="248" t="s">
        <v>329</v>
      </c>
      <c r="M21" s="224" t="s">
        <v>24</v>
      </c>
      <c r="N21" s="107" t="s">
        <v>24</v>
      </c>
      <c r="O21" s="107" t="s">
        <v>24</v>
      </c>
      <c r="P21" s="107"/>
      <c r="Q21" s="254"/>
      <c r="R21" s="215" t="s">
        <v>24</v>
      </c>
      <c r="S21" s="225" t="s">
        <v>24</v>
      </c>
      <c r="T21" s="225" t="s">
        <v>24</v>
      </c>
      <c r="U21" s="225" t="s">
        <v>329</v>
      </c>
      <c r="V21" s="251"/>
      <c r="W21" s="377"/>
      <c r="X21" s="85"/>
      <c r="Y21" s="85"/>
      <c r="Z21" s="85"/>
      <c r="AA21" s="85"/>
      <c r="AB21" s="85"/>
      <c r="AC21" s="85"/>
    </row>
    <row r="22" spans="1:29" ht="384.75">
      <c r="A22" s="79" t="s">
        <v>349</v>
      </c>
      <c r="B22" s="243" t="s">
        <v>350</v>
      </c>
      <c r="C22" s="80" t="s">
        <v>416</v>
      </c>
      <c r="D22" s="81" t="s">
        <v>417</v>
      </c>
      <c r="E22" s="87" t="s">
        <v>325</v>
      </c>
      <c r="F22" s="87" t="s">
        <v>326</v>
      </c>
      <c r="G22" s="246" t="s">
        <v>418</v>
      </c>
      <c r="H22" s="255" t="s">
        <v>419</v>
      </c>
      <c r="I22" s="225" t="s">
        <v>24</v>
      </c>
      <c r="J22" s="245" t="s">
        <v>317</v>
      </c>
      <c r="K22" s="248" t="s">
        <v>24</v>
      </c>
      <c r="L22" s="248" t="s">
        <v>329</v>
      </c>
      <c r="M22" s="224" t="s">
        <v>24</v>
      </c>
      <c r="N22" s="107" t="s">
        <v>24</v>
      </c>
      <c r="O22" s="107" t="s">
        <v>24</v>
      </c>
      <c r="P22" s="81" t="s">
        <v>420</v>
      </c>
      <c r="Q22" s="254"/>
      <c r="R22" s="267" t="s">
        <v>24</v>
      </c>
      <c r="S22" s="107" t="s">
        <v>27</v>
      </c>
      <c r="T22" s="107" t="s">
        <v>24</v>
      </c>
      <c r="U22" s="225" t="s">
        <v>329</v>
      </c>
      <c r="V22" s="251" t="s">
        <v>421</v>
      </c>
      <c r="W22" s="377"/>
      <c r="X22" s="85"/>
      <c r="Y22" s="85"/>
      <c r="Z22" s="85"/>
      <c r="AA22" s="85"/>
      <c r="AB22" s="85"/>
      <c r="AC22" s="85"/>
    </row>
    <row r="23" spans="1:29" ht="302.25">
      <c r="A23" s="79" t="s">
        <v>349</v>
      </c>
      <c r="B23" s="243" t="s">
        <v>350</v>
      </c>
      <c r="C23" s="80" t="s">
        <v>422</v>
      </c>
      <c r="D23" s="81" t="s">
        <v>423</v>
      </c>
      <c r="E23" s="87" t="s">
        <v>325</v>
      </c>
      <c r="F23" s="87" t="s">
        <v>326</v>
      </c>
      <c r="G23" s="246" t="s">
        <v>424</v>
      </c>
      <c r="H23" s="234" t="s">
        <v>425</v>
      </c>
      <c r="I23" s="225" t="s">
        <v>24</v>
      </c>
      <c r="J23" s="225" t="s">
        <v>24</v>
      </c>
      <c r="K23" s="248" t="s">
        <v>24</v>
      </c>
      <c r="L23" s="248" t="s">
        <v>329</v>
      </c>
      <c r="M23" s="224" t="s">
        <v>24</v>
      </c>
      <c r="N23" s="107" t="s">
        <v>24</v>
      </c>
      <c r="O23" s="107" t="s">
        <v>24</v>
      </c>
      <c r="P23" s="107"/>
      <c r="Q23" s="254"/>
      <c r="R23" s="267" t="s">
        <v>24</v>
      </c>
      <c r="S23" s="107" t="s">
        <v>24</v>
      </c>
      <c r="T23" s="107" t="s">
        <v>24</v>
      </c>
      <c r="U23" s="225" t="s">
        <v>329</v>
      </c>
      <c r="V23" s="251"/>
      <c r="W23" s="377"/>
      <c r="X23" s="85"/>
      <c r="Y23" s="85"/>
      <c r="Z23" s="85"/>
      <c r="AA23" s="85"/>
      <c r="AB23" s="85"/>
      <c r="AC23" s="85"/>
    </row>
    <row r="24" spans="1:29" ht="233.25">
      <c r="A24" s="79" t="s">
        <v>349</v>
      </c>
      <c r="B24" s="243" t="s">
        <v>350</v>
      </c>
      <c r="C24" s="80" t="s">
        <v>426</v>
      </c>
      <c r="D24" s="81" t="s">
        <v>427</v>
      </c>
      <c r="E24" s="87" t="s">
        <v>325</v>
      </c>
      <c r="F24" s="87" t="s">
        <v>326</v>
      </c>
      <c r="G24" s="246" t="s">
        <v>428</v>
      </c>
      <c r="H24" s="255" t="s">
        <v>429</v>
      </c>
      <c r="I24" s="225" t="s">
        <v>24</v>
      </c>
      <c r="J24" s="225" t="s">
        <v>24</v>
      </c>
      <c r="K24" s="248" t="s">
        <v>24</v>
      </c>
      <c r="L24" s="248" t="s">
        <v>329</v>
      </c>
      <c r="M24" s="224" t="s">
        <v>24</v>
      </c>
      <c r="N24" s="107" t="s">
        <v>24</v>
      </c>
      <c r="O24" s="107" t="s">
        <v>24</v>
      </c>
      <c r="P24" s="107"/>
      <c r="Q24" s="254"/>
      <c r="R24" s="267" t="s">
        <v>24</v>
      </c>
      <c r="S24" s="107" t="s">
        <v>24</v>
      </c>
      <c r="T24" s="107" t="s">
        <v>24</v>
      </c>
      <c r="U24" s="225" t="s">
        <v>329</v>
      </c>
      <c r="V24" s="251"/>
      <c r="W24" s="377"/>
      <c r="X24" s="85"/>
      <c r="Y24" s="85"/>
      <c r="Z24" s="85"/>
      <c r="AA24" s="85"/>
      <c r="AB24" s="85"/>
      <c r="AC24" s="85"/>
    </row>
    <row r="25" spans="1:29" ht="330">
      <c r="A25" s="79" t="s">
        <v>349</v>
      </c>
      <c r="B25" s="243" t="s">
        <v>350</v>
      </c>
      <c r="C25" s="80" t="s">
        <v>430</v>
      </c>
      <c r="D25" s="81" t="s">
        <v>431</v>
      </c>
      <c r="E25" s="87" t="s">
        <v>325</v>
      </c>
      <c r="F25" s="87" t="s">
        <v>326</v>
      </c>
      <c r="G25" s="246" t="s">
        <v>432</v>
      </c>
      <c r="H25" s="255" t="s">
        <v>433</v>
      </c>
      <c r="I25" s="225" t="s">
        <v>24</v>
      </c>
      <c r="J25" s="225" t="s">
        <v>24</v>
      </c>
      <c r="K25" s="248" t="s">
        <v>24</v>
      </c>
      <c r="L25" s="248" t="s">
        <v>329</v>
      </c>
      <c r="M25" s="224" t="s">
        <v>24</v>
      </c>
      <c r="N25" s="107" t="s">
        <v>24</v>
      </c>
      <c r="O25" s="107" t="s">
        <v>24</v>
      </c>
      <c r="P25" s="107"/>
      <c r="Q25" s="254"/>
      <c r="R25" s="267" t="s">
        <v>24</v>
      </c>
      <c r="S25" s="107" t="s">
        <v>24</v>
      </c>
      <c r="T25" s="107" t="s">
        <v>24</v>
      </c>
      <c r="U25" s="225" t="s">
        <v>329</v>
      </c>
      <c r="V25" s="251"/>
      <c r="W25" s="377"/>
      <c r="X25" s="85"/>
      <c r="Y25" s="85"/>
      <c r="Z25" s="85"/>
      <c r="AA25" s="85"/>
      <c r="AB25" s="85"/>
      <c r="AC25" s="85"/>
    </row>
    <row r="26" spans="1:29" ht="330">
      <c r="A26" s="79" t="s">
        <v>349</v>
      </c>
      <c r="B26" s="243" t="s">
        <v>350</v>
      </c>
      <c r="C26" s="80" t="s">
        <v>434</v>
      </c>
      <c r="D26" s="81" t="s">
        <v>435</v>
      </c>
      <c r="E26" s="87" t="s">
        <v>325</v>
      </c>
      <c r="F26" s="87" t="s">
        <v>326</v>
      </c>
      <c r="G26" s="246" t="s">
        <v>436</v>
      </c>
      <c r="H26" s="255" t="s">
        <v>437</v>
      </c>
      <c r="I26" s="225" t="s">
        <v>24</v>
      </c>
      <c r="J26" s="225" t="s">
        <v>24</v>
      </c>
      <c r="K26" s="248" t="s">
        <v>24</v>
      </c>
      <c r="L26" s="248" t="s">
        <v>329</v>
      </c>
      <c r="M26" s="224" t="s">
        <v>24</v>
      </c>
      <c r="N26" s="107" t="s">
        <v>24</v>
      </c>
      <c r="O26" s="107" t="s">
        <v>24</v>
      </c>
      <c r="P26" s="107"/>
      <c r="Q26" s="254"/>
      <c r="R26" s="267" t="s">
        <v>24</v>
      </c>
      <c r="S26" s="107" t="s">
        <v>24</v>
      </c>
      <c r="T26" s="107" t="s">
        <v>24</v>
      </c>
      <c r="U26" s="225" t="s">
        <v>329</v>
      </c>
      <c r="V26" s="251"/>
      <c r="W26" s="377"/>
      <c r="X26" s="85"/>
      <c r="Y26" s="85"/>
      <c r="Z26" s="85"/>
      <c r="AA26" s="85"/>
      <c r="AB26" s="85"/>
      <c r="AC26" s="85"/>
    </row>
    <row r="27" spans="1:29" ht="302.25">
      <c r="A27" s="79" t="s">
        <v>349</v>
      </c>
      <c r="B27" s="243" t="s">
        <v>350</v>
      </c>
      <c r="C27" s="80" t="s">
        <v>438</v>
      </c>
      <c r="D27" s="81" t="s">
        <v>439</v>
      </c>
      <c r="E27" s="87" t="s">
        <v>325</v>
      </c>
      <c r="F27" s="87" t="s">
        <v>326</v>
      </c>
      <c r="G27" s="246" t="s">
        <v>440</v>
      </c>
      <c r="H27" s="255" t="s">
        <v>441</v>
      </c>
      <c r="I27" s="225" t="s">
        <v>24</v>
      </c>
      <c r="J27" s="225" t="s">
        <v>24</v>
      </c>
      <c r="K27" s="248" t="s">
        <v>24</v>
      </c>
      <c r="L27" s="248" t="s">
        <v>329</v>
      </c>
      <c r="M27" s="224" t="s">
        <v>24</v>
      </c>
      <c r="N27" s="107" t="s">
        <v>24</v>
      </c>
      <c r="O27" s="107" t="s">
        <v>24</v>
      </c>
      <c r="P27" s="107"/>
      <c r="Q27" s="254"/>
      <c r="R27" s="267" t="s">
        <v>24</v>
      </c>
      <c r="S27" s="107" t="s">
        <v>24</v>
      </c>
      <c r="T27" s="107" t="s">
        <v>24</v>
      </c>
      <c r="U27" s="225" t="s">
        <v>329</v>
      </c>
      <c r="V27" s="251"/>
      <c r="W27" s="377"/>
      <c r="X27" s="85"/>
      <c r="Y27" s="85"/>
      <c r="Z27" s="85"/>
      <c r="AA27" s="85"/>
      <c r="AB27" s="85"/>
      <c r="AC27" s="85"/>
    </row>
    <row r="28" spans="1:29" ht="409.6">
      <c r="A28" s="79" t="s">
        <v>349</v>
      </c>
      <c r="B28" s="243" t="s">
        <v>350</v>
      </c>
      <c r="C28" s="80" t="s">
        <v>442</v>
      </c>
      <c r="D28" s="81" t="s">
        <v>443</v>
      </c>
      <c r="E28" s="87" t="s">
        <v>325</v>
      </c>
      <c r="F28" s="87" t="s">
        <v>326</v>
      </c>
      <c r="G28" s="246" t="s">
        <v>444</v>
      </c>
      <c r="H28" s="255" t="s">
        <v>445</v>
      </c>
      <c r="I28" s="225" t="s">
        <v>24</v>
      </c>
      <c r="J28" s="225" t="s">
        <v>337</v>
      </c>
      <c r="K28" s="248" t="s">
        <v>24</v>
      </c>
      <c r="L28" s="248" t="s">
        <v>329</v>
      </c>
      <c r="M28" s="224" t="s">
        <v>24</v>
      </c>
      <c r="N28" s="104" t="s">
        <v>25</v>
      </c>
      <c r="O28" s="107" t="s">
        <v>24</v>
      </c>
      <c r="P28" s="81" t="s">
        <v>446</v>
      </c>
      <c r="Q28" s="268" t="s">
        <v>447</v>
      </c>
      <c r="R28" s="225" t="s">
        <v>24</v>
      </c>
      <c r="S28" s="245" t="s">
        <v>25</v>
      </c>
      <c r="T28" s="107" t="s">
        <v>24</v>
      </c>
      <c r="U28" s="225"/>
      <c r="V28" s="251" t="s">
        <v>448</v>
      </c>
      <c r="W28" s="377"/>
      <c r="X28" s="85"/>
      <c r="Y28" s="85"/>
      <c r="Z28" s="85"/>
      <c r="AA28" s="85"/>
      <c r="AB28" s="85"/>
      <c r="AC28" s="85"/>
    </row>
    <row r="29" spans="1:29" ht="409.6">
      <c r="A29" s="79" t="s">
        <v>349</v>
      </c>
      <c r="B29" s="243" t="s">
        <v>350</v>
      </c>
      <c r="C29" s="80" t="s">
        <v>449</v>
      </c>
      <c r="D29" s="81" t="s">
        <v>450</v>
      </c>
      <c r="E29" s="87" t="s">
        <v>325</v>
      </c>
      <c r="F29" s="87" t="s">
        <v>326</v>
      </c>
      <c r="G29" s="259" t="s">
        <v>451</v>
      </c>
      <c r="H29" s="264" t="s">
        <v>381</v>
      </c>
      <c r="I29" s="245" t="s">
        <v>337</v>
      </c>
      <c r="J29" s="245" t="s">
        <v>337</v>
      </c>
      <c r="K29" s="257" t="s">
        <v>337</v>
      </c>
      <c r="L29" s="248" t="s">
        <v>329</v>
      </c>
      <c r="M29" s="224" t="s">
        <v>27</v>
      </c>
      <c r="N29" s="107" t="s">
        <v>27</v>
      </c>
      <c r="O29" s="107" t="s">
        <v>27</v>
      </c>
      <c r="P29" s="81" t="s">
        <v>452</v>
      </c>
      <c r="Q29" s="254" t="s">
        <v>364</v>
      </c>
      <c r="R29" s="224" t="s">
        <v>27</v>
      </c>
      <c r="S29" s="107" t="s">
        <v>27</v>
      </c>
      <c r="T29" s="107" t="s">
        <v>27</v>
      </c>
      <c r="U29" s="225" t="s">
        <v>341</v>
      </c>
      <c r="V29" s="251" t="s">
        <v>453</v>
      </c>
      <c r="W29" s="377"/>
      <c r="X29" s="85"/>
      <c r="Y29" s="85"/>
      <c r="Z29" s="85"/>
      <c r="AA29" s="85"/>
      <c r="AB29" s="85"/>
      <c r="AC29" s="85"/>
    </row>
    <row r="30" spans="1:29" ht="37.5">
      <c r="A30" s="79" t="s">
        <v>349</v>
      </c>
      <c r="B30" s="243" t="s">
        <v>350</v>
      </c>
      <c r="C30" s="80" t="s">
        <v>454</v>
      </c>
      <c r="D30" s="86" t="s">
        <v>455</v>
      </c>
      <c r="E30" s="87" t="s">
        <v>325</v>
      </c>
      <c r="F30" s="87" t="s">
        <v>326</v>
      </c>
      <c r="G30" s="246" t="s">
        <v>456</v>
      </c>
      <c r="H30" s="264" t="s">
        <v>381</v>
      </c>
      <c r="I30" s="245" t="s">
        <v>337</v>
      </c>
      <c r="J30" s="245" t="s">
        <v>337</v>
      </c>
      <c r="K30" s="257" t="s">
        <v>337</v>
      </c>
      <c r="L30" s="248" t="s">
        <v>329</v>
      </c>
      <c r="M30" s="224" t="s">
        <v>27</v>
      </c>
      <c r="N30" s="107" t="s">
        <v>27</v>
      </c>
      <c r="O30" s="107" t="s">
        <v>27</v>
      </c>
      <c r="P30" s="81" t="s">
        <v>457</v>
      </c>
      <c r="Q30" s="268" t="s">
        <v>458</v>
      </c>
      <c r="R30" s="224" t="s">
        <v>27</v>
      </c>
      <c r="S30" s="107" t="s">
        <v>27</v>
      </c>
      <c r="T30" s="107" t="s">
        <v>27</v>
      </c>
      <c r="U30" s="225" t="s">
        <v>341</v>
      </c>
      <c r="V30" s="251" t="s">
        <v>459</v>
      </c>
      <c r="W30" s="377"/>
      <c r="X30" s="85"/>
      <c r="Y30" s="85"/>
      <c r="Z30" s="85"/>
      <c r="AA30" s="85"/>
      <c r="AB30" s="85"/>
      <c r="AC30" s="85"/>
    </row>
    <row r="31" spans="1:29" ht="409.6">
      <c r="A31" s="79" t="s">
        <v>349</v>
      </c>
      <c r="B31" s="243" t="s">
        <v>350</v>
      </c>
      <c r="C31" s="80" t="s">
        <v>460</v>
      </c>
      <c r="D31" s="86" t="s">
        <v>461</v>
      </c>
      <c r="E31" s="87" t="s">
        <v>325</v>
      </c>
      <c r="F31" s="87" t="s">
        <v>326</v>
      </c>
      <c r="G31" s="246" t="s">
        <v>462</v>
      </c>
      <c r="H31" s="255" t="s">
        <v>463</v>
      </c>
      <c r="I31" s="245" t="s">
        <v>337</v>
      </c>
      <c r="J31" s="245" t="s">
        <v>337</v>
      </c>
      <c r="K31" s="257" t="s">
        <v>337</v>
      </c>
      <c r="L31" s="248" t="s">
        <v>329</v>
      </c>
      <c r="M31" s="224" t="s">
        <v>27</v>
      </c>
      <c r="N31" s="107" t="s">
        <v>27</v>
      </c>
      <c r="O31" s="107" t="s">
        <v>27</v>
      </c>
      <c r="P31" s="81" t="s">
        <v>457</v>
      </c>
      <c r="Q31" s="268" t="s">
        <v>458</v>
      </c>
      <c r="R31" s="224" t="s">
        <v>27</v>
      </c>
      <c r="S31" s="107" t="s">
        <v>27</v>
      </c>
      <c r="T31" s="107" t="s">
        <v>27</v>
      </c>
      <c r="U31" s="225" t="s">
        <v>341</v>
      </c>
      <c r="V31" s="251" t="s">
        <v>464</v>
      </c>
      <c r="W31" s="377"/>
      <c r="X31" s="85"/>
      <c r="Y31" s="85"/>
      <c r="Z31" s="85"/>
      <c r="AA31" s="85"/>
      <c r="AB31" s="85"/>
      <c r="AC31" s="85"/>
    </row>
    <row r="32" spans="1:29" ht="409.6">
      <c r="A32" s="79" t="s">
        <v>349</v>
      </c>
      <c r="B32" s="243" t="s">
        <v>350</v>
      </c>
      <c r="C32" s="80" t="s">
        <v>465</v>
      </c>
      <c r="D32" s="86" t="s">
        <v>466</v>
      </c>
      <c r="E32" s="87" t="s">
        <v>325</v>
      </c>
      <c r="F32" s="87" t="s">
        <v>326</v>
      </c>
      <c r="G32" s="246" t="s">
        <v>467</v>
      </c>
      <c r="H32" s="264" t="s">
        <v>381</v>
      </c>
      <c r="I32" s="245" t="s">
        <v>337</v>
      </c>
      <c r="J32" s="245" t="s">
        <v>337</v>
      </c>
      <c r="K32" s="257" t="s">
        <v>337</v>
      </c>
      <c r="L32" s="248" t="s">
        <v>329</v>
      </c>
      <c r="M32" s="224" t="s">
        <v>27</v>
      </c>
      <c r="N32" s="107" t="s">
        <v>27</v>
      </c>
      <c r="O32" s="107" t="s">
        <v>27</v>
      </c>
      <c r="P32" s="81" t="s">
        <v>457</v>
      </c>
      <c r="Q32" s="268" t="s">
        <v>458</v>
      </c>
      <c r="R32" s="224" t="s">
        <v>27</v>
      </c>
      <c r="S32" s="107" t="s">
        <v>27</v>
      </c>
      <c r="T32" s="107" t="s">
        <v>27</v>
      </c>
      <c r="U32" s="225" t="s">
        <v>341</v>
      </c>
      <c r="V32" s="251" t="s">
        <v>464</v>
      </c>
      <c r="W32" s="377"/>
      <c r="X32" s="85"/>
      <c r="Y32" s="85"/>
      <c r="Z32" s="85"/>
      <c r="AA32" s="85"/>
      <c r="AB32" s="85"/>
      <c r="AC32" s="85"/>
    </row>
    <row r="33" spans="1:29" ht="409.6">
      <c r="A33" s="79" t="s">
        <v>349</v>
      </c>
      <c r="B33" s="243" t="s">
        <v>350</v>
      </c>
      <c r="C33" s="80" t="s">
        <v>468</v>
      </c>
      <c r="D33" s="86" t="s">
        <v>469</v>
      </c>
      <c r="E33" s="87" t="s">
        <v>325</v>
      </c>
      <c r="F33" s="87" t="s">
        <v>326</v>
      </c>
      <c r="G33" s="246" t="s">
        <v>470</v>
      </c>
      <c r="H33" s="264" t="s">
        <v>381</v>
      </c>
      <c r="I33" s="269" t="s">
        <v>337</v>
      </c>
      <c r="J33" s="269" t="s">
        <v>337</v>
      </c>
      <c r="K33" s="270" t="s">
        <v>337</v>
      </c>
      <c r="L33" s="248" t="s">
        <v>329</v>
      </c>
      <c r="M33" s="224" t="s">
        <v>27</v>
      </c>
      <c r="N33" s="107" t="s">
        <v>27</v>
      </c>
      <c r="O33" s="107" t="s">
        <v>27</v>
      </c>
      <c r="P33" s="81" t="s">
        <v>457</v>
      </c>
      <c r="Q33" s="268" t="s">
        <v>458</v>
      </c>
      <c r="R33" s="224" t="s">
        <v>27</v>
      </c>
      <c r="S33" s="107" t="s">
        <v>27</v>
      </c>
      <c r="T33" s="107" t="s">
        <v>27</v>
      </c>
      <c r="U33" s="225" t="s">
        <v>341</v>
      </c>
      <c r="V33" s="251" t="s">
        <v>471</v>
      </c>
      <c r="W33" s="377"/>
      <c r="X33" s="85"/>
      <c r="Y33" s="85"/>
      <c r="Z33" s="85"/>
      <c r="AA33" s="85"/>
      <c r="AB33" s="85"/>
      <c r="AC33" s="85"/>
    </row>
    <row r="34" spans="1:29" ht="409.6">
      <c r="A34" s="79" t="s">
        <v>349</v>
      </c>
      <c r="B34" s="243" t="s">
        <v>350</v>
      </c>
      <c r="C34" s="80" t="s">
        <v>472</v>
      </c>
      <c r="D34" s="86" t="s">
        <v>473</v>
      </c>
      <c r="E34" s="87" t="s">
        <v>325</v>
      </c>
      <c r="F34" s="87" t="s">
        <v>326</v>
      </c>
      <c r="G34" s="246" t="s">
        <v>474</v>
      </c>
      <c r="H34" s="255" t="s">
        <v>475</v>
      </c>
      <c r="I34" s="271" t="s">
        <v>337</v>
      </c>
      <c r="J34" s="271" t="s">
        <v>337</v>
      </c>
      <c r="K34" s="271" t="s">
        <v>337</v>
      </c>
      <c r="L34" s="248" t="s">
        <v>329</v>
      </c>
      <c r="M34" s="224" t="s">
        <v>24</v>
      </c>
      <c r="N34" s="107" t="s">
        <v>24</v>
      </c>
      <c r="O34" s="107" t="s">
        <v>24</v>
      </c>
      <c r="P34" s="272" t="s">
        <v>476</v>
      </c>
      <c r="Q34" s="273" t="s">
        <v>477</v>
      </c>
      <c r="R34" s="228" t="s">
        <v>24</v>
      </c>
      <c r="S34" s="274" t="s">
        <v>24</v>
      </c>
      <c r="T34" s="274" t="s">
        <v>24</v>
      </c>
      <c r="U34" s="225" t="s">
        <v>329</v>
      </c>
      <c r="V34" s="251" t="s">
        <v>478</v>
      </c>
      <c r="W34" s="377"/>
      <c r="X34" s="85"/>
      <c r="Y34" s="85"/>
      <c r="Z34" s="85"/>
      <c r="AA34" s="85"/>
      <c r="AB34" s="85"/>
      <c r="AC34" s="85"/>
    </row>
    <row r="35" spans="1:29" ht="409.6">
      <c r="A35" s="79" t="s">
        <v>349</v>
      </c>
      <c r="B35" s="243" t="s">
        <v>350</v>
      </c>
      <c r="C35" s="80" t="s">
        <v>479</v>
      </c>
      <c r="D35" s="86" t="s">
        <v>480</v>
      </c>
      <c r="E35" s="87" t="s">
        <v>325</v>
      </c>
      <c r="F35" s="87" t="s">
        <v>326</v>
      </c>
      <c r="G35" s="246" t="s">
        <v>481</v>
      </c>
      <c r="H35" s="255" t="s">
        <v>463</v>
      </c>
      <c r="I35" s="225" t="s">
        <v>24</v>
      </c>
      <c r="J35" s="225" t="s">
        <v>24</v>
      </c>
      <c r="K35" s="248" t="s">
        <v>24</v>
      </c>
      <c r="L35" s="248" t="s">
        <v>482</v>
      </c>
      <c r="M35" s="224" t="s">
        <v>24</v>
      </c>
      <c r="N35" s="107" t="s">
        <v>24</v>
      </c>
      <c r="O35" s="275" t="s">
        <v>24</v>
      </c>
      <c r="P35" s="225"/>
      <c r="Q35" s="107"/>
      <c r="R35" s="225" t="s">
        <v>24</v>
      </c>
      <c r="S35" s="225" t="s">
        <v>24</v>
      </c>
      <c r="T35" s="225" t="s">
        <v>24</v>
      </c>
      <c r="U35" s="215" t="s">
        <v>483</v>
      </c>
      <c r="V35" s="251"/>
      <c r="W35" s="377"/>
      <c r="X35" s="85"/>
      <c r="Y35" s="85"/>
      <c r="Z35" s="85"/>
      <c r="AA35" s="85"/>
      <c r="AB35" s="85"/>
      <c r="AC35" s="85"/>
    </row>
    <row r="36" spans="1:29" ht="409.6">
      <c r="A36" s="79" t="s">
        <v>349</v>
      </c>
      <c r="B36" s="243" t="s">
        <v>350</v>
      </c>
      <c r="C36" s="80" t="s">
        <v>484</v>
      </c>
      <c r="D36" s="86" t="s">
        <v>485</v>
      </c>
      <c r="E36" s="87" t="s">
        <v>325</v>
      </c>
      <c r="F36" s="87" t="s">
        <v>326</v>
      </c>
      <c r="G36" s="246" t="s">
        <v>486</v>
      </c>
      <c r="H36" s="234" t="s">
        <v>487</v>
      </c>
      <c r="I36" s="269" t="s">
        <v>337</v>
      </c>
      <c r="J36" s="269" t="s">
        <v>337</v>
      </c>
      <c r="K36" s="270" t="s">
        <v>337</v>
      </c>
      <c r="L36" s="248" t="s">
        <v>329</v>
      </c>
      <c r="M36" s="261" t="s">
        <v>25</v>
      </c>
      <c r="N36" s="104" t="s">
        <v>25</v>
      </c>
      <c r="O36" s="104" t="s">
        <v>25</v>
      </c>
      <c r="P36" s="276" t="s">
        <v>457</v>
      </c>
      <c r="Q36" s="277" t="s">
        <v>458</v>
      </c>
      <c r="R36" s="278" t="s">
        <v>27</v>
      </c>
      <c r="S36" s="279" t="s">
        <v>27</v>
      </c>
      <c r="T36" s="279" t="s">
        <v>27</v>
      </c>
      <c r="U36" s="225" t="s">
        <v>341</v>
      </c>
      <c r="V36" s="251" t="s">
        <v>488</v>
      </c>
      <c r="W36" s="377"/>
      <c r="X36" s="87"/>
      <c r="Y36" s="87"/>
      <c r="Z36" s="87" t="s">
        <v>377</v>
      </c>
      <c r="AA36" s="87"/>
      <c r="AB36" s="87"/>
      <c r="AC36" s="87"/>
    </row>
    <row r="37" spans="1:29" s="54" customFormat="1" ht="409.6">
      <c r="A37" s="35" t="s">
        <v>349</v>
      </c>
      <c r="B37" s="387" t="s">
        <v>350</v>
      </c>
      <c r="C37" s="388" t="s">
        <v>489</v>
      </c>
      <c r="D37" s="389" t="s">
        <v>490</v>
      </c>
      <c r="E37" s="87" t="s">
        <v>325</v>
      </c>
      <c r="F37" s="87" t="s">
        <v>326</v>
      </c>
      <c r="G37" s="62" t="s">
        <v>491</v>
      </c>
      <c r="H37" s="390" t="s">
        <v>492</v>
      </c>
      <c r="I37" s="245" t="s">
        <v>337</v>
      </c>
      <c r="J37" s="245" t="s">
        <v>337</v>
      </c>
      <c r="K37" s="257" t="s">
        <v>337</v>
      </c>
      <c r="L37" s="248" t="s">
        <v>329</v>
      </c>
      <c r="M37" s="397" t="s">
        <v>24</v>
      </c>
      <c r="N37" s="77" t="s">
        <v>24</v>
      </c>
      <c r="O37" s="77" t="s">
        <v>24</v>
      </c>
      <c r="P37" s="389" t="s">
        <v>476</v>
      </c>
      <c r="Q37" s="398" t="s">
        <v>477</v>
      </c>
      <c r="R37" s="43" t="s">
        <v>25</v>
      </c>
      <c r="S37" s="43" t="s">
        <v>25</v>
      </c>
      <c r="T37" s="279" t="s">
        <v>25</v>
      </c>
      <c r="U37" s="76" t="s">
        <v>329</v>
      </c>
      <c r="V37" s="416" t="s">
        <v>493</v>
      </c>
      <c r="W37" s="410" t="s">
        <v>494</v>
      </c>
      <c r="X37" s="73"/>
      <c r="Y37" s="73"/>
      <c r="Z37" s="73"/>
      <c r="AA37" s="73" t="s">
        <v>377</v>
      </c>
      <c r="AB37" s="73"/>
      <c r="AC37" s="73"/>
    </row>
    <row r="38" spans="1:29" ht="409.6">
      <c r="A38" s="79" t="s">
        <v>349</v>
      </c>
      <c r="B38" s="243" t="s">
        <v>350</v>
      </c>
      <c r="C38" s="80" t="s">
        <v>495</v>
      </c>
      <c r="D38" s="86" t="s">
        <v>496</v>
      </c>
      <c r="E38" s="87" t="s">
        <v>325</v>
      </c>
      <c r="F38" s="87" t="s">
        <v>326</v>
      </c>
      <c r="G38" s="246" t="s">
        <v>497</v>
      </c>
      <c r="H38" s="234" t="s">
        <v>498</v>
      </c>
      <c r="I38" s="269" t="s">
        <v>337</v>
      </c>
      <c r="J38" s="269" t="s">
        <v>337</v>
      </c>
      <c r="K38" s="270" t="s">
        <v>337</v>
      </c>
      <c r="L38" s="248" t="s">
        <v>329</v>
      </c>
      <c r="M38" s="261" t="s">
        <v>25</v>
      </c>
      <c r="N38" s="104" t="s">
        <v>25</v>
      </c>
      <c r="O38" s="104" t="s">
        <v>25</v>
      </c>
      <c r="P38" s="272" t="s">
        <v>499</v>
      </c>
      <c r="Q38" s="280" t="s">
        <v>500</v>
      </c>
      <c r="R38" s="224" t="s">
        <v>27</v>
      </c>
      <c r="S38" s="107" t="s">
        <v>27</v>
      </c>
      <c r="T38" s="107" t="s">
        <v>27</v>
      </c>
      <c r="U38" s="225" t="s">
        <v>341</v>
      </c>
      <c r="V38" s="251" t="s">
        <v>501</v>
      </c>
      <c r="W38" s="377"/>
      <c r="X38" s="87"/>
      <c r="Y38" s="87"/>
      <c r="Z38" s="87" t="s">
        <v>377</v>
      </c>
      <c r="AA38" s="87"/>
      <c r="AB38" s="87"/>
      <c r="AC38" s="87"/>
    </row>
    <row r="39" spans="1:29" ht="409.6">
      <c r="A39" s="79" t="s">
        <v>349</v>
      </c>
      <c r="B39" s="243" t="s">
        <v>350</v>
      </c>
      <c r="C39" s="80" t="s">
        <v>502</v>
      </c>
      <c r="D39" s="81" t="s">
        <v>503</v>
      </c>
      <c r="E39" s="87" t="s">
        <v>325</v>
      </c>
      <c r="F39" s="87" t="s">
        <v>326</v>
      </c>
      <c r="G39" s="246" t="s">
        <v>504</v>
      </c>
      <c r="H39" s="234" t="s">
        <v>505</v>
      </c>
      <c r="I39" s="225" t="s">
        <v>24</v>
      </c>
      <c r="J39" s="225" t="s">
        <v>24</v>
      </c>
      <c r="K39" s="248" t="s">
        <v>24</v>
      </c>
      <c r="L39" s="248" t="s">
        <v>329</v>
      </c>
      <c r="M39" s="224" t="s">
        <v>24</v>
      </c>
      <c r="N39" s="107" t="s">
        <v>24</v>
      </c>
      <c r="O39" s="275" t="s">
        <v>24</v>
      </c>
      <c r="P39" s="107"/>
      <c r="Q39" s="254"/>
      <c r="R39" s="282" t="s">
        <v>24</v>
      </c>
      <c r="S39" s="279" t="s">
        <v>24</v>
      </c>
      <c r="T39" s="409" t="s">
        <v>24</v>
      </c>
      <c r="U39" s="215" t="s">
        <v>329</v>
      </c>
      <c r="V39" s="251" t="s">
        <v>506</v>
      </c>
      <c r="W39" s="377"/>
      <c r="X39" s="85"/>
      <c r="Y39" s="85"/>
      <c r="Z39" s="85"/>
      <c r="AA39" s="85"/>
      <c r="AB39" s="85"/>
      <c r="AC39" s="85"/>
    </row>
    <row r="40" spans="1:29" ht="409.6">
      <c r="A40" s="79" t="s">
        <v>349</v>
      </c>
      <c r="B40" s="243" t="s">
        <v>350</v>
      </c>
      <c r="C40" s="80" t="s">
        <v>507</v>
      </c>
      <c r="D40" s="86" t="s">
        <v>508</v>
      </c>
      <c r="E40" s="87" t="s">
        <v>325</v>
      </c>
      <c r="F40" s="87" t="s">
        <v>326</v>
      </c>
      <c r="G40" s="246" t="s">
        <v>509</v>
      </c>
      <c r="H40" s="234" t="s">
        <v>510</v>
      </c>
      <c r="I40" s="271" t="s">
        <v>337</v>
      </c>
      <c r="J40" s="271" t="s">
        <v>337</v>
      </c>
      <c r="K40" s="271" t="s">
        <v>337</v>
      </c>
      <c r="L40" s="248" t="s">
        <v>329</v>
      </c>
      <c r="M40" s="104" t="s">
        <v>25</v>
      </c>
      <c r="N40" s="104" t="s">
        <v>25</v>
      </c>
      <c r="O40" s="104" t="s">
        <v>25</v>
      </c>
      <c r="P40" s="276" t="s">
        <v>511</v>
      </c>
      <c r="Q40" s="277" t="s">
        <v>500</v>
      </c>
      <c r="R40" s="278" t="s">
        <v>27</v>
      </c>
      <c r="S40" s="279" t="s">
        <v>27</v>
      </c>
      <c r="T40" s="279" t="s">
        <v>27</v>
      </c>
      <c r="U40" s="225" t="s">
        <v>341</v>
      </c>
      <c r="V40" s="251" t="s">
        <v>512</v>
      </c>
      <c r="W40" s="377"/>
      <c r="X40" s="87"/>
      <c r="Y40" s="87"/>
      <c r="Z40" s="87" t="s">
        <v>377</v>
      </c>
      <c r="AA40" s="87"/>
      <c r="AB40" s="87"/>
      <c r="AC40" s="87"/>
    </row>
    <row r="41" spans="1:29" ht="409.6">
      <c r="A41" s="79" t="s">
        <v>349</v>
      </c>
      <c r="B41" s="243" t="s">
        <v>350</v>
      </c>
      <c r="C41" s="80" t="s">
        <v>513</v>
      </c>
      <c r="D41" s="81" t="s">
        <v>514</v>
      </c>
      <c r="E41" s="87" t="s">
        <v>325</v>
      </c>
      <c r="F41" s="87" t="s">
        <v>326</v>
      </c>
      <c r="G41" s="246" t="s">
        <v>515</v>
      </c>
      <c r="H41" s="234" t="s">
        <v>516</v>
      </c>
      <c r="I41" s="225" t="s">
        <v>24</v>
      </c>
      <c r="J41" s="225" t="s">
        <v>24</v>
      </c>
      <c r="K41" s="248" t="s">
        <v>24</v>
      </c>
      <c r="L41" s="248" t="s">
        <v>329</v>
      </c>
      <c r="M41" s="224" t="s">
        <v>24</v>
      </c>
      <c r="N41" s="107" t="s">
        <v>24</v>
      </c>
      <c r="O41" s="107" t="s">
        <v>24</v>
      </c>
      <c r="P41" s="225"/>
      <c r="Q41" s="250"/>
      <c r="R41" s="267" t="s">
        <v>24</v>
      </c>
      <c r="S41" s="107" t="s">
        <v>24</v>
      </c>
      <c r="T41" s="107" t="s">
        <v>24</v>
      </c>
      <c r="U41" s="225" t="s">
        <v>329</v>
      </c>
      <c r="V41" s="251"/>
      <c r="W41" s="377"/>
      <c r="X41" s="85"/>
      <c r="Y41" s="85"/>
      <c r="Z41" s="85"/>
      <c r="AA41" s="85"/>
      <c r="AB41" s="85"/>
      <c r="AC41" s="85"/>
    </row>
    <row r="42" spans="1:29" ht="409.6">
      <c r="A42" s="79" t="s">
        <v>349</v>
      </c>
      <c r="B42" s="243" t="s">
        <v>350</v>
      </c>
      <c r="C42" s="80" t="s">
        <v>517</v>
      </c>
      <c r="D42" s="86" t="s">
        <v>518</v>
      </c>
      <c r="E42" s="87" t="s">
        <v>325</v>
      </c>
      <c r="F42" s="87" t="s">
        <v>326</v>
      </c>
      <c r="G42" s="246" t="s">
        <v>519</v>
      </c>
      <c r="H42" s="234" t="s">
        <v>520</v>
      </c>
      <c r="I42" s="245" t="s">
        <v>337</v>
      </c>
      <c r="J42" s="245" t="s">
        <v>337</v>
      </c>
      <c r="K42" s="257" t="s">
        <v>337</v>
      </c>
      <c r="L42" s="248" t="s">
        <v>329</v>
      </c>
      <c r="M42" s="261" t="s">
        <v>25</v>
      </c>
      <c r="N42" s="104" t="s">
        <v>25</v>
      </c>
      <c r="O42" s="104" t="s">
        <v>25</v>
      </c>
      <c r="P42" s="81" t="s">
        <v>511</v>
      </c>
      <c r="Q42" s="268" t="s">
        <v>500</v>
      </c>
      <c r="R42" s="224" t="s">
        <v>27</v>
      </c>
      <c r="S42" s="107" t="s">
        <v>27</v>
      </c>
      <c r="T42" s="107" t="s">
        <v>27</v>
      </c>
      <c r="U42" s="225" t="s">
        <v>341</v>
      </c>
      <c r="V42" s="251" t="s">
        <v>521</v>
      </c>
      <c r="W42" s="377"/>
      <c r="X42" s="87"/>
      <c r="Y42" s="87"/>
      <c r="Z42" s="87" t="s">
        <v>377</v>
      </c>
      <c r="AA42" s="87"/>
      <c r="AB42" s="87"/>
      <c r="AC42" s="87"/>
    </row>
    <row r="43" spans="1:29" ht="409.6">
      <c r="A43" s="79" t="s">
        <v>349</v>
      </c>
      <c r="B43" s="243" t="s">
        <v>350</v>
      </c>
      <c r="C43" s="80" t="s">
        <v>522</v>
      </c>
      <c r="D43" s="81" t="s">
        <v>523</v>
      </c>
      <c r="E43" s="87" t="s">
        <v>325</v>
      </c>
      <c r="F43" s="87" t="s">
        <v>326</v>
      </c>
      <c r="G43" s="246" t="s">
        <v>524</v>
      </c>
      <c r="H43" s="234" t="s">
        <v>525</v>
      </c>
      <c r="I43" s="225" t="s">
        <v>24</v>
      </c>
      <c r="J43" s="225" t="s">
        <v>24</v>
      </c>
      <c r="K43" s="248" t="s">
        <v>24</v>
      </c>
      <c r="L43" s="248" t="s">
        <v>329</v>
      </c>
      <c r="M43" s="224" t="s">
        <v>24</v>
      </c>
      <c r="N43" s="107" t="s">
        <v>24</v>
      </c>
      <c r="O43" s="107" t="s">
        <v>24</v>
      </c>
      <c r="P43" s="107"/>
      <c r="Q43" s="254"/>
      <c r="R43" s="267" t="s">
        <v>24</v>
      </c>
      <c r="S43" s="107" t="s">
        <v>24</v>
      </c>
      <c r="T43" s="107" t="s">
        <v>24</v>
      </c>
      <c r="U43" s="225" t="s">
        <v>329</v>
      </c>
      <c r="V43" s="251"/>
      <c r="W43" s="377"/>
      <c r="X43" s="85"/>
      <c r="Y43" s="85"/>
      <c r="Z43" s="85"/>
      <c r="AA43" s="85"/>
      <c r="AB43" s="85"/>
      <c r="AC43" s="85"/>
    </row>
    <row r="44" spans="1:29" ht="409.6">
      <c r="A44" s="79" t="s">
        <v>349</v>
      </c>
      <c r="B44" s="243" t="s">
        <v>350</v>
      </c>
      <c r="C44" s="80" t="s">
        <v>526</v>
      </c>
      <c r="D44" s="81" t="s">
        <v>527</v>
      </c>
      <c r="E44" s="87" t="s">
        <v>325</v>
      </c>
      <c r="F44" s="87" t="s">
        <v>326</v>
      </c>
      <c r="G44" s="246" t="s">
        <v>528</v>
      </c>
      <c r="H44" s="256"/>
      <c r="I44" s="245" t="s">
        <v>337</v>
      </c>
      <c r="J44" s="245" t="s">
        <v>337</v>
      </c>
      <c r="K44" s="257" t="s">
        <v>337</v>
      </c>
      <c r="L44" s="248" t="s">
        <v>329</v>
      </c>
      <c r="M44" s="283" t="s">
        <v>24</v>
      </c>
      <c r="N44" s="106" t="s">
        <v>24</v>
      </c>
      <c r="O44" s="106" t="s">
        <v>24</v>
      </c>
      <c r="P44" s="81" t="s">
        <v>476</v>
      </c>
      <c r="Q44" s="254" t="s">
        <v>477</v>
      </c>
      <c r="R44" s="267" t="s">
        <v>24</v>
      </c>
      <c r="S44" s="107" t="s">
        <v>24</v>
      </c>
      <c r="T44" s="107" t="s">
        <v>24</v>
      </c>
      <c r="U44" s="225" t="s">
        <v>329</v>
      </c>
      <c r="V44" s="284" t="s">
        <v>529</v>
      </c>
      <c r="W44" s="377"/>
      <c r="X44" s="85"/>
      <c r="Y44" s="85"/>
      <c r="Z44" s="85"/>
      <c r="AA44" s="85"/>
      <c r="AB44" s="85"/>
      <c r="AC44" s="85"/>
    </row>
    <row r="45" spans="1:29" ht="409.6">
      <c r="A45" s="79" t="s">
        <v>349</v>
      </c>
      <c r="B45" s="243" t="s">
        <v>350</v>
      </c>
      <c r="C45" s="80" t="s">
        <v>530</v>
      </c>
      <c r="D45" s="81" t="s">
        <v>531</v>
      </c>
      <c r="E45" s="87" t="s">
        <v>325</v>
      </c>
      <c r="F45" s="87" t="s">
        <v>326</v>
      </c>
      <c r="G45" s="246" t="s">
        <v>532</v>
      </c>
      <c r="H45" s="234" t="s">
        <v>533</v>
      </c>
      <c r="I45" s="225" t="s">
        <v>24</v>
      </c>
      <c r="J45" s="225" t="s">
        <v>24</v>
      </c>
      <c r="K45" s="248" t="s">
        <v>24</v>
      </c>
      <c r="L45" s="248" t="s">
        <v>329</v>
      </c>
      <c r="M45" s="224" t="s">
        <v>24</v>
      </c>
      <c r="N45" s="107" t="s">
        <v>24</v>
      </c>
      <c r="O45" s="107" t="s">
        <v>24</v>
      </c>
      <c r="P45" s="107"/>
      <c r="Q45" s="254"/>
      <c r="R45" s="267" t="s">
        <v>24</v>
      </c>
      <c r="S45" s="107" t="s">
        <v>24</v>
      </c>
      <c r="T45" s="107" t="s">
        <v>24</v>
      </c>
      <c r="U45" s="225" t="s">
        <v>329</v>
      </c>
      <c r="V45" s="251"/>
      <c r="W45" s="377"/>
      <c r="X45" s="85"/>
      <c r="Y45" s="85"/>
      <c r="Z45" s="85"/>
      <c r="AA45" s="85"/>
      <c r="AB45" s="85"/>
      <c r="AC45" s="85"/>
    </row>
    <row r="46" spans="1:29" ht="288.75">
      <c r="A46" s="79" t="s">
        <v>349</v>
      </c>
      <c r="B46" s="243" t="s">
        <v>350</v>
      </c>
      <c r="C46" s="80" t="s">
        <v>534</v>
      </c>
      <c r="D46" s="81" t="s">
        <v>535</v>
      </c>
      <c r="E46" s="87" t="s">
        <v>325</v>
      </c>
      <c r="F46" s="87" t="s">
        <v>326</v>
      </c>
      <c r="G46" s="246" t="s">
        <v>536</v>
      </c>
      <c r="H46" s="234" t="s">
        <v>537</v>
      </c>
      <c r="I46" s="245" t="s">
        <v>337</v>
      </c>
      <c r="J46" s="245" t="s">
        <v>337</v>
      </c>
      <c r="K46" s="257" t="s">
        <v>337</v>
      </c>
      <c r="L46" s="248" t="s">
        <v>329</v>
      </c>
      <c r="M46" s="261" t="s">
        <v>24</v>
      </c>
      <c r="N46" s="104" t="s">
        <v>24</v>
      </c>
      <c r="O46" s="104" t="s">
        <v>24</v>
      </c>
      <c r="P46" s="81" t="s">
        <v>476</v>
      </c>
      <c r="Q46" s="254" t="s">
        <v>477</v>
      </c>
      <c r="R46" s="267" t="s">
        <v>24</v>
      </c>
      <c r="S46" s="107" t="s">
        <v>24</v>
      </c>
      <c r="T46" s="107" t="s">
        <v>24</v>
      </c>
      <c r="U46" s="225" t="s">
        <v>329</v>
      </c>
      <c r="V46" s="284" t="s">
        <v>538</v>
      </c>
      <c r="W46" s="377"/>
      <c r="X46" s="85"/>
      <c r="Y46" s="85"/>
      <c r="Z46" s="85"/>
      <c r="AA46" s="85"/>
      <c r="AB46" s="85"/>
      <c r="AC46" s="85"/>
    </row>
    <row r="47" spans="1:29" ht="409.6">
      <c r="A47" s="79" t="s">
        <v>349</v>
      </c>
      <c r="B47" s="243" t="s">
        <v>350</v>
      </c>
      <c r="C47" s="80" t="s">
        <v>539</v>
      </c>
      <c r="D47" s="81" t="s">
        <v>540</v>
      </c>
      <c r="E47" s="87" t="s">
        <v>325</v>
      </c>
      <c r="F47" s="87" t="s">
        <v>326</v>
      </c>
      <c r="G47" s="246" t="s">
        <v>541</v>
      </c>
      <c r="H47" s="256"/>
      <c r="I47" s="248" t="s">
        <v>317</v>
      </c>
      <c r="J47" s="248" t="s">
        <v>317</v>
      </c>
      <c r="K47" s="248" t="s">
        <v>317</v>
      </c>
      <c r="L47" s="248" t="s">
        <v>329</v>
      </c>
      <c r="M47" s="224" t="s">
        <v>24</v>
      </c>
      <c r="N47" s="107" t="s">
        <v>24</v>
      </c>
      <c r="O47" s="107" t="s">
        <v>24</v>
      </c>
      <c r="P47" s="81" t="s">
        <v>542</v>
      </c>
      <c r="Q47" s="254" t="s">
        <v>406</v>
      </c>
      <c r="R47" s="215" t="s">
        <v>24</v>
      </c>
      <c r="S47" s="215" t="s">
        <v>24</v>
      </c>
      <c r="T47" s="215" t="s">
        <v>27</v>
      </c>
      <c r="U47" s="225"/>
      <c r="V47" s="251" t="s">
        <v>543</v>
      </c>
      <c r="W47" s="377"/>
      <c r="X47" s="87"/>
      <c r="Y47" s="87"/>
      <c r="Z47" s="87"/>
      <c r="AA47" s="87"/>
      <c r="AB47" s="87"/>
      <c r="AC47" s="87"/>
    </row>
    <row r="48" spans="1:29" ht="274.5">
      <c r="A48" s="79" t="s">
        <v>349</v>
      </c>
      <c r="B48" s="243" t="s">
        <v>350</v>
      </c>
      <c r="C48" s="80" t="s">
        <v>544</v>
      </c>
      <c r="D48" s="81" t="s">
        <v>545</v>
      </c>
      <c r="E48" s="87" t="s">
        <v>325</v>
      </c>
      <c r="F48" s="87" t="s">
        <v>326</v>
      </c>
      <c r="G48" s="259"/>
      <c r="H48" s="234" t="s">
        <v>463</v>
      </c>
      <c r="I48" s="248" t="s">
        <v>317</v>
      </c>
      <c r="J48" s="248" t="s">
        <v>317</v>
      </c>
      <c r="K48" s="248" t="s">
        <v>317</v>
      </c>
      <c r="L48" s="248" t="s">
        <v>329</v>
      </c>
      <c r="M48" s="224" t="s">
        <v>24</v>
      </c>
      <c r="N48" s="107" t="s">
        <v>24</v>
      </c>
      <c r="O48" s="107" t="s">
        <v>24</v>
      </c>
      <c r="P48" s="81" t="s">
        <v>542</v>
      </c>
      <c r="Q48" s="254" t="s">
        <v>406</v>
      </c>
      <c r="R48" s="215" t="s">
        <v>26</v>
      </c>
      <c r="S48" s="215" t="s">
        <v>26</v>
      </c>
      <c r="T48" s="215" t="s">
        <v>27</v>
      </c>
      <c r="U48" s="225"/>
      <c r="V48" s="251" t="s">
        <v>543</v>
      </c>
      <c r="W48" s="377"/>
      <c r="X48" s="87"/>
      <c r="Y48" s="87"/>
      <c r="Z48" s="87"/>
      <c r="AA48" s="87"/>
      <c r="AB48" s="87" t="s">
        <v>377</v>
      </c>
      <c r="AC48" s="87"/>
    </row>
    <row r="49" spans="1:29" s="54" customFormat="1" ht="409.6">
      <c r="A49" s="35" t="s">
        <v>349</v>
      </c>
      <c r="B49" s="387" t="s">
        <v>350</v>
      </c>
      <c r="C49" s="388" t="s">
        <v>546</v>
      </c>
      <c r="D49" s="389" t="s">
        <v>547</v>
      </c>
      <c r="E49" s="87" t="s">
        <v>325</v>
      </c>
      <c r="F49" s="87" t="s">
        <v>326</v>
      </c>
      <c r="G49" s="62" t="s">
        <v>548</v>
      </c>
      <c r="H49" s="390" t="s">
        <v>549</v>
      </c>
      <c r="I49" s="245" t="s">
        <v>337</v>
      </c>
      <c r="J49" s="245" t="s">
        <v>337</v>
      </c>
      <c r="K49" s="257" t="s">
        <v>337</v>
      </c>
      <c r="L49" s="248" t="s">
        <v>329</v>
      </c>
      <c r="M49" s="397" t="s">
        <v>24</v>
      </c>
      <c r="N49" s="77" t="s">
        <v>24</v>
      </c>
      <c r="O49" s="77" t="s">
        <v>24</v>
      </c>
      <c r="P49" s="389" t="s">
        <v>542</v>
      </c>
      <c r="Q49" s="398" t="s">
        <v>406</v>
      </c>
      <c r="R49" s="395" t="s">
        <v>25</v>
      </c>
      <c r="S49" s="391" t="s">
        <v>25</v>
      </c>
      <c r="T49" s="391" t="s">
        <v>550</v>
      </c>
      <c r="U49" s="76" t="s">
        <v>329</v>
      </c>
      <c r="V49" s="416" t="s">
        <v>551</v>
      </c>
      <c r="W49" s="410"/>
      <c r="X49" s="73" t="s">
        <v>377</v>
      </c>
      <c r="Y49" s="73"/>
      <c r="Z49" s="73"/>
      <c r="AA49" s="73" t="s">
        <v>377</v>
      </c>
      <c r="AB49" s="73"/>
      <c r="AC49" s="73"/>
    </row>
    <row r="50" spans="1:29" ht="409.6">
      <c r="A50" s="79" t="s">
        <v>349</v>
      </c>
      <c r="B50" s="243" t="s">
        <v>350</v>
      </c>
      <c r="C50" s="80" t="s">
        <v>552</v>
      </c>
      <c r="D50" s="81" t="s">
        <v>553</v>
      </c>
      <c r="E50" s="87" t="s">
        <v>325</v>
      </c>
      <c r="F50" s="87" t="s">
        <v>326</v>
      </c>
      <c r="G50" s="246" t="s">
        <v>554</v>
      </c>
      <c r="H50" s="234" t="s">
        <v>555</v>
      </c>
      <c r="I50" s="245" t="s">
        <v>24</v>
      </c>
      <c r="J50" s="245" t="s">
        <v>317</v>
      </c>
      <c r="K50" s="257" t="s">
        <v>317</v>
      </c>
      <c r="L50" s="248" t="s">
        <v>329</v>
      </c>
      <c r="M50" s="249" t="s">
        <v>24</v>
      </c>
      <c r="N50" s="225" t="s">
        <v>24</v>
      </c>
      <c r="O50" s="225" t="s">
        <v>24</v>
      </c>
      <c r="P50" s="258" t="s">
        <v>542</v>
      </c>
      <c r="Q50" s="286" t="s">
        <v>406</v>
      </c>
      <c r="R50" s="215" t="s">
        <v>24</v>
      </c>
      <c r="S50" s="245" t="s">
        <v>27</v>
      </c>
      <c r="T50" s="245" t="s">
        <v>27</v>
      </c>
      <c r="U50" s="248" t="s">
        <v>329</v>
      </c>
      <c r="V50" s="251" t="s">
        <v>556</v>
      </c>
      <c r="W50" s="377"/>
      <c r="X50" s="85"/>
      <c r="Y50" s="85"/>
      <c r="Z50" s="85"/>
      <c r="AA50" s="85"/>
      <c r="AB50" s="85"/>
      <c r="AC50" s="85"/>
    </row>
    <row r="51" spans="1:29" ht="409.6">
      <c r="A51" s="79" t="s">
        <v>349</v>
      </c>
      <c r="B51" s="243" t="s">
        <v>350</v>
      </c>
      <c r="C51" s="80" t="s">
        <v>557</v>
      </c>
      <c r="D51" s="81" t="s">
        <v>558</v>
      </c>
      <c r="E51" s="87" t="s">
        <v>325</v>
      </c>
      <c r="F51" s="87" t="s">
        <v>326</v>
      </c>
      <c r="G51" s="246" t="s">
        <v>559</v>
      </c>
      <c r="H51" s="234" t="s">
        <v>560</v>
      </c>
      <c r="I51" s="245" t="s">
        <v>337</v>
      </c>
      <c r="J51" s="245" t="s">
        <v>337</v>
      </c>
      <c r="K51" s="257" t="s">
        <v>337</v>
      </c>
      <c r="L51" s="248" t="s">
        <v>329</v>
      </c>
      <c r="M51" s="261" t="s">
        <v>25</v>
      </c>
      <c r="N51" s="104" t="s">
        <v>25</v>
      </c>
      <c r="O51" s="104" t="s">
        <v>25</v>
      </c>
      <c r="P51" s="81" t="s">
        <v>511</v>
      </c>
      <c r="Q51" s="254" t="s">
        <v>364</v>
      </c>
      <c r="R51" s="285" t="s">
        <v>25</v>
      </c>
      <c r="S51" s="245" t="s">
        <v>25</v>
      </c>
      <c r="T51" s="245" t="s">
        <v>25</v>
      </c>
      <c r="U51" s="225" t="s">
        <v>329</v>
      </c>
      <c r="V51" s="251" t="s">
        <v>561</v>
      </c>
      <c r="W51" s="377"/>
      <c r="X51" s="85"/>
      <c r="Y51" s="85"/>
      <c r="Z51" s="85"/>
      <c r="AA51" s="85"/>
      <c r="AB51" s="85"/>
      <c r="AC51" s="85"/>
    </row>
    <row r="52" spans="1:29" ht="409.6">
      <c r="A52" s="79" t="s">
        <v>349</v>
      </c>
      <c r="B52" s="243" t="s">
        <v>350</v>
      </c>
      <c r="C52" s="80" t="s">
        <v>562</v>
      </c>
      <c r="D52" s="81" t="s">
        <v>563</v>
      </c>
      <c r="E52" s="87" t="s">
        <v>325</v>
      </c>
      <c r="F52" s="87" t="s">
        <v>326</v>
      </c>
      <c r="G52" s="246" t="s">
        <v>564</v>
      </c>
      <c r="H52" s="234" t="s">
        <v>565</v>
      </c>
      <c r="I52" s="245" t="s">
        <v>337</v>
      </c>
      <c r="J52" s="245" t="s">
        <v>337</v>
      </c>
      <c r="K52" s="257" t="s">
        <v>337</v>
      </c>
      <c r="L52" s="248" t="s">
        <v>329</v>
      </c>
      <c r="M52" s="261" t="s">
        <v>25</v>
      </c>
      <c r="N52" s="104" t="s">
        <v>25</v>
      </c>
      <c r="O52" s="104" t="s">
        <v>25</v>
      </c>
      <c r="P52" s="81" t="s">
        <v>511</v>
      </c>
      <c r="Q52" s="254" t="s">
        <v>364</v>
      </c>
      <c r="R52" s="224" t="s">
        <v>27</v>
      </c>
      <c r="S52" s="107" t="s">
        <v>27</v>
      </c>
      <c r="T52" s="107" t="s">
        <v>27</v>
      </c>
      <c r="U52" s="225" t="s">
        <v>341</v>
      </c>
      <c r="V52" s="251" t="s">
        <v>566</v>
      </c>
      <c r="W52" s="377"/>
      <c r="X52" s="87"/>
      <c r="Y52" s="87"/>
      <c r="Z52" s="87" t="s">
        <v>377</v>
      </c>
      <c r="AA52" s="87"/>
      <c r="AB52" s="87"/>
      <c r="AC52" s="87"/>
    </row>
    <row r="53" spans="1:29" ht="409.6">
      <c r="A53" s="79" t="s">
        <v>349</v>
      </c>
      <c r="B53" s="243" t="s">
        <v>350</v>
      </c>
      <c r="C53" s="80" t="s">
        <v>567</v>
      </c>
      <c r="D53" s="81" t="s">
        <v>568</v>
      </c>
      <c r="E53" s="87" t="s">
        <v>325</v>
      </c>
      <c r="F53" s="87" t="s">
        <v>326</v>
      </c>
      <c r="G53" s="246" t="s">
        <v>569</v>
      </c>
      <c r="H53" s="234" t="s">
        <v>570</v>
      </c>
      <c r="I53" s="225" t="s">
        <v>24</v>
      </c>
      <c r="J53" s="225" t="s">
        <v>24</v>
      </c>
      <c r="K53" s="248" t="s">
        <v>24</v>
      </c>
      <c r="L53" s="248" t="s">
        <v>329</v>
      </c>
      <c r="M53" s="224" t="s">
        <v>24</v>
      </c>
      <c r="N53" s="107" t="s">
        <v>24</v>
      </c>
      <c r="O53" s="107" t="s">
        <v>24</v>
      </c>
      <c r="P53" s="107"/>
      <c r="Q53" s="254"/>
      <c r="R53" s="267" t="s">
        <v>24</v>
      </c>
      <c r="S53" s="107" t="s">
        <v>24</v>
      </c>
      <c r="T53" s="107" t="s">
        <v>24</v>
      </c>
      <c r="U53" s="225" t="s">
        <v>329</v>
      </c>
      <c r="V53" s="251"/>
      <c r="W53" s="377"/>
      <c r="X53" s="85"/>
      <c r="Y53" s="85"/>
      <c r="Z53" s="85"/>
      <c r="AA53" s="85"/>
      <c r="AB53" s="85"/>
      <c r="AC53" s="85"/>
    </row>
    <row r="54" spans="1:29" ht="409.6">
      <c r="A54" s="79" t="s">
        <v>349</v>
      </c>
      <c r="B54" s="243" t="s">
        <v>350</v>
      </c>
      <c r="C54" s="80" t="s">
        <v>571</v>
      </c>
      <c r="D54" s="86" t="s">
        <v>572</v>
      </c>
      <c r="E54" s="87" t="s">
        <v>325</v>
      </c>
      <c r="F54" s="87" t="s">
        <v>326</v>
      </c>
      <c r="G54" s="246" t="s">
        <v>573</v>
      </c>
      <c r="H54" s="234" t="s">
        <v>565</v>
      </c>
      <c r="I54" s="225" t="s">
        <v>311</v>
      </c>
      <c r="J54" s="225" t="s">
        <v>311</v>
      </c>
      <c r="K54" s="225" t="s">
        <v>311</v>
      </c>
      <c r="L54" s="248"/>
      <c r="M54" s="224" t="s">
        <v>24</v>
      </c>
      <c r="N54" s="107" t="s">
        <v>24</v>
      </c>
      <c r="O54" s="107" t="s">
        <v>24</v>
      </c>
      <c r="P54" s="81" t="s">
        <v>476</v>
      </c>
      <c r="Q54" s="254" t="s">
        <v>477</v>
      </c>
      <c r="R54" s="215" t="s">
        <v>24</v>
      </c>
      <c r="S54" s="225" t="s">
        <v>24</v>
      </c>
      <c r="T54" s="225" t="s">
        <v>24</v>
      </c>
      <c r="U54" s="225" t="s">
        <v>329</v>
      </c>
      <c r="V54" s="251" t="s">
        <v>574</v>
      </c>
      <c r="W54" s="377"/>
      <c r="X54" s="85"/>
      <c r="Y54" s="85"/>
      <c r="Z54" s="85"/>
      <c r="AA54" s="85"/>
      <c r="AB54" s="85"/>
      <c r="AC54" s="85"/>
    </row>
    <row r="55" spans="1:29" ht="409.6">
      <c r="A55" s="79" t="s">
        <v>349</v>
      </c>
      <c r="B55" s="243" t="s">
        <v>350</v>
      </c>
      <c r="C55" s="80" t="s">
        <v>575</v>
      </c>
      <c r="D55" s="86" t="s">
        <v>576</v>
      </c>
      <c r="E55" s="87" t="s">
        <v>325</v>
      </c>
      <c r="F55" s="87" t="s">
        <v>326</v>
      </c>
      <c r="G55" s="246" t="s">
        <v>577</v>
      </c>
      <c r="H55" s="234" t="s">
        <v>578</v>
      </c>
      <c r="I55" s="245" t="s">
        <v>337</v>
      </c>
      <c r="J55" s="245" t="s">
        <v>337</v>
      </c>
      <c r="K55" s="257" t="s">
        <v>337</v>
      </c>
      <c r="L55" s="248" t="s">
        <v>329</v>
      </c>
      <c r="M55" s="224" t="s">
        <v>25</v>
      </c>
      <c r="N55" s="107" t="s">
        <v>25</v>
      </c>
      <c r="O55" s="107" t="s">
        <v>25</v>
      </c>
      <c r="P55" s="81" t="s">
        <v>511</v>
      </c>
      <c r="Q55" s="254" t="s">
        <v>364</v>
      </c>
      <c r="R55" s="224" t="s">
        <v>27</v>
      </c>
      <c r="S55" s="107" t="s">
        <v>27</v>
      </c>
      <c r="T55" s="107" t="s">
        <v>27</v>
      </c>
      <c r="U55" s="225" t="s">
        <v>341</v>
      </c>
      <c r="V55" s="251" t="s">
        <v>579</v>
      </c>
      <c r="W55" s="377"/>
      <c r="X55" s="87"/>
      <c r="Y55" s="87"/>
      <c r="Z55" s="87" t="s">
        <v>377</v>
      </c>
      <c r="AA55" s="87"/>
      <c r="AB55" s="87"/>
      <c r="AC55" s="87"/>
    </row>
    <row r="56" spans="1:29" ht="409.6">
      <c r="A56" s="79" t="s">
        <v>349</v>
      </c>
      <c r="B56" s="243" t="s">
        <v>350</v>
      </c>
      <c r="C56" s="80" t="s">
        <v>580</v>
      </c>
      <c r="D56" s="81" t="s">
        <v>581</v>
      </c>
      <c r="E56" s="87" t="s">
        <v>325</v>
      </c>
      <c r="F56" s="87" t="s">
        <v>326</v>
      </c>
      <c r="G56" s="246" t="s">
        <v>582</v>
      </c>
      <c r="H56" s="234" t="s">
        <v>583</v>
      </c>
      <c r="I56" s="225" t="s">
        <v>24</v>
      </c>
      <c r="J56" s="225" t="s">
        <v>24</v>
      </c>
      <c r="K56" s="248" t="s">
        <v>24</v>
      </c>
      <c r="L56" s="248" t="s">
        <v>329</v>
      </c>
      <c r="M56" s="249" t="s">
        <v>24</v>
      </c>
      <c r="N56" s="225" t="s">
        <v>24</v>
      </c>
      <c r="O56" s="225" t="s">
        <v>24</v>
      </c>
      <c r="P56" s="225"/>
      <c r="Q56" s="250"/>
      <c r="R56" s="267" t="s">
        <v>24</v>
      </c>
      <c r="S56" s="107" t="s">
        <v>24</v>
      </c>
      <c r="T56" s="107" t="s">
        <v>24</v>
      </c>
      <c r="U56" s="225" t="s">
        <v>329</v>
      </c>
      <c r="V56" s="251"/>
      <c r="W56" s="377"/>
      <c r="X56" s="85"/>
      <c r="Y56" s="85"/>
      <c r="Z56" s="85"/>
      <c r="AA56" s="85"/>
      <c r="AB56" s="85"/>
      <c r="AC56" s="85"/>
    </row>
    <row r="57" spans="1:29" ht="302.25">
      <c r="A57" s="79" t="s">
        <v>349</v>
      </c>
      <c r="B57" s="243" t="s">
        <v>350</v>
      </c>
      <c r="C57" s="80" t="s">
        <v>584</v>
      </c>
      <c r="D57" s="86" t="s">
        <v>585</v>
      </c>
      <c r="E57" s="87" t="s">
        <v>325</v>
      </c>
      <c r="F57" s="87" t="s">
        <v>326</v>
      </c>
      <c r="G57" s="246" t="s">
        <v>586</v>
      </c>
      <c r="H57" s="234" t="s">
        <v>587</v>
      </c>
      <c r="I57" s="225" t="s">
        <v>24</v>
      </c>
      <c r="J57" s="225" t="s">
        <v>24</v>
      </c>
      <c r="K57" s="248" t="s">
        <v>24</v>
      </c>
      <c r="L57" s="248" t="s">
        <v>329</v>
      </c>
      <c r="M57" s="287" t="s">
        <v>25</v>
      </c>
      <c r="N57" s="245" t="s">
        <v>25</v>
      </c>
      <c r="O57" s="245" t="s">
        <v>25</v>
      </c>
      <c r="P57" s="81" t="s">
        <v>511</v>
      </c>
      <c r="Q57" s="254" t="s">
        <v>364</v>
      </c>
      <c r="R57" s="288" t="s">
        <v>25</v>
      </c>
      <c r="S57" s="104" t="s">
        <v>25</v>
      </c>
      <c r="T57" s="104" t="s">
        <v>25</v>
      </c>
      <c r="U57" s="225" t="s">
        <v>329</v>
      </c>
      <c r="V57" s="251" t="s">
        <v>588</v>
      </c>
      <c r="W57" s="377"/>
      <c r="X57" s="85"/>
      <c r="Y57" s="85"/>
      <c r="Z57" s="85"/>
      <c r="AA57" s="85"/>
      <c r="AB57" s="85"/>
      <c r="AC57" s="85"/>
    </row>
    <row r="58" spans="1:29" ht="302.25">
      <c r="A58" s="79" t="s">
        <v>349</v>
      </c>
      <c r="B58" s="243" t="s">
        <v>350</v>
      </c>
      <c r="C58" s="80" t="s">
        <v>589</v>
      </c>
      <c r="D58" s="81" t="s">
        <v>590</v>
      </c>
      <c r="E58" s="87" t="s">
        <v>325</v>
      </c>
      <c r="F58" s="87" t="s">
        <v>326</v>
      </c>
      <c r="G58" s="246" t="s">
        <v>591</v>
      </c>
      <c r="H58" s="234"/>
      <c r="I58" s="225" t="s">
        <v>24</v>
      </c>
      <c r="J58" s="225" t="s">
        <v>24</v>
      </c>
      <c r="K58" s="248" t="s">
        <v>24</v>
      </c>
      <c r="L58" s="248" t="s">
        <v>329</v>
      </c>
      <c r="M58" s="249" t="s">
        <v>24</v>
      </c>
      <c r="N58" s="225" t="s">
        <v>24</v>
      </c>
      <c r="O58" s="225" t="s">
        <v>24</v>
      </c>
      <c r="P58" s="225"/>
      <c r="Q58" s="250"/>
      <c r="R58" s="267" t="s">
        <v>24</v>
      </c>
      <c r="S58" s="107" t="s">
        <v>24</v>
      </c>
      <c r="T58" s="107" t="s">
        <v>24</v>
      </c>
      <c r="U58" s="225" t="s">
        <v>329</v>
      </c>
      <c r="V58" s="251" t="s">
        <v>592</v>
      </c>
      <c r="W58" s="377"/>
      <c r="X58" s="85"/>
      <c r="Y58" s="85"/>
      <c r="Z58" s="85"/>
      <c r="AA58" s="85"/>
      <c r="AB58" s="85"/>
      <c r="AC58" s="85"/>
    </row>
    <row r="59" spans="1:29" ht="409.6">
      <c r="A59" s="79" t="s">
        <v>349</v>
      </c>
      <c r="B59" s="243" t="s">
        <v>350</v>
      </c>
      <c r="C59" s="80" t="s">
        <v>593</v>
      </c>
      <c r="D59" s="81" t="s">
        <v>594</v>
      </c>
      <c r="E59" s="87" t="s">
        <v>325</v>
      </c>
      <c r="F59" s="87" t="s">
        <v>326</v>
      </c>
      <c r="G59" s="246" t="s">
        <v>595</v>
      </c>
      <c r="H59" s="234" t="s">
        <v>596</v>
      </c>
      <c r="I59" s="225" t="s">
        <v>24</v>
      </c>
      <c r="J59" s="225" t="s">
        <v>24</v>
      </c>
      <c r="K59" s="248" t="s">
        <v>24</v>
      </c>
      <c r="L59" s="248" t="s">
        <v>329</v>
      </c>
      <c r="M59" s="249" t="s">
        <v>24</v>
      </c>
      <c r="N59" s="225" t="s">
        <v>24</v>
      </c>
      <c r="O59" s="225" t="s">
        <v>24</v>
      </c>
      <c r="P59" s="225"/>
      <c r="Q59" s="250"/>
      <c r="R59" s="215" t="s">
        <v>24</v>
      </c>
      <c r="S59" s="225" t="s">
        <v>24</v>
      </c>
      <c r="T59" s="225" t="s">
        <v>24</v>
      </c>
      <c r="U59" s="225" t="s">
        <v>329</v>
      </c>
      <c r="V59" s="251"/>
      <c r="W59" s="377"/>
      <c r="X59" s="85"/>
      <c r="Y59" s="85"/>
      <c r="Z59" s="85"/>
      <c r="AA59" s="85"/>
      <c r="AB59" s="85"/>
      <c r="AC59" s="85"/>
    </row>
    <row r="60" spans="1:29" ht="409.6">
      <c r="A60" s="79" t="s">
        <v>349</v>
      </c>
      <c r="B60" s="243" t="s">
        <v>350</v>
      </c>
      <c r="C60" s="80" t="s">
        <v>597</v>
      </c>
      <c r="D60" s="81" t="s">
        <v>598</v>
      </c>
      <c r="E60" s="87" t="s">
        <v>325</v>
      </c>
      <c r="F60" s="87" t="s">
        <v>326</v>
      </c>
      <c r="G60" s="246" t="s">
        <v>599</v>
      </c>
      <c r="H60" s="234" t="s">
        <v>600</v>
      </c>
      <c r="I60" s="225" t="s">
        <v>24</v>
      </c>
      <c r="J60" s="225" t="s">
        <v>24</v>
      </c>
      <c r="K60" s="248" t="s">
        <v>24</v>
      </c>
      <c r="L60" s="248" t="s">
        <v>329</v>
      </c>
      <c r="M60" s="249" t="s">
        <v>24</v>
      </c>
      <c r="N60" s="225" t="s">
        <v>24</v>
      </c>
      <c r="O60" s="225" t="s">
        <v>24</v>
      </c>
      <c r="P60" s="225"/>
      <c r="Q60" s="250"/>
      <c r="R60" s="215" t="s">
        <v>24</v>
      </c>
      <c r="S60" s="225" t="s">
        <v>24</v>
      </c>
      <c r="T60" s="225" t="s">
        <v>24</v>
      </c>
      <c r="U60" s="225" t="s">
        <v>329</v>
      </c>
      <c r="V60" s="251"/>
      <c r="W60" s="377"/>
      <c r="X60" s="85"/>
      <c r="Y60" s="85"/>
      <c r="Z60" s="85"/>
      <c r="AA60" s="85"/>
      <c r="AB60" s="85"/>
      <c r="AC60" s="85"/>
    </row>
    <row r="61" spans="1:29" ht="371.25">
      <c r="A61" s="79" t="s">
        <v>349</v>
      </c>
      <c r="B61" s="243" t="s">
        <v>350</v>
      </c>
      <c r="C61" s="80" t="s">
        <v>601</v>
      </c>
      <c r="D61" s="81" t="s">
        <v>602</v>
      </c>
      <c r="E61" s="87" t="s">
        <v>325</v>
      </c>
      <c r="F61" s="87" t="s">
        <v>326</v>
      </c>
      <c r="G61" s="246" t="s">
        <v>603</v>
      </c>
      <c r="H61" s="234" t="s">
        <v>604</v>
      </c>
      <c r="I61" s="245" t="s">
        <v>337</v>
      </c>
      <c r="J61" s="245" t="s">
        <v>337</v>
      </c>
      <c r="K61" s="257" t="s">
        <v>337</v>
      </c>
      <c r="L61" s="248" t="s">
        <v>329</v>
      </c>
      <c r="M61" s="249" t="s">
        <v>24</v>
      </c>
      <c r="N61" s="225" t="s">
        <v>24</v>
      </c>
      <c r="O61" s="225" t="s">
        <v>24</v>
      </c>
      <c r="P61" s="81" t="s">
        <v>605</v>
      </c>
      <c r="Q61" s="254" t="s">
        <v>477</v>
      </c>
      <c r="R61" s="215" t="s">
        <v>24</v>
      </c>
      <c r="S61" s="225" t="s">
        <v>24</v>
      </c>
      <c r="T61" s="225" t="s">
        <v>24</v>
      </c>
      <c r="U61" s="225" t="s">
        <v>329</v>
      </c>
      <c r="V61" s="251" t="s">
        <v>606</v>
      </c>
      <c r="W61" s="377"/>
      <c r="X61" s="85"/>
      <c r="Y61" s="85"/>
      <c r="Z61" s="85"/>
      <c r="AA61" s="85"/>
      <c r="AB61" s="85"/>
      <c r="AC61" s="85"/>
    </row>
    <row r="62" spans="1:29" ht="398.25">
      <c r="A62" s="79" t="s">
        <v>349</v>
      </c>
      <c r="B62" s="243" t="s">
        <v>350</v>
      </c>
      <c r="C62" s="80" t="s">
        <v>607</v>
      </c>
      <c r="D62" s="81" t="s">
        <v>608</v>
      </c>
      <c r="E62" s="87" t="s">
        <v>325</v>
      </c>
      <c r="F62" s="87" t="s">
        <v>326</v>
      </c>
      <c r="G62" s="246" t="s">
        <v>609</v>
      </c>
      <c r="H62" s="234" t="s">
        <v>610</v>
      </c>
      <c r="I62" s="225" t="s">
        <v>24</v>
      </c>
      <c r="J62" s="225" t="s">
        <v>24</v>
      </c>
      <c r="K62" s="248" t="s">
        <v>24</v>
      </c>
      <c r="L62" s="248" t="s">
        <v>329</v>
      </c>
      <c r="M62" s="224" t="s">
        <v>24</v>
      </c>
      <c r="N62" s="107" t="s">
        <v>24</v>
      </c>
      <c r="O62" s="107" t="s">
        <v>24</v>
      </c>
      <c r="P62" s="225"/>
      <c r="Q62" s="250"/>
      <c r="R62" s="215" t="s">
        <v>24</v>
      </c>
      <c r="S62" s="225" t="s">
        <v>24</v>
      </c>
      <c r="T62" s="225" t="s">
        <v>24</v>
      </c>
      <c r="U62" s="225" t="s">
        <v>329</v>
      </c>
      <c r="V62" s="251" t="s">
        <v>611</v>
      </c>
      <c r="W62" s="377"/>
      <c r="X62" s="85"/>
      <c r="Y62" s="85"/>
      <c r="Z62" s="85"/>
      <c r="AA62" s="85"/>
      <c r="AB62" s="85"/>
      <c r="AC62" s="85"/>
    </row>
    <row r="63" spans="1:29" ht="376.5">
      <c r="A63" s="79" t="s">
        <v>349</v>
      </c>
      <c r="B63" s="243" t="s">
        <v>350</v>
      </c>
      <c r="C63" s="80" t="s">
        <v>612</v>
      </c>
      <c r="D63" s="81" t="s">
        <v>613</v>
      </c>
      <c r="E63" s="87" t="s">
        <v>325</v>
      </c>
      <c r="F63" s="87" t="s">
        <v>326</v>
      </c>
      <c r="G63" s="246" t="s">
        <v>614</v>
      </c>
      <c r="H63" s="256"/>
      <c r="I63" s="225" t="s">
        <v>24</v>
      </c>
      <c r="J63" s="225" t="s">
        <v>317</v>
      </c>
      <c r="K63" s="248" t="s">
        <v>317</v>
      </c>
      <c r="L63" s="248" t="s">
        <v>329</v>
      </c>
      <c r="M63" s="224" t="s">
        <v>24</v>
      </c>
      <c r="N63" s="107" t="s">
        <v>24</v>
      </c>
      <c r="O63" s="107" t="s">
        <v>24</v>
      </c>
      <c r="P63" s="81" t="s">
        <v>542</v>
      </c>
      <c r="Q63" s="254" t="s">
        <v>406</v>
      </c>
      <c r="R63" s="215" t="s">
        <v>24</v>
      </c>
      <c r="S63" s="225" t="s">
        <v>27</v>
      </c>
      <c r="T63" s="225" t="s">
        <v>27</v>
      </c>
      <c r="U63" s="225"/>
      <c r="V63" s="289" t="s">
        <v>615</v>
      </c>
      <c r="W63" s="377"/>
      <c r="X63" s="85"/>
      <c r="Y63" s="85"/>
      <c r="Z63" s="85"/>
      <c r="AA63" s="85"/>
      <c r="AB63" s="85"/>
      <c r="AC63" s="85"/>
    </row>
    <row r="64" spans="1:29" ht="313.5">
      <c r="A64" s="79" t="s">
        <v>313</v>
      </c>
      <c r="B64" s="243" t="s">
        <v>314</v>
      </c>
      <c r="C64" s="80" t="s">
        <v>616</v>
      </c>
      <c r="D64" s="81" t="s">
        <v>617</v>
      </c>
      <c r="E64" s="87" t="s">
        <v>325</v>
      </c>
      <c r="F64" s="87" t="s">
        <v>477</v>
      </c>
      <c r="G64" s="246" t="s">
        <v>618</v>
      </c>
      <c r="H64" s="234" t="s">
        <v>619</v>
      </c>
      <c r="I64" s="269" t="s">
        <v>337</v>
      </c>
      <c r="J64" s="269" t="s">
        <v>337</v>
      </c>
      <c r="K64" s="270" t="s">
        <v>337</v>
      </c>
      <c r="L64" s="248" t="s">
        <v>329</v>
      </c>
      <c r="M64" s="224" t="s">
        <v>27</v>
      </c>
      <c r="N64" s="107" t="s">
        <v>27</v>
      </c>
      <c r="O64" s="107" t="s">
        <v>27</v>
      </c>
      <c r="P64" s="81" t="s">
        <v>620</v>
      </c>
      <c r="Q64" s="254" t="s">
        <v>364</v>
      </c>
      <c r="R64" s="224" t="s">
        <v>27</v>
      </c>
      <c r="S64" s="107" t="s">
        <v>27</v>
      </c>
      <c r="T64" s="107" t="s">
        <v>27</v>
      </c>
      <c r="U64" s="225" t="s">
        <v>341</v>
      </c>
      <c r="V64" s="251" t="s">
        <v>621</v>
      </c>
      <c r="W64" s="377"/>
      <c r="X64" s="85"/>
      <c r="Y64" s="85"/>
      <c r="Z64" s="85"/>
      <c r="AA64" s="85"/>
      <c r="AB64" s="85"/>
      <c r="AC64" s="85"/>
    </row>
    <row r="65" spans="1:29" ht="409.6">
      <c r="A65" s="79" t="s">
        <v>313</v>
      </c>
      <c r="B65" s="243" t="s">
        <v>314</v>
      </c>
      <c r="C65" s="80" t="s">
        <v>622</v>
      </c>
      <c r="D65" s="81" t="s">
        <v>623</v>
      </c>
      <c r="E65" s="87" t="s">
        <v>325</v>
      </c>
      <c r="F65" s="87" t="s">
        <v>477</v>
      </c>
      <c r="G65" s="246" t="s">
        <v>624</v>
      </c>
      <c r="H65" s="234" t="s">
        <v>625</v>
      </c>
      <c r="I65" s="225" t="s">
        <v>24</v>
      </c>
      <c r="J65" s="225" t="s">
        <v>24</v>
      </c>
      <c r="K65" s="248" t="s">
        <v>24</v>
      </c>
      <c r="L65" s="248" t="s">
        <v>329</v>
      </c>
      <c r="M65" s="224" t="s">
        <v>24</v>
      </c>
      <c r="N65" s="107" t="s">
        <v>24</v>
      </c>
      <c r="O65" s="107" t="s">
        <v>24</v>
      </c>
      <c r="P65" s="107" t="s">
        <v>626</v>
      </c>
      <c r="Q65" s="254"/>
      <c r="R65" s="215" t="s">
        <v>24</v>
      </c>
      <c r="S65" s="225" t="s">
        <v>24</v>
      </c>
      <c r="T65" s="225" t="s">
        <v>24</v>
      </c>
      <c r="U65" s="225" t="s">
        <v>329</v>
      </c>
      <c r="V65" s="251"/>
      <c r="W65" s="377"/>
      <c r="X65" s="85"/>
      <c r="Y65" s="85"/>
      <c r="Z65" s="85"/>
      <c r="AA65" s="85"/>
      <c r="AB65" s="85"/>
      <c r="AC65" s="85"/>
    </row>
    <row r="66" spans="1:29" ht="409.6">
      <c r="A66" s="79" t="s">
        <v>313</v>
      </c>
      <c r="B66" s="243" t="s">
        <v>314</v>
      </c>
      <c r="C66" s="80" t="s">
        <v>627</v>
      </c>
      <c r="D66" s="81" t="s">
        <v>628</v>
      </c>
      <c r="E66" s="87" t="s">
        <v>325</v>
      </c>
      <c r="F66" s="87" t="s">
        <v>326</v>
      </c>
      <c r="G66" s="246" t="s">
        <v>629</v>
      </c>
      <c r="H66" s="256"/>
      <c r="I66" s="269" t="s">
        <v>337</v>
      </c>
      <c r="J66" s="269" t="s">
        <v>337</v>
      </c>
      <c r="K66" s="270" t="s">
        <v>337</v>
      </c>
      <c r="L66" s="248" t="s">
        <v>329</v>
      </c>
      <c r="M66" s="224" t="s">
        <v>27</v>
      </c>
      <c r="N66" s="107" t="s">
        <v>27</v>
      </c>
      <c r="O66" s="107" t="s">
        <v>27</v>
      </c>
      <c r="P66" s="81" t="s">
        <v>630</v>
      </c>
      <c r="Q66" s="254" t="s">
        <v>364</v>
      </c>
      <c r="R66" s="224" t="s">
        <v>27</v>
      </c>
      <c r="S66" s="107" t="s">
        <v>27</v>
      </c>
      <c r="T66" s="107" t="s">
        <v>27</v>
      </c>
      <c r="U66" s="225" t="s">
        <v>341</v>
      </c>
      <c r="V66" s="251" t="s">
        <v>631</v>
      </c>
      <c r="W66" s="377"/>
      <c r="X66" s="85"/>
      <c r="Y66" s="85"/>
      <c r="Z66" s="85"/>
      <c r="AA66" s="85"/>
      <c r="AB66" s="85"/>
      <c r="AC66" s="85"/>
    </row>
    <row r="67" spans="1:29" ht="247.5">
      <c r="A67" s="79" t="s">
        <v>313</v>
      </c>
      <c r="B67" s="243" t="s">
        <v>314</v>
      </c>
      <c r="C67" s="80" t="s">
        <v>627</v>
      </c>
      <c r="D67" s="81" t="s">
        <v>632</v>
      </c>
      <c r="E67" s="87" t="s">
        <v>325</v>
      </c>
      <c r="F67" s="87" t="s">
        <v>326</v>
      </c>
      <c r="G67" s="246" t="s">
        <v>633</v>
      </c>
      <c r="H67" s="256"/>
      <c r="I67" s="269" t="s">
        <v>337</v>
      </c>
      <c r="J67" s="269" t="s">
        <v>337</v>
      </c>
      <c r="K67" s="270" t="s">
        <v>337</v>
      </c>
      <c r="L67" s="248" t="s">
        <v>329</v>
      </c>
      <c r="M67" s="224" t="s">
        <v>27</v>
      </c>
      <c r="N67" s="107" t="s">
        <v>27</v>
      </c>
      <c r="O67" s="107" t="s">
        <v>27</v>
      </c>
      <c r="P67" s="81" t="s">
        <v>634</v>
      </c>
      <c r="Q67" s="254" t="s">
        <v>364</v>
      </c>
      <c r="R67" s="224" t="s">
        <v>27</v>
      </c>
      <c r="S67" s="107" t="s">
        <v>27</v>
      </c>
      <c r="T67" s="107" t="s">
        <v>27</v>
      </c>
      <c r="U67" s="225" t="s">
        <v>341</v>
      </c>
      <c r="V67" s="251" t="s">
        <v>635</v>
      </c>
      <c r="W67" s="377"/>
      <c r="X67" s="85"/>
      <c r="Y67" s="85"/>
      <c r="Z67" s="85"/>
      <c r="AA67" s="85"/>
      <c r="AB67" s="85"/>
      <c r="AC67" s="85"/>
    </row>
    <row r="68" spans="1:29" ht="247.5">
      <c r="A68" s="79" t="s">
        <v>313</v>
      </c>
      <c r="B68" s="243" t="s">
        <v>314</v>
      </c>
      <c r="C68" s="80" t="s">
        <v>627</v>
      </c>
      <c r="D68" s="86" t="s">
        <v>636</v>
      </c>
      <c r="E68" s="87" t="s">
        <v>325</v>
      </c>
      <c r="F68" s="87" t="s">
        <v>326</v>
      </c>
      <c r="G68" s="246" t="s">
        <v>637</v>
      </c>
      <c r="H68" s="256"/>
      <c r="I68" s="269" t="s">
        <v>337</v>
      </c>
      <c r="J68" s="269" t="s">
        <v>337</v>
      </c>
      <c r="K68" s="270" t="s">
        <v>337</v>
      </c>
      <c r="L68" s="248" t="s">
        <v>329</v>
      </c>
      <c r="M68" s="224" t="s">
        <v>27</v>
      </c>
      <c r="N68" s="107" t="s">
        <v>27</v>
      </c>
      <c r="O68" s="107" t="s">
        <v>27</v>
      </c>
      <c r="P68" s="81" t="s">
        <v>638</v>
      </c>
      <c r="Q68" s="254" t="s">
        <v>339</v>
      </c>
      <c r="R68" s="225" t="s">
        <v>27</v>
      </c>
      <c r="S68" s="225" t="s">
        <v>27</v>
      </c>
      <c r="T68" s="225" t="s">
        <v>27</v>
      </c>
      <c r="U68" s="225" t="s">
        <v>341</v>
      </c>
      <c r="V68" s="251" t="s">
        <v>639</v>
      </c>
      <c r="W68" s="377"/>
      <c r="X68" s="85"/>
      <c r="Y68" s="85"/>
      <c r="Z68" s="85"/>
      <c r="AA68" s="85"/>
      <c r="AB68" s="85"/>
      <c r="AC68" s="85"/>
    </row>
    <row r="69" spans="1:29" ht="233.25">
      <c r="A69" s="79" t="s">
        <v>640</v>
      </c>
      <c r="B69" s="243" t="s">
        <v>314</v>
      </c>
      <c r="C69" s="80" t="s">
        <v>641</v>
      </c>
      <c r="D69" s="81" t="s">
        <v>642</v>
      </c>
      <c r="E69" s="245" t="s">
        <v>27</v>
      </c>
      <c r="F69" s="87" t="s">
        <v>317</v>
      </c>
      <c r="G69" s="259"/>
      <c r="H69" s="256"/>
      <c r="I69" s="247" t="s">
        <v>317</v>
      </c>
      <c r="J69" s="247" t="s">
        <v>317</v>
      </c>
      <c r="K69" s="247" t="s">
        <v>317</v>
      </c>
      <c r="L69" s="248"/>
      <c r="M69" s="249"/>
      <c r="N69" s="225"/>
      <c r="O69" s="225"/>
      <c r="P69" s="225"/>
      <c r="Q69" s="250"/>
      <c r="R69" s="215" t="s">
        <v>27</v>
      </c>
      <c r="S69" s="215" t="s">
        <v>27</v>
      </c>
      <c r="T69" s="215" t="s">
        <v>27</v>
      </c>
      <c r="U69" s="225"/>
      <c r="V69" s="251"/>
      <c r="W69" s="377"/>
      <c r="X69" s="85"/>
      <c r="Y69" s="85"/>
      <c r="Z69" s="85"/>
      <c r="AA69" s="85"/>
      <c r="AB69" s="85"/>
      <c r="AC69" s="85"/>
    </row>
    <row r="70" spans="1:29" ht="27">
      <c r="A70" s="79" t="s">
        <v>313</v>
      </c>
      <c r="B70" s="243" t="s">
        <v>314</v>
      </c>
      <c r="C70" s="80" t="s">
        <v>80</v>
      </c>
      <c r="D70" s="81" t="s">
        <v>643</v>
      </c>
      <c r="E70" s="87" t="s">
        <v>325</v>
      </c>
      <c r="F70" s="87" t="s">
        <v>326</v>
      </c>
      <c r="G70" s="246" t="s">
        <v>644</v>
      </c>
      <c r="H70" s="234" t="s">
        <v>645</v>
      </c>
      <c r="I70" s="225" t="s">
        <v>24</v>
      </c>
      <c r="J70" s="225" t="s">
        <v>24</v>
      </c>
      <c r="K70" s="248" t="s">
        <v>24</v>
      </c>
      <c r="L70" s="248" t="s">
        <v>329</v>
      </c>
      <c r="M70" s="224" t="s">
        <v>24</v>
      </c>
      <c r="N70" s="107" t="s">
        <v>24</v>
      </c>
      <c r="O70" s="107" t="s">
        <v>24</v>
      </c>
      <c r="P70" s="107" t="s">
        <v>626</v>
      </c>
      <c r="Q70" s="254"/>
      <c r="R70" s="215" t="s">
        <v>24</v>
      </c>
      <c r="S70" s="225" t="s">
        <v>24</v>
      </c>
      <c r="T70" s="225" t="s">
        <v>24</v>
      </c>
      <c r="U70" s="225" t="s">
        <v>329</v>
      </c>
      <c r="V70" s="251"/>
      <c r="W70" s="377"/>
      <c r="X70" s="85"/>
      <c r="Y70" s="85"/>
      <c r="Z70" s="85"/>
      <c r="AA70" s="85"/>
      <c r="AB70" s="85"/>
      <c r="AC70" s="85"/>
    </row>
    <row r="71" spans="1:29" ht="192">
      <c r="A71" s="79" t="s">
        <v>646</v>
      </c>
      <c r="B71" s="243" t="s">
        <v>314</v>
      </c>
      <c r="C71" s="80" t="s">
        <v>647</v>
      </c>
      <c r="D71" s="81" t="s">
        <v>648</v>
      </c>
      <c r="E71" s="87" t="s">
        <v>325</v>
      </c>
      <c r="F71" s="87" t="s">
        <v>477</v>
      </c>
      <c r="G71" s="290" t="s">
        <v>649</v>
      </c>
      <c r="H71" s="234" t="s">
        <v>650</v>
      </c>
      <c r="I71" s="225" t="s">
        <v>24</v>
      </c>
      <c r="J71" s="225" t="s">
        <v>24</v>
      </c>
      <c r="K71" s="248" t="s">
        <v>24</v>
      </c>
      <c r="L71" s="248" t="s">
        <v>329</v>
      </c>
      <c r="M71" s="224" t="s">
        <v>24</v>
      </c>
      <c r="N71" s="107" t="s">
        <v>24</v>
      </c>
      <c r="O71" s="107" t="s">
        <v>24</v>
      </c>
      <c r="P71" s="107" t="s">
        <v>626</v>
      </c>
      <c r="Q71" s="254"/>
      <c r="R71" s="215" t="s">
        <v>24</v>
      </c>
      <c r="S71" s="225" t="s">
        <v>24</v>
      </c>
      <c r="T71" s="225" t="s">
        <v>24</v>
      </c>
      <c r="U71" s="225" t="s">
        <v>329</v>
      </c>
      <c r="V71" s="419" t="s">
        <v>651</v>
      </c>
      <c r="W71" s="377"/>
      <c r="X71" s="85"/>
      <c r="Y71" s="85"/>
      <c r="Z71" s="85"/>
      <c r="AA71" s="85"/>
      <c r="AB71" s="85"/>
      <c r="AC71" s="85"/>
    </row>
    <row r="72" spans="1:29" ht="409.6">
      <c r="A72" s="79" t="s">
        <v>646</v>
      </c>
      <c r="B72" s="243" t="s">
        <v>314</v>
      </c>
      <c r="C72" s="80" t="s">
        <v>652</v>
      </c>
      <c r="D72" s="81" t="s">
        <v>653</v>
      </c>
      <c r="E72" s="87" t="s">
        <v>325</v>
      </c>
      <c r="F72" s="87" t="s">
        <v>326</v>
      </c>
      <c r="G72" s="246" t="s">
        <v>654</v>
      </c>
      <c r="H72" s="234" t="s">
        <v>655</v>
      </c>
      <c r="I72" s="274" t="s">
        <v>24</v>
      </c>
      <c r="J72" s="274" t="s">
        <v>24</v>
      </c>
      <c r="K72" s="291" t="s">
        <v>24</v>
      </c>
      <c r="L72" s="291" t="s">
        <v>329</v>
      </c>
      <c r="M72" s="224" t="s">
        <v>24</v>
      </c>
      <c r="N72" s="107" t="s">
        <v>24</v>
      </c>
      <c r="O72" s="107" t="s">
        <v>24</v>
      </c>
      <c r="P72" s="107" t="s">
        <v>626</v>
      </c>
      <c r="Q72" s="254"/>
      <c r="R72" s="215" t="s">
        <v>24</v>
      </c>
      <c r="S72" s="225" t="s">
        <v>24</v>
      </c>
      <c r="T72" s="225" t="s">
        <v>24</v>
      </c>
      <c r="U72" s="225" t="s">
        <v>329</v>
      </c>
      <c r="V72" s="419"/>
      <c r="W72" s="377"/>
      <c r="X72" s="85"/>
      <c r="Y72" s="85"/>
      <c r="Z72" s="85"/>
      <c r="AA72" s="85"/>
      <c r="AB72" s="85"/>
      <c r="AC72" s="85"/>
    </row>
    <row r="73" spans="1:29" ht="357">
      <c r="A73" s="79" t="s">
        <v>646</v>
      </c>
      <c r="B73" s="243" t="s">
        <v>314</v>
      </c>
      <c r="C73" s="80" t="s">
        <v>656</v>
      </c>
      <c r="D73" s="81" t="s">
        <v>657</v>
      </c>
      <c r="E73" s="245" t="s">
        <v>27</v>
      </c>
      <c r="F73" s="87" t="s">
        <v>317</v>
      </c>
      <c r="G73" s="246" t="s">
        <v>658</v>
      </c>
      <c r="H73" s="256" t="s">
        <v>659</v>
      </c>
      <c r="I73" s="247" t="s">
        <v>317</v>
      </c>
      <c r="J73" s="247" t="s">
        <v>317</v>
      </c>
      <c r="K73" s="247" t="s">
        <v>317</v>
      </c>
      <c r="L73" s="248"/>
      <c r="M73" s="224"/>
      <c r="N73" s="107"/>
      <c r="O73" s="107"/>
      <c r="P73" s="81"/>
      <c r="Q73" s="254"/>
      <c r="R73" s="215" t="s">
        <v>27</v>
      </c>
      <c r="S73" s="215" t="s">
        <v>27</v>
      </c>
      <c r="T73" s="215" t="s">
        <v>27</v>
      </c>
      <c r="U73" s="225"/>
      <c r="V73" s="251"/>
      <c r="W73" s="377"/>
      <c r="X73" s="85"/>
      <c r="Y73" s="85"/>
      <c r="Z73" s="85"/>
      <c r="AA73" s="85"/>
      <c r="AB73" s="85"/>
      <c r="AC73" s="85"/>
    </row>
    <row r="74" spans="1:29" ht="330">
      <c r="A74" s="79" t="s">
        <v>646</v>
      </c>
      <c r="B74" s="243" t="s">
        <v>314</v>
      </c>
      <c r="C74" s="80" t="s">
        <v>660</v>
      </c>
      <c r="D74" s="81" t="s">
        <v>661</v>
      </c>
      <c r="E74" s="245" t="s">
        <v>27</v>
      </c>
      <c r="F74" s="87" t="s">
        <v>317</v>
      </c>
      <c r="G74" s="259"/>
      <c r="H74" s="256" t="s">
        <v>662</v>
      </c>
      <c r="I74" s="247" t="s">
        <v>317</v>
      </c>
      <c r="J74" s="247" t="s">
        <v>317</v>
      </c>
      <c r="K74" s="247" t="s">
        <v>317</v>
      </c>
      <c r="L74" s="248"/>
      <c r="M74" s="249"/>
      <c r="N74" s="225"/>
      <c r="O74" s="225"/>
      <c r="P74" s="225"/>
      <c r="Q74" s="250"/>
      <c r="R74" s="215" t="s">
        <v>27</v>
      </c>
      <c r="S74" s="215" t="s">
        <v>27</v>
      </c>
      <c r="T74" s="215" t="s">
        <v>27</v>
      </c>
      <c r="U74" s="225"/>
      <c r="V74" s="251"/>
      <c r="W74" s="377"/>
      <c r="X74" s="85"/>
      <c r="Y74" s="85"/>
      <c r="Z74" s="85"/>
      <c r="AA74" s="85"/>
      <c r="AB74" s="85"/>
      <c r="AC74" s="85"/>
    </row>
    <row r="75" spans="1:29" ht="27">
      <c r="A75" s="79" t="s">
        <v>663</v>
      </c>
      <c r="B75" s="243" t="s">
        <v>314</v>
      </c>
      <c r="C75" s="80" t="s">
        <v>664</v>
      </c>
      <c r="D75" s="81" t="s">
        <v>665</v>
      </c>
      <c r="E75" s="87" t="s">
        <v>325</v>
      </c>
      <c r="F75" s="87" t="s">
        <v>477</v>
      </c>
      <c r="G75" s="246" t="s">
        <v>666</v>
      </c>
      <c r="H75" s="234" t="s">
        <v>667</v>
      </c>
      <c r="I75" s="269" t="s">
        <v>337</v>
      </c>
      <c r="J75" s="269" t="s">
        <v>337</v>
      </c>
      <c r="K75" s="270" t="s">
        <v>337</v>
      </c>
      <c r="L75" s="292" t="s">
        <v>329</v>
      </c>
      <c r="M75" s="224" t="s">
        <v>27</v>
      </c>
      <c r="N75" s="107" t="s">
        <v>27</v>
      </c>
      <c r="O75" s="107" t="s">
        <v>27</v>
      </c>
      <c r="P75" s="81" t="s">
        <v>626</v>
      </c>
      <c r="Q75" s="254" t="s">
        <v>364</v>
      </c>
      <c r="R75" s="224" t="s">
        <v>27</v>
      </c>
      <c r="S75" s="107" t="s">
        <v>27</v>
      </c>
      <c r="T75" s="107" t="s">
        <v>27</v>
      </c>
      <c r="U75" s="225" t="s">
        <v>341</v>
      </c>
      <c r="V75" s="251" t="s">
        <v>668</v>
      </c>
      <c r="W75" s="377"/>
      <c r="X75" s="85"/>
      <c r="Y75" s="85"/>
      <c r="Z75" s="85"/>
      <c r="AA75" s="85"/>
      <c r="AB75" s="85"/>
      <c r="AC75" s="85"/>
    </row>
    <row r="76" spans="1:29" ht="409.6">
      <c r="A76" s="79" t="s">
        <v>663</v>
      </c>
      <c r="B76" s="243" t="s">
        <v>314</v>
      </c>
      <c r="C76" s="80" t="s">
        <v>669</v>
      </c>
      <c r="D76" s="81" t="s">
        <v>670</v>
      </c>
      <c r="E76" s="87" t="s">
        <v>325</v>
      </c>
      <c r="F76" s="87" t="s">
        <v>477</v>
      </c>
      <c r="G76" s="290" t="s">
        <v>671</v>
      </c>
      <c r="H76" s="256"/>
      <c r="I76" s="225" t="s">
        <v>337</v>
      </c>
      <c r="J76" s="225" t="s">
        <v>337</v>
      </c>
      <c r="K76" s="248" t="s">
        <v>337</v>
      </c>
      <c r="L76" s="248" t="s">
        <v>329</v>
      </c>
      <c r="M76" s="224" t="s">
        <v>27</v>
      </c>
      <c r="N76" s="107" t="s">
        <v>27</v>
      </c>
      <c r="O76" s="107" t="s">
        <v>27</v>
      </c>
      <c r="P76" s="81" t="s">
        <v>672</v>
      </c>
      <c r="Q76" s="254" t="s">
        <v>673</v>
      </c>
      <c r="R76" s="224" t="s">
        <v>27</v>
      </c>
      <c r="S76" s="107" t="s">
        <v>27</v>
      </c>
      <c r="T76" s="107" t="s">
        <v>27</v>
      </c>
      <c r="U76" s="225" t="s">
        <v>341</v>
      </c>
      <c r="V76" s="251" t="s">
        <v>674</v>
      </c>
      <c r="W76" s="377"/>
      <c r="X76" s="85"/>
      <c r="Y76" s="85"/>
      <c r="Z76" s="85"/>
      <c r="AA76" s="85"/>
      <c r="AB76" s="85"/>
      <c r="AC76" s="85"/>
    </row>
    <row r="77" spans="1:29" ht="409.6">
      <c r="A77" s="79" t="s">
        <v>313</v>
      </c>
      <c r="B77" s="243" t="s">
        <v>314</v>
      </c>
      <c r="C77" s="80" t="s">
        <v>675</v>
      </c>
      <c r="D77" s="81" t="s">
        <v>676</v>
      </c>
      <c r="E77" s="87" t="s">
        <v>325</v>
      </c>
      <c r="F77" s="87" t="s">
        <v>326</v>
      </c>
      <c r="G77" s="246" t="s">
        <v>677</v>
      </c>
      <c r="H77" s="234" t="s">
        <v>678</v>
      </c>
      <c r="I77" s="225" t="s">
        <v>24</v>
      </c>
      <c r="J77" s="225" t="s">
        <v>24</v>
      </c>
      <c r="K77" s="248" t="s">
        <v>24</v>
      </c>
      <c r="L77" s="248" t="s">
        <v>329</v>
      </c>
      <c r="M77" s="224" t="s">
        <v>24</v>
      </c>
      <c r="N77" s="107" t="s">
        <v>24</v>
      </c>
      <c r="O77" s="107" t="s">
        <v>24</v>
      </c>
      <c r="P77" s="107" t="s">
        <v>626</v>
      </c>
      <c r="Q77" s="250"/>
      <c r="R77" s="215" t="s">
        <v>24</v>
      </c>
      <c r="S77" s="225" t="s">
        <v>24</v>
      </c>
      <c r="T77" s="225" t="s">
        <v>24</v>
      </c>
      <c r="U77" s="225" t="s">
        <v>329</v>
      </c>
      <c r="V77" s="251"/>
      <c r="W77" s="377"/>
      <c r="X77" s="85"/>
      <c r="Y77" s="85"/>
      <c r="Z77" s="85"/>
      <c r="AA77" s="85"/>
      <c r="AB77" s="85"/>
      <c r="AC77" s="85"/>
    </row>
    <row r="78" spans="1:29" ht="409.6">
      <c r="A78" s="79" t="s">
        <v>679</v>
      </c>
      <c r="B78" s="243" t="s">
        <v>314</v>
      </c>
      <c r="C78" s="80" t="s">
        <v>680</v>
      </c>
      <c r="D78" s="81" t="s">
        <v>681</v>
      </c>
      <c r="E78" s="87" t="s">
        <v>325</v>
      </c>
      <c r="F78" s="87" t="s">
        <v>326</v>
      </c>
      <c r="G78" s="246" t="s">
        <v>682</v>
      </c>
      <c r="H78" s="234" t="s">
        <v>683</v>
      </c>
      <c r="I78" s="225" t="s">
        <v>24</v>
      </c>
      <c r="J78" s="225" t="s">
        <v>24</v>
      </c>
      <c r="K78" s="248" t="s">
        <v>24</v>
      </c>
      <c r="L78" s="248" t="s">
        <v>329</v>
      </c>
      <c r="M78" s="224" t="s">
        <v>24</v>
      </c>
      <c r="N78" s="107" t="s">
        <v>24</v>
      </c>
      <c r="O78" s="107" t="s">
        <v>24</v>
      </c>
      <c r="P78" s="107" t="s">
        <v>626</v>
      </c>
      <c r="Q78" s="250"/>
      <c r="R78" s="215" t="s">
        <v>24</v>
      </c>
      <c r="S78" s="225" t="s">
        <v>24</v>
      </c>
      <c r="T78" s="225" t="s">
        <v>24</v>
      </c>
      <c r="U78" s="225" t="s">
        <v>329</v>
      </c>
      <c r="V78" s="251"/>
      <c r="W78" s="377"/>
      <c r="X78" s="85"/>
      <c r="Y78" s="85"/>
      <c r="Z78" s="85"/>
      <c r="AA78" s="85"/>
      <c r="AB78" s="85"/>
      <c r="AC78" s="85"/>
    </row>
    <row r="79" spans="1:29" ht="409.6">
      <c r="A79" s="79" t="s">
        <v>684</v>
      </c>
      <c r="B79" s="243" t="s">
        <v>314</v>
      </c>
      <c r="C79" s="80" t="s">
        <v>449</v>
      </c>
      <c r="D79" s="81" t="s">
        <v>685</v>
      </c>
      <c r="E79" s="87" t="s">
        <v>325</v>
      </c>
      <c r="F79" s="87" t="s">
        <v>326</v>
      </c>
      <c r="G79" s="246" t="s">
        <v>686</v>
      </c>
      <c r="H79" s="234" t="s">
        <v>687</v>
      </c>
      <c r="I79" s="271" t="s">
        <v>337</v>
      </c>
      <c r="J79" s="271" t="s">
        <v>337</v>
      </c>
      <c r="K79" s="293" t="s">
        <v>337</v>
      </c>
      <c r="L79" s="248" t="s">
        <v>329</v>
      </c>
      <c r="M79" s="224" t="s">
        <v>24</v>
      </c>
      <c r="N79" s="107" t="s">
        <v>24</v>
      </c>
      <c r="O79" s="107" t="s">
        <v>24</v>
      </c>
      <c r="P79" s="81" t="s">
        <v>688</v>
      </c>
      <c r="Q79" s="254"/>
      <c r="R79" s="267" t="s">
        <v>24</v>
      </c>
      <c r="S79" s="107" t="s">
        <v>24</v>
      </c>
      <c r="T79" s="107" t="s">
        <v>24</v>
      </c>
      <c r="U79" s="225" t="s">
        <v>329</v>
      </c>
      <c r="V79" s="251" t="s">
        <v>689</v>
      </c>
      <c r="W79" s="377"/>
      <c r="X79" s="85"/>
      <c r="Y79" s="85"/>
      <c r="Z79" s="85"/>
      <c r="AA79" s="85"/>
      <c r="AB79" s="85"/>
      <c r="AC79" s="85"/>
    </row>
    <row r="80" spans="1:29" ht="409.6">
      <c r="A80" s="79" t="s">
        <v>313</v>
      </c>
      <c r="B80" s="243" t="s">
        <v>314</v>
      </c>
      <c r="C80" s="80" t="s">
        <v>690</v>
      </c>
      <c r="D80" s="81" t="s">
        <v>691</v>
      </c>
      <c r="E80" s="87" t="s">
        <v>325</v>
      </c>
      <c r="F80" s="87" t="s">
        <v>477</v>
      </c>
      <c r="G80" s="294" t="s">
        <v>692</v>
      </c>
      <c r="H80" s="234" t="s">
        <v>693</v>
      </c>
      <c r="I80" s="245" t="s">
        <v>337</v>
      </c>
      <c r="J80" s="245" t="s">
        <v>337</v>
      </c>
      <c r="K80" s="257" t="s">
        <v>337</v>
      </c>
      <c r="L80" s="248" t="s">
        <v>329</v>
      </c>
      <c r="M80" s="224" t="s">
        <v>24</v>
      </c>
      <c r="N80" s="107" t="s">
        <v>24</v>
      </c>
      <c r="O80" s="107" t="s">
        <v>24</v>
      </c>
      <c r="P80" s="107"/>
      <c r="Q80" s="254"/>
      <c r="R80" s="267" t="s">
        <v>24</v>
      </c>
      <c r="S80" s="107" t="s">
        <v>24</v>
      </c>
      <c r="T80" s="107" t="s">
        <v>24</v>
      </c>
      <c r="U80" s="225" t="s">
        <v>329</v>
      </c>
      <c r="V80" s="251" t="s">
        <v>694</v>
      </c>
      <c r="W80" s="377"/>
      <c r="X80" s="85"/>
      <c r="Y80" s="85"/>
      <c r="Z80" s="85"/>
      <c r="AA80" s="85"/>
      <c r="AB80" s="85"/>
      <c r="AC80" s="85"/>
    </row>
    <row r="81" spans="1:29" ht="409.6">
      <c r="A81" s="79" t="s">
        <v>313</v>
      </c>
      <c r="B81" s="243" t="s">
        <v>314</v>
      </c>
      <c r="C81" s="80" t="s">
        <v>695</v>
      </c>
      <c r="D81" s="81" t="s">
        <v>696</v>
      </c>
      <c r="E81" s="87" t="s">
        <v>325</v>
      </c>
      <c r="F81" s="87" t="s">
        <v>477</v>
      </c>
      <c r="G81" s="246" t="s">
        <v>697</v>
      </c>
      <c r="H81" s="295" t="s">
        <v>698</v>
      </c>
      <c r="I81" s="225" t="s">
        <v>24</v>
      </c>
      <c r="J81" s="225" t="s">
        <v>24</v>
      </c>
      <c r="K81" s="248" t="s">
        <v>24</v>
      </c>
      <c r="L81" s="248" t="s">
        <v>329</v>
      </c>
      <c r="M81" s="224" t="s">
        <v>24</v>
      </c>
      <c r="N81" s="107" t="s">
        <v>24</v>
      </c>
      <c r="O81" s="107" t="s">
        <v>24</v>
      </c>
      <c r="P81" s="107"/>
      <c r="Q81" s="254"/>
      <c r="R81" s="267" t="s">
        <v>24</v>
      </c>
      <c r="S81" s="107" t="s">
        <v>24</v>
      </c>
      <c r="T81" s="107" t="s">
        <v>24</v>
      </c>
      <c r="U81" s="225" t="s">
        <v>329</v>
      </c>
      <c r="V81" s="251" t="s">
        <v>699</v>
      </c>
      <c r="W81" s="377"/>
      <c r="X81" s="85"/>
      <c r="Y81" s="85"/>
      <c r="Z81" s="85"/>
      <c r="AA81" s="85"/>
      <c r="AB81" s="85"/>
      <c r="AC81" s="85"/>
    </row>
    <row r="82" spans="1:29" ht="409.6">
      <c r="A82" s="79" t="s">
        <v>313</v>
      </c>
      <c r="B82" s="243" t="s">
        <v>314</v>
      </c>
      <c r="C82" s="80" t="s">
        <v>700</v>
      </c>
      <c r="D82" s="81" t="s">
        <v>701</v>
      </c>
      <c r="E82" s="87" t="s">
        <v>325</v>
      </c>
      <c r="F82" s="87" t="s">
        <v>477</v>
      </c>
      <c r="G82" s="246" t="s">
        <v>702</v>
      </c>
      <c r="H82" s="234" t="s">
        <v>703</v>
      </c>
      <c r="I82" s="225" t="s">
        <v>24</v>
      </c>
      <c r="J82" s="225" t="s">
        <v>24</v>
      </c>
      <c r="K82" s="248" t="s">
        <v>24</v>
      </c>
      <c r="L82" s="248" t="s">
        <v>329</v>
      </c>
      <c r="M82" s="224" t="s">
        <v>24</v>
      </c>
      <c r="N82" s="107" t="s">
        <v>24</v>
      </c>
      <c r="O82" s="107" t="s">
        <v>24</v>
      </c>
      <c r="P82" s="107" t="s">
        <v>626</v>
      </c>
      <c r="Q82" s="254"/>
      <c r="R82" s="215" t="s">
        <v>24</v>
      </c>
      <c r="S82" s="225" t="s">
        <v>24</v>
      </c>
      <c r="T82" s="225" t="s">
        <v>24</v>
      </c>
      <c r="U82" s="225" t="s">
        <v>329</v>
      </c>
      <c r="V82" s="251" t="s">
        <v>704</v>
      </c>
      <c r="W82" s="377"/>
      <c r="X82" s="85"/>
      <c r="Y82" s="85"/>
      <c r="Z82" s="85"/>
      <c r="AA82" s="85"/>
      <c r="AB82" s="85"/>
      <c r="AC82" s="85"/>
    </row>
    <row r="83" spans="1:29" ht="409.6">
      <c r="A83" s="79" t="s">
        <v>313</v>
      </c>
      <c r="B83" s="243" t="s">
        <v>314</v>
      </c>
      <c r="C83" s="80" t="s">
        <v>705</v>
      </c>
      <c r="D83" s="81" t="s">
        <v>706</v>
      </c>
      <c r="E83" s="87" t="s">
        <v>325</v>
      </c>
      <c r="F83" s="87" t="s">
        <v>326</v>
      </c>
      <c r="G83" s="246" t="s">
        <v>707</v>
      </c>
      <c r="H83" s="256"/>
      <c r="I83" s="225" t="s">
        <v>24</v>
      </c>
      <c r="J83" s="225" t="s">
        <v>24</v>
      </c>
      <c r="K83" s="225" t="s">
        <v>24</v>
      </c>
      <c r="L83" s="248" t="s">
        <v>329</v>
      </c>
      <c r="M83" s="224" t="s">
        <v>24</v>
      </c>
      <c r="N83" s="107" t="s">
        <v>24</v>
      </c>
      <c r="O83" s="107" t="s">
        <v>24</v>
      </c>
      <c r="P83" s="107" t="s">
        <v>626</v>
      </c>
      <c r="Q83" s="254"/>
      <c r="R83" s="215" t="s">
        <v>24</v>
      </c>
      <c r="S83" s="225" t="s">
        <v>24</v>
      </c>
      <c r="T83" s="225" t="s">
        <v>24</v>
      </c>
      <c r="U83" s="225" t="s">
        <v>329</v>
      </c>
      <c r="V83" s="251"/>
      <c r="W83" s="377"/>
      <c r="X83" s="85"/>
      <c r="Y83" s="85"/>
      <c r="Z83" s="85"/>
      <c r="AA83" s="85"/>
      <c r="AB83" s="85"/>
      <c r="AC83" s="85"/>
    </row>
    <row r="84" spans="1:29" ht="409.6">
      <c r="A84" s="79" t="s">
        <v>708</v>
      </c>
      <c r="B84" s="243" t="s">
        <v>709</v>
      </c>
      <c r="C84" s="80" t="s">
        <v>401</v>
      </c>
      <c r="D84" s="81" t="s">
        <v>710</v>
      </c>
      <c r="E84" s="87" t="s">
        <v>325</v>
      </c>
      <c r="F84" s="87" t="s">
        <v>326</v>
      </c>
      <c r="G84" s="246" t="s">
        <v>711</v>
      </c>
      <c r="H84" s="234" t="s">
        <v>712</v>
      </c>
      <c r="I84" s="245" t="s">
        <v>337</v>
      </c>
      <c r="J84" s="245" t="s">
        <v>337</v>
      </c>
      <c r="K84" s="257" t="s">
        <v>337</v>
      </c>
      <c r="L84" s="248" t="s">
        <v>329</v>
      </c>
      <c r="M84" s="224" t="s">
        <v>27</v>
      </c>
      <c r="N84" s="107" t="s">
        <v>27</v>
      </c>
      <c r="O84" s="107" t="s">
        <v>27</v>
      </c>
      <c r="P84" s="81" t="s">
        <v>713</v>
      </c>
      <c r="Q84" s="254" t="s">
        <v>364</v>
      </c>
      <c r="R84" s="224" t="s">
        <v>27</v>
      </c>
      <c r="S84" s="107" t="s">
        <v>27</v>
      </c>
      <c r="T84" s="107" t="s">
        <v>27</v>
      </c>
      <c r="U84" s="225" t="s">
        <v>341</v>
      </c>
      <c r="V84" s="296" t="s">
        <v>714</v>
      </c>
      <c r="W84" s="377"/>
      <c r="X84" s="85"/>
      <c r="Y84" s="85"/>
      <c r="Z84" s="85"/>
      <c r="AA84" s="85"/>
      <c r="AB84" s="85"/>
      <c r="AC84" s="85"/>
    </row>
    <row r="85" spans="1:29" ht="409.6">
      <c r="A85" s="79" t="s">
        <v>708</v>
      </c>
      <c r="B85" s="243" t="s">
        <v>709</v>
      </c>
      <c r="C85" s="80" t="s">
        <v>715</v>
      </c>
      <c r="D85" s="81" t="s">
        <v>716</v>
      </c>
      <c r="E85" s="87" t="s">
        <v>325</v>
      </c>
      <c r="F85" s="87" t="s">
        <v>326</v>
      </c>
      <c r="G85" s="246" t="s">
        <v>717</v>
      </c>
      <c r="H85" s="234" t="s">
        <v>718</v>
      </c>
      <c r="I85" s="225" t="s">
        <v>24</v>
      </c>
      <c r="J85" s="225" t="s">
        <v>24</v>
      </c>
      <c r="K85" s="248" t="s">
        <v>24</v>
      </c>
      <c r="L85" s="248" t="s">
        <v>329</v>
      </c>
      <c r="M85" s="224" t="s">
        <v>24</v>
      </c>
      <c r="N85" s="107" t="s">
        <v>24</v>
      </c>
      <c r="O85" s="107" t="s">
        <v>24</v>
      </c>
      <c r="P85" s="107" t="s">
        <v>626</v>
      </c>
      <c r="Q85" s="254"/>
      <c r="R85" s="215" t="s">
        <v>24</v>
      </c>
      <c r="S85" s="225" t="s">
        <v>24</v>
      </c>
      <c r="T85" s="225" t="s">
        <v>24</v>
      </c>
      <c r="U85" s="225" t="s">
        <v>329</v>
      </c>
      <c r="V85" s="296"/>
      <c r="W85" s="377"/>
      <c r="X85" s="85"/>
      <c r="Y85" s="85"/>
      <c r="Z85" s="85"/>
      <c r="AA85" s="85"/>
      <c r="AB85" s="85"/>
      <c r="AC85" s="85"/>
    </row>
    <row r="86" spans="1:29" ht="409.6">
      <c r="A86" s="79" t="s">
        <v>708</v>
      </c>
      <c r="B86" s="243" t="s">
        <v>709</v>
      </c>
      <c r="C86" s="80" t="s">
        <v>719</v>
      </c>
      <c r="D86" s="81" t="s">
        <v>720</v>
      </c>
      <c r="E86" s="87" t="s">
        <v>325</v>
      </c>
      <c r="F86" s="87" t="s">
        <v>326</v>
      </c>
      <c r="G86" s="246" t="s">
        <v>721</v>
      </c>
      <c r="H86" s="234" t="s">
        <v>722</v>
      </c>
      <c r="I86" s="245" t="s">
        <v>337</v>
      </c>
      <c r="J86" s="245" t="s">
        <v>337</v>
      </c>
      <c r="K86" s="257" t="s">
        <v>337</v>
      </c>
      <c r="L86" s="248" t="s">
        <v>329</v>
      </c>
      <c r="M86" s="224" t="s">
        <v>27</v>
      </c>
      <c r="N86" s="107" t="s">
        <v>27</v>
      </c>
      <c r="O86" s="107" t="s">
        <v>27</v>
      </c>
      <c r="P86" s="81" t="s">
        <v>713</v>
      </c>
      <c r="Q86" s="254" t="s">
        <v>364</v>
      </c>
      <c r="R86" s="224" t="s">
        <v>27</v>
      </c>
      <c r="S86" s="107" t="s">
        <v>27</v>
      </c>
      <c r="T86" s="107" t="s">
        <v>27</v>
      </c>
      <c r="U86" s="225" t="s">
        <v>341</v>
      </c>
      <c r="V86" s="296" t="s">
        <v>723</v>
      </c>
      <c r="W86" s="377"/>
      <c r="X86" s="85"/>
      <c r="Y86" s="85"/>
      <c r="Z86" s="85"/>
      <c r="AA86" s="85"/>
      <c r="AB86" s="85"/>
      <c r="AC86" s="85"/>
    </row>
    <row r="87" spans="1:29" ht="371.25">
      <c r="A87" s="79" t="s">
        <v>708</v>
      </c>
      <c r="B87" s="243" t="s">
        <v>709</v>
      </c>
      <c r="C87" s="80" t="s">
        <v>724</v>
      </c>
      <c r="D87" s="81" t="s">
        <v>725</v>
      </c>
      <c r="E87" s="87" t="s">
        <v>325</v>
      </c>
      <c r="F87" s="87" t="s">
        <v>326</v>
      </c>
      <c r="G87" s="246" t="s">
        <v>726</v>
      </c>
      <c r="H87" s="297" t="s">
        <v>727</v>
      </c>
      <c r="I87" s="225" t="s">
        <v>24</v>
      </c>
      <c r="J87" s="225" t="s">
        <v>24</v>
      </c>
      <c r="K87" s="248" t="s">
        <v>24</v>
      </c>
      <c r="L87" s="248" t="s">
        <v>329</v>
      </c>
      <c r="M87" s="224" t="s">
        <v>24</v>
      </c>
      <c r="N87" s="107" t="s">
        <v>24</v>
      </c>
      <c r="O87" s="107" t="s">
        <v>24</v>
      </c>
      <c r="P87" s="225"/>
      <c r="Q87" s="250"/>
      <c r="R87" s="215" t="s">
        <v>24</v>
      </c>
      <c r="S87" s="225" t="s">
        <v>24</v>
      </c>
      <c r="T87" s="225" t="s">
        <v>24</v>
      </c>
      <c r="U87" s="225" t="s">
        <v>329</v>
      </c>
      <c r="V87" s="296"/>
      <c r="W87" s="377"/>
      <c r="X87" s="85"/>
      <c r="Y87" s="85"/>
      <c r="Z87" s="85"/>
      <c r="AA87" s="85"/>
      <c r="AB87" s="85"/>
      <c r="AC87" s="85"/>
    </row>
    <row r="88" spans="1:29" ht="409.6">
      <c r="A88" s="79" t="s">
        <v>708</v>
      </c>
      <c r="B88" s="243" t="s">
        <v>709</v>
      </c>
      <c r="C88" s="80" t="s">
        <v>728</v>
      </c>
      <c r="D88" s="86" t="s">
        <v>729</v>
      </c>
      <c r="E88" s="87" t="s">
        <v>325</v>
      </c>
      <c r="F88" s="87" t="s">
        <v>477</v>
      </c>
      <c r="G88" s="246" t="s">
        <v>730</v>
      </c>
      <c r="H88" s="256"/>
      <c r="I88" s="298" t="s">
        <v>24</v>
      </c>
      <c r="J88" s="298" t="s">
        <v>24</v>
      </c>
      <c r="K88" s="245" t="s">
        <v>337</v>
      </c>
      <c r="L88" s="248" t="s">
        <v>482</v>
      </c>
      <c r="M88" s="224" t="s">
        <v>24</v>
      </c>
      <c r="N88" s="107" t="s">
        <v>24</v>
      </c>
      <c r="O88" s="107" t="s">
        <v>24</v>
      </c>
      <c r="P88" s="107"/>
      <c r="Q88" s="254"/>
      <c r="R88" s="267" t="s">
        <v>24</v>
      </c>
      <c r="S88" s="107" t="s">
        <v>24</v>
      </c>
      <c r="T88" s="107" t="s">
        <v>24</v>
      </c>
      <c r="U88" s="225" t="s">
        <v>483</v>
      </c>
      <c r="V88" s="296" t="s">
        <v>731</v>
      </c>
      <c r="W88" s="377"/>
      <c r="X88" s="85"/>
      <c r="Y88" s="85"/>
      <c r="Z88" s="85"/>
      <c r="AA88" s="85"/>
      <c r="AB88" s="85"/>
      <c r="AC88" s="85"/>
    </row>
    <row r="89" spans="1:29" ht="409.6">
      <c r="A89" s="79" t="s">
        <v>708</v>
      </c>
      <c r="B89" s="243" t="s">
        <v>709</v>
      </c>
      <c r="C89" s="80" t="s">
        <v>732</v>
      </c>
      <c r="D89" s="81" t="s">
        <v>733</v>
      </c>
      <c r="E89" s="87" t="s">
        <v>325</v>
      </c>
      <c r="F89" s="87" t="s">
        <v>326</v>
      </c>
      <c r="G89" s="246" t="s">
        <v>734</v>
      </c>
      <c r="H89" s="256" t="s">
        <v>735</v>
      </c>
      <c r="I89" s="225" t="s">
        <v>736</v>
      </c>
      <c r="J89" s="225" t="s">
        <v>317</v>
      </c>
      <c r="K89" s="248" t="s">
        <v>736</v>
      </c>
      <c r="L89" s="248" t="s">
        <v>482</v>
      </c>
      <c r="M89" s="224" t="s">
        <v>24</v>
      </c>
      <c r="N89" s="107" t="s">
        <v>27</v>
      </c>
      <c r="O89" s="107" t="s">
        <v>24</v>
      </c>
      <c r="P89" s="107" t="s">
        <v>626</v>
      </c>
      <c r="Q89" s="254" t="s">
        <v>339</v>
      </c>
      <c r="R89" s="225" t="s">
        <v>27</v>
      </c>
      <c r="S89" s="225" t="s">
        <v>27</v>
      </c>
      <c r="T89" s="225" t="s">
        <v>27</v>
      </c>
      <c r="U89" s="225" t="s">
        <v>341</v>
      </c>
      <c r="V89" s="296" t="s">
        <v>737</v>
      </c>
      <c r="W89" s="377"/>
      <c r="X89" s="87"/>
      <c r="Y89" s="87"/>
      <c r="Z89" s="87" t="s">
        <v>377</v>
      </c>
      <c r="AA89" s="87"/>
      <c r="AB89" s="87"/>
      <c r="AC89" s="87"/>
    </row>
    <row r="90" spans="1:29" ht="167.25" customHeight="1">
      <c r="A90" s="79" t="s">
        <v>708</v>
      </c>
      <c r="B90" s="243" t="s">
        <v>709</v>
      </c>
      <c r="C90" s="80" t="s">
        <v>738</v>
      </c>
      <c r="D90" s="81" t="s">
        <v>739</v>
      </c>
      <c r="E90" s="87" t="s">
        <v>325</v>
      </c>
      <c r="F90" s="87" t="s">
        <v>326</v>
      </c>
      <c r="G90" s="246" t="s">
        <v>740</v>
      </c>
      <c r="H90" s="256" t="s">
        <v>741</v>
      </c>
      <c r="I90" s="298" t="s">
        <v>24</v>
      </c>
      <c r="J90" s="298" t="s">
        <v>24</v>
      </c>
      <c r="K90" s="298" t="s">
        <v>24</v>
      </c>
      <c r="L90" s="248" t="s">
        <v>482</v>
      </c>
      <c r="M90" s="232" t="s">
        <v>24</v>
      </c>
      <c r="N90" s="233" t="s">
        <v>24</v>
      </c>
      <c r="O90" s="233" t="s">
        <v>24</v>
      </c>
      <c r="P90" s="107" t="s">
        <v>626</v>
      </c>
      <c r="Q90" s="254" t="s">
        <v>339</v>
      </c>
      <c r="R90" s="298" t="s">
        <v>24</v>
      </c>
      <c r="S90" s="298" t="s">
        <v>24</v>
      </c>
      <c r="T90" s="298" t="s">
        <v>24</v>
      </c>
      <c r="U90" s="225" t="s">
        <v>329</v>
      </c>
      <c r="V90" s="299" t="s">
        <v>742</v>
      </c>
      <c r="W90" s="377"/>
      <c r="X90" s="85"/>
      <c r="Y90" s="85"/>
      <c r="Z90" s="85"/>
      <c r="AA90" s="85"/>
      <c r="AB90" s="85"/>
      <c r="AC90" s="85"/>
    </row>
    <row r="91" spans="1:29" ht="409.6">
      <c r="A91" s="79" t="s">
        <v>708</v>
      </c>
      <c r="B91" s="243" t="s">
        <v>709</v>
      </c>
      <c r="C91" s="80" t="s">
        <v>743</v>
      </c>
      <c r="D91" s="81" t="s">
        <v>744</v>
      </c>
      <c r="E91" s="87" t="s">
        <v>325</v>
      </c>
      <c r="F91" s="87" t="s">
        <v>326</v>
      </c>
      <c r="G91" s="246" t="s">
        <v>745</v>
      </c>
      <c r="H91" s="256" t="s">
        <v>746</v>
      </c>
      <c r="I91" s="245" t="s">
        <v>337</v>
      </c>
      <c r="J91" s="245" t="s">
        <v>337</v>
      </c>
      <c r="K91" s="257" t="s">
        <v>337</v>
      </c>
      <c r="L91" s="248" t="s">
        <v>482</v>
      </c>
      <c r="M91" s="224" t="s">
        <v>27</v>
      </c>
      <c r="N91" s="107" t="s">
        <v>27</v>
      </c>
      <c r="O91" s="107" t="s">
        <v>27</v>
      </c>
      <c r="P91" s="81" t="s">
        <v>620</v>
      </c>
      <c r="Q91" s="254" t="s">
        <v>364</v>
      </c>
      <c r="R91" s="224" t="s">
        <v>27</v>
      </c>
      <c r="S91" s="107" t="s">
        <v>27</v>
      </c>
      <c r="T91" s="107" t="s">
        <v>27</v>
      </c>
      <c r="U91" s="225" t="s">
        <v>341</v>
      </c>
      <c r="V91" s="296" t="s">
        <v>747</v>
      </c>
      <c r="W91" s="377"/>
      <c r="X91" s="85"/>
      <c r="Y91" s="85"/>
      <c r="Z91" s="85"/>
      <c r="AA91" s="85"/>
      <c r="AB91" s="85"/>
      <c r="AC91" s="85"/>
    </row>
    <row r="92" spans="1:29" s="302" customFormat="1" ht="409.6">
      <c r="A92" s="300" t="s">
        <v>708</v>
      </c>
      <c r="B92" s="243" t="s">
        <v>709</v>
      </c>
      <c r="C92" s="301" t="s">
        <v>748</v>
      </c>
      <c r="D92" s="81" t="s">
        <v>749</v>
      </c>
      <c r="E92" s="225" t="s">
        <v>325</v>
      </c>
      <c r="F92" s="225" t="s">
        <v>326</v>
      </c>
      <c r="G92" s="246" t="s">
        <v>750</v>
      </c>
      <c r="H92" s="234" t="s">
        <v>751</v>
      </c>
      <c r="I92" s="225" t="s">
        <v>24</v>
      </c>
      <c r="J92" s="225" t="s">
        <v>317</v>
      </c>
      <c r="K92" s="248" t="s">
        <v>24</v>
      </c>
      <c r="L92" s="248" t="s">
        <v>482</v>
      </c>
      <c r="M92" s="232" t="s">
        <v>24</v>
      </c>
      <c r="N92" s="233" t="s">
        <v>27</v>
      </c>
      <c r="O92" s="233" t="s">
        <v>24</v>
      </c>
      <c r="P92" s="107" t="s">
        <v>626</v>
      </c>
      <c r="Q92" s="254"/>
      <c r="R92" s="225" t="s">
        <v>24</v>
      </c>
      <c r="S92" s="225" t="s">
        <v>27</v>
      </c>
      <c r="T92" s="248" t="s">
        <v>24</v>
      </c>
      <c r="U92" s="225" t="s">
        <v>329</v>
      </c>
      <c r="V92" s="299" t="s">
        <v>752</v>
      </c>
      <c r="W92" s="411"/>
      <c r="X92" s="171"/>
      <c r="Y92" s="171"/>
      <c r="Z92" s="171"/>
      <c r="AA92" s="171"/>
      <c r="AB92" s="171"/>
      <c r="AC92" s="171"/>
    </row>
    <row r="93" spans="1:29" ht="136.5" customHeight="1">
      <c r="A93" s="79" t="s">
        <v>313</v>
      </c>
      <c r="B93" s="243" t="s">
        <v>314</v>
      </c>
      <c r="C93" s="80" t="s">
        <v>753</v>
      </c>
      <c r="D93" s="81" t="s">
        <v>754</v>
      </c>
      <c r="E93" s="87" t="s">
        <v>325</v>
      </c>
      <c r="F93" s="87" t="s">
        <v>326</v>
      </c>
      <c r="G93" s="246" t="s">
        <v>755</v>
      </c>
      <c r="H93" s="234" t="s">
        <v>756</v>
      </c>
      <c r="I93" s="225" t="s">
        <v>24</v>
      </c>
      <c r="J93" s="225" t="s">
        <v>24</v>
      </c>
      <c r="K93" s="248" t="s">
        <v>24</v>
      </c>
      <c r="L93" s="248" t="s">
        <v>329</v>
      </c>
      <c r="M93" s="224" t="s">
        <v>24</v>
      </c>
      <c r="N93" s="107" t="s">
        <v>24</v>
      </c>
      <c r="O93" s="107" t="s">
        <v>24</v>
      </c>
      <c r="P93" s="107" t="s">
        <v>626</v>
      </c>
      <c r="Q93" s="254"/>
      <c r="R93" s="215" t="s">
        <v>24</v>
      </c>
      <c r="S93" s="225" t="s">
        <v>24</v>
      </c>
      <c r="T93" s="225" t="s">
        <v>24</v>
      </c>
      <c r="U93" s="225" t="s">
        <v>329</v>
      </c>
      <c r="V93" s="251"/>
      <c r="W93" s="377"/>
      <c r="X93" s="85"/>
      <c r="Y93" s="85"/>
      <c r="Z93" s="85"/>
      <c r="AA93" s="85"/>
      <c r="AB93" s="85"/>
      <c r="AC93" s="85"/>
    </row>
    <row r="94" spans="1:29" ht="409.6">
      <c r="A94" s="79" t="s">
        <v>313</v>
      </c>
      <c r="B94" s="243" t="s">
        <v>314</v>
      </c>
      <c r="C94" s="80" t="s">
        <v>84</v>
      </c>
      <c r="D94" s="81" t="s">
        <v>757</v>
      </c>
      <c r="E94" s="87" t="s">
        <v>325</v>
      </c>
      <c r="F94" s="87" t="s">
        <v>326</v>
      </c>
      <c r="G94" s="246" t="s">
        <v>758</v>
      </c>
      <c r="H94" s="234" t="s">
        <v>759</v>
      </c>
      <c r="I94" s="225" t="s">
        <v>24</v>
      </c>
      <c r="J94" s="225" t="s">
        <v>24</v>
      </c>
      <c r="K94" s="248" t="s">
        <v>24</v>
      </c>
      <c r="L94" s="248" t="s">
        <v>329</v>
      </c>
      <c r="M94" s="224" t="s">
        <v>24</v>
      </c>
      <c r="N94" s="107" t="s">
        <v>24</v>
      </c>
      <c r="O94" s="107" t="s">
        <v>24</v>
      </c>
      <c r="P94" s="107" t="s">
        <v>626</v>
      </c>
      <c r="Q94" s="254"/>
      <c r="R94" s="215" t="s">
        <v>24</v>
      </c>
      <c r="S94" s="225" t="s">
        <v>24</v>
      </c>
      <c r="T94" s="225" t="s">
        <v>24</v>
      </c>
      <c r="U94" s="225" t="s">
        <v>329</v>
      </c>
      <c r="V94" s="251"/>
      <c r="W94" s="377"/>
      <c r="X94" s="85"/>
      <c r="Y94" s="85"/>
      <c r="Z94" s="85"/>
      <c r="AA94" s="85"/>
      <c r="AB94" s="85"/>
      <c r="AC94" s="85"/>
    </row>
    <row r="95" spans="1:29" ht="330">
      <c r="A95" s="79" t="s">
        <v>313</v>
      </c>
      <c r="B95" s="243" t="s">
        <v>314</v>
      </c>
      <c r="C95" s="80" t="s">
        <v>760</v>
      </c>
      <c r="D95" s="81" t="s">
        <v>761</v>
      </c>
      <c r="E95" s="87" t="s">
        <v>325</v>
      </c>
      <c r="F95" s="87" t="s">
        <v>477</v>
      </c>
      <c r="G95" s="246" t="s">
        <v>762</v>
      </c>
      <c r="H95" s="303" t="s">
        <v>763</v>
      </c>
      <c r="I95" s="225" t="s">
        <v>24</v>
      </c>
      <c r="J95" s="225" t="s">
        <v>24</v>
      </c>
      <c r="K95" s="248" t="s">
        <v>24</v>
      </c>
      <c r="L95" s="248" t="s">
        <v>329</v>
      </c>
      <c r="M95" s="224" t="s">
        <v>24</v>
      </c>
      <c r="N95" s="107" t="s">
        <v>24</v>
      </c>
      <c r="O95" s="107" t="s">
        <v>24</v>
      </c>
      <c r="P95" s="225"/>
      <c r="Q95" s="250"/>
      <c r="R95" s="215" t="s">
        <v>24</v>
      </c>
      <c r="S95" s="225" t="s">
        <v>24</v>
      </c>
      <c r="T95" s="225" t="s">
        <v>24</v>
      </c>
      <c r="U95" s="225" t="s">
        <v>329</v>
      </c>
      <c r="V95" s="251"/>
      <c r="W95" s="377"/>
      <c r="X95" s="85"/>
      <c r="Y95" s="85"/>
      <c r="Z95" s="85"/>
      <c r="AA95" s="85"/>
      <c r="AB95" s="85"/>
      <c r="AC95" s="85"/>
    </row>
    <row r="96" spans="1:29" ht="409.6">
      <c r="A96" s="79" t="s">
        <v>313</v>
      </c>
      <c r="B96" s="243" t="s">
        <v>314</v>
      </c>
      <c r="C96" s="80" t="s">
        <v>764</v>
      </c>
      <c r="D96" s="86" t="s">
        <v>765</v>
      </c>
      <c r="E96" s="245" t="s">
        <v>27</v>
      </c>
      <c r="F96" s="87" t="s">
        <v>317</v>
      </c>
      <c r="G96" s="246" t="s">
        <v>766</v>
      </c>
      <c r="H96" s="256" t="s">
        <v>767</v>
      </c>
      <c r="I96" s="247" t="s">
        <v>317</v>
      </c>
      <c r="J96" s="247" t="s">
        <v>317</v>
      </c>
      <c r="K96" s="247" t="s">
        <v>317</v>
      </c>
      <c r="L96" s="248"/>
      <c r="M96" s="249"/>
      <c r="N96" s="225"/>
      <c r="O96" s="225"/>
      <c r="P96" s="225"/>
      <c r="Q96" s="250"/>
      <c r="R96" s="215" t="s">
        <v>27</v>
      </c>
      <c r="S96" s="215" t="s">
        <v>27</v>
      </c>
      <c r="T96" s="215" t="s">
        <v>27</v>
      </c>
      <c r="U96" s="225"/>
      <c r="V96" s="251"/>
      <c r="W96" s="377"/>
      <c r="X96" s="85"/>
      <c r="Y96" s="85"/>
      <c r="Z96" s="85"/>
      <c r="AA96" s="85"/>
      <c r="AB96" s="85"/>
      <c r="AC96" s="85"/>
    </row>
    <row r="97" spans="1:29" ht="123.75">
      <c r="A97" s="79" t="s">
        <v>768</v>
      </c>
      <c r="B97" s="243" t="s">
        <v>314</v>
      </c>
      <c r="C97" s="80" t="s">
        <v>769</v>
      </c>
      <c r="D97" s="81" t="s">
        <v>770</v>
      </c>
      <c r="E97" s="245" t="s">
        <v>27</v>
      </c>
      <c r="F97" s="87" t="s">
        <v>317</v>
      </c>
      <c r="G97" s="259"/>
      <c r="H97" s="256"/>
      <c r="I97" s="247" t="s">
        <v>317</v>
      </c>
      <c r="J97" s="247" t="s">
        <v>317</v>
      </c>
      <c r="K97" s="247" t="s">
        <v>317</v>
      </c>
      <c r="L97" s="248"/>
      <c r="M97" s="249"/>
      <c r="N97" s="225"/>
      <c r="O97" s="225"/>
      <c r="P97" s="225"/>
      <c r="Q97" s="250"/>
      <c r="R97" s="215" t="s">
        <v>27</v>
      </c>
      <c r="S97" s="215" t="s">
        <v>27</v>
      </c>
      <c r="T97" s="215" t="s">
        <v>27</v>
      </c>
      <c r="U97" s="225"/>
      <c r="V97" s="251"/>
      <c r="W97" s="377"/>
      <c r="X97" s="85"/>
      <c r="Y97" s="85"/>
      <c r="Z97" s="85"/>
      <c r="AA97" s="85"/>
      <c r="AB97" s="85"/>
      <c r="AC97" s="85"/>
    </row>
    <row r="98" spans="1:29" ht="27">
      <c r="A98" s="79" t="s">
        <v>313</v>
      </c>
      <c r="B98" s="243" t="s">
        <v>314</v>
      </c>
      <c r="C98" s="80" t="s">
        <v>771</v>
      </c>
      <c r="D98" s="81" t="s">
        <v>772</v>
      </c>
      <c r="E98" s="87" t="s">
        <v>325</v>
      </c>
      <c r="F98" s="87" t="s">
        <v>477</v>
      </c>
      <c r="G98" s="246" t="s">
        <v>773</v>
      </c>
      <c r="H98" s="234" t="s">
        <v>774</v>
      </c>
      <c r="I98" s="225" t="s">
        <v>24</v>
      </c>
      <c r="J98" s="225" t="s">
        <v>24</v>
      </c>
      <c r="K98" s="248" t="s">
        <v>24</v>
      </c>
      <c r="L98" s="248" t="s">
        <v>329</v>
      </c>
      <c r="M98" s="224" t="s">
        <v>24</v>
      </c>
      <c r="N98" s="107" t="s">
        <v>24</v>
      </c>
      <c r="O98" s="107" t="s">
        <v>24</v>
      </c>
      <c r="P98" s="225"/>
      <c r="Q98" s="250"/>
      <c r="R98" s="215" t="s">
        <v>24</v>
      </c>
      <c r="S98" s="225" t="s">
        <v>24</v>
      </c>
      <c r="T98" s="225" t="s">
        <v>24</v>
      </c>
      <c r="U98" s="225" t="s">
        <v>329</v>
      </c>
      <c r="V98" s="251" t="s">
        <v>775</v>
      </c>
      <c r="W98" s="377"/>
      <c r="X98" s="85"/>
      <c r="Y98" s="85"/>
      <c r="Z98" s="85"/>
      <c r="AA98" s="85"/>
      <c r="AB98" s="85"/>
      <c r="AC98" s="85"/>
    </row>
    <row r="99" spans="1:29" ht="409.6">
      <c r="A99" s="79" t="s">
        <v>313</v>
      </c>
      <c r="B99" s="243" t="s">
        <v>314</v>
      </c>
      <c r="C99" s="80" t="s">
        <v>776</v>
      </c>
      <c r="D99" s="81" t="s">
        <v>777</v>
      </c>
      <c r="E99" s="87" t="s">
        <v>325</v>
      </c>
      <c r="F99" s="87" t="s">
        <v>477</v>
      </c>
      <c r="G99" s="246" t="s">
        <v>778</v>
      </c>
      <c r="H99" s="303" t="s">
        <v>779</v>
      </c>
      <c r="I99" s="225" t="s">
        <v>24</v>
      </c>
      <c r="J99" s="225" t="s">
        <v>24</v>
      </c>
      <c r="K99" s="248" t="s">
        <v>24</v>
      </c>
      <c r="L99" s="248" t="s">
        <v>329</v>
      </c>
      <c r="M99" s="224" t="s">
        <v>24</v>
      </c>
      <c r="N99" s="107" t="s">
        <v>24</v>
      </c>
      <c r="O99" s="107" t="s">
        <v>24</v>
      </c>
      <c r="P99" s="225"/>
      <c r="Q99" s="250"/>
      <c r="R99" s="215" t="s">
        <v>24</v>
      </c>
      <c r="S99" s="225" t="s">
        <v>24</v>
      </c>
      <c r="T99" s="225" t="s">
        <v>24</v>
      </c>
      <c r="U99" s="225" t="s">
        <v>329</v>
      </c>
      <c r="V99" s="251"/>
      <c r="W99" s="377"/>
      <c r="X99" s="85"/>
      <c r="Y99" s="85"/>
      <c r="Z99" s="85"/>
      <c r="AA99" s="85"/>
      <c r="AB99" s="85"/>
      <c r="AC99" s="85"/>
    </row>
    <row r="100" spans="1:29" ht="409.6">
      <c r="A100" s="79" t="s">
        <v>313</v>
      </c>
      <c r="B100" s="243" t="s">
        <v>314</v>
      </c>
      <c r="C100" s="80" t="s">
        <v>780</v>
      </c>
      <c r="D100" s="81" t="s">
        <v>781</v>
      </c>
      <c r="E100" s="245" t="s">
        <v>27</v>
      </c>
      <c r="F100" s="87" t="s">
        <v>317</v>
      </c>
      <c r="G100" s="259"/>
      <c r="H100" s="256" t="s">
        <v>782</v>
      </c>
      <c r="I100" s="247" t="s">
        <v>317</v>
      </c>
      <c r="J100" s="247" t="s">
        <v>317</v>
      </c>
      <c r="K100" s="247" t="s">
        <v>317</v>
      </c>
      <c r="L100" s="248"/>
      <c r="M100" s="249"/>
      <c r="N100" s="225"/>
      <c r="O100" s="225"/>
      <c r="P100" s="225"/>
      <c r="Q100" s="250"/>
      <c r="R100" s="215" t="s">
        <v>27</v>
      </c>
      <c r="S100" s="215" t="s">
        <v>27</v>
      </c>
      <c r="T100" s="215" t="s">
        <v>27</v>
      </c>
      <c r="U100" s="225"/>
      <c r="V100" s="251"/>
      <c r="W100" s="377"/>
      <c r="X100" s="85"/>
      <c r="Y100" s="85"/>
      <c r="Z100" s="85"/>
      <c r="AA100" s="85"/>
      <c r="AB100" s="85"/>
      <c r="AC100" s="85"/>
    </row>
    <row r="101" spans="1:29" ht="27">
      <c r="A101" s="79" t="s">
        <v>783</v>
      </c>
      <c r="B101" s="243" t="s">
        <v>784</v>
      </c>
      <c r="C101" s="80" t="s">
        <v>785</v>
      </c>
      <c r="D101" s="81" t="s">
        <v>786</v>
      </c>
      <c r="E101" s="87" t="s">
        <v>325</v>
      </c>
      <c r="F101" s="87" t="s">
        <v>326</v>
      </c>
      <c r="G101" s="246" t="s">
        <v>787</v>
      </c>
      <c r="H101" s="234" t="s">
        <v>788</v>
      </c>
      <c r="I101" s="225" t="s">
        <v>24</v>
      </c>
      <c r="J101" s="245" t="s">
        <v>337</v>
      </c>
      <c r="K101" s="248" t="s">
        <v>24</v>
      </c>
      <c r="L101" s="248" t="s">
        <v>329</v>
      </c>
      <c r="M101" s="224" t="s">
        <v>24</v>
      </c>
      <c r="N101" s="104" t="s">
        <v>27</v>
      </c>
      <c r="O101" s="107" t="s">
        <v>24</v>
      </c>
      <c r="P101" s="107"/>
      <c r="Q101" s="254"/>
      <c r="R101" s="267" t="s">
        <v>24</v>
      </c>
      <c r="S101" s="215" t="s">
        <v>27</v>
      </c>
      <c r="T101" s="107" t="s">
        <v>24</v>
      </c>
      <c r="U101" s="225" t="s">
        <v>329</v>
      </c>
      <c r="V101" s="251" t="s">
        <v>789</v>
      </c>
      <c r="W101" s="377"/>
      <c r="X101" s="85"/>
      <c r="Y101" s="85"/>
      <c r="Z101" s="85"/>
      <c r="AA101" s="85"/>
      <c r="AB101" s="85"/>
      <c r="AC101" s="85"/>
    </row>
    <row r="102" spans="1:29" ht="409.6">
      <c r="A102" s="79" t="s">
        <v>783</v>
      </c>
      <c r="B102" s="243" t="s">
        <v>784</v>
      </c>
      <c r="C102" s="80" t="s">
        <v>790</v>
      </c>
      <c r="D102" s="81" t="s">
        <v>791</v>
      </c>
      <c r="E102" s="245" t="s">
        <v>27</v>
      </c>
      <c r="F102" s="87" t="s">
        <v>317</v>
      </c>
      <c r="G102" s="259"/>
      <c r="H102" s="256" t="s">
        <v>792</v>
      </c>
      <c r="I102" s="247" t="s">
        <v>317</v>
      </c>
      <c r="J102" s="247" t="s">
        <v>317</v>
      </c>
      <c r="K102" s="247" t="s">
        <v>317</v>
      </c>
      <c r="L102" s="248"/>
      <c r="M102" s="249"/>
      <c r="N102" s="225"/>
      <c r="O102" s="225"/>
      <c r="P102" s="225"/>
      <c r="Q102" s="250"/>
      <c r="R102" s="215" t="s">
        <v>27</v>
      </c>
      <c r="S102" s="215" t="s">
        <v>27</v>
      </c>
      <c r="T102" s="215" t="s">
        <v>27</v>
      </c>
      <c r="U102" s="225"/>
      <c r="V102" s="251"/>
      <c r="W102" s="377"/>
      <c r="X102" s="85"/>
      <c r="Y102" s="85"/>
      <c r="Z102" s="85"/>
      <c r="AA102" s="85"/>
      <c r="AB102" s="85"/>
      <c r="AC102" s="85"/>
    </row>
    <row r="103" spans="1:29" ht="37.5">
      <c r="A103" s="79" t="s">
        <v>783</v>
      </c>
      <c r="B103" s="243" t="s">
        <v>784</v>
      </c>
      <c r="C103" s="80" t="s">
        <v>793</v>
      </c>
      <c r="D103" s="81" t="s">
        <v>794</v>
      </c>
      <c r="E103" s="87" t="s">
        <v>325</v>
      </c>
      <c r="F103" s="87" t="s">
        <v>326</v>
      </c>
      <c r="G103" s="246" t="s">
        <v>795</v>
      </c>
      <c r="H103" s="234" t="s">
        <v>796</v>
      </c>
      <c r="I103" s="225" t="s">
        <v>24</v>
      </c>
      <c r="J103" s="225" t="s">
        <v>317</v>
      </c>
      <c r="K103" s="248" t="s">
        <v>24</v>
      </c>
      <c r="L103" s="248" t="s">
        <v>329</v>
      </c>
      <c r="M103" s="224" t="s">
        <v>24</v>
      </c>
      <c r="N103" s="107" t="s">
        <v>27</v>
      </c>
      <c r="O103" s="107" t="s">
        <v>24</v>
      </c>
      <c r="P103" s="225"/>
      <c r="Q103" s="250"/>
      <c r="R103" s="215" t="s">
        <v>24</v>
      </c>
      <c r="S103" s="225" t="s">
        <v>27</v>
      </c>
      <c r="T103" s="225" t="s">
        <v>24</v>
      </c>
      <c r="U103" s="225" t="s">
        <v>329</v>
      </c>
      <c r="V103" s="251" t="s">
        <v>797</v>
      </c>
      <c r="W103" s="377"/>
      <c r="X103" s="85"/>
      <c r="Y103" s="85"/>
      <c r="Z103" s="85"/>
      <c r="AA103" s="85"/>
      <c r="AB103" s="85"/>
      <c r="AC103" s="85"/>
    </row>
    <row r="104" spans="1:29" ht="409.6">
      <c r="A104" s="79" t="s">
        <v>783</v>
      </c>
      <c r="B104" s="243" t="s">
        <v>784</v>
      </c>
      <c r="C104" s="80" t="s">
        <v>80</v>
      </c>
      <c r="D104" s="81" t="s">
        <v>798</v>
      </c>
      <c r="E104" s="87" t="s">
        <v>325</v>
      </c>
      <c r="F104" s="87" t="s">
        <v>326</v>
      </c>
      <c r="G104" s="246" t="s">
        <v>799</v>
      </c>
      <c r="H104" s="234" t="s">
        <v>800</v>
      </c>
      <c r="I104" s="245" t="s">
        <v>337</v>
      </c>
      <c r="J104" s="225" t="s">
        <v>317</v>
      </c>
      <c r="K104" s="257" t="s">
        <v>337</v>
      </c>
      <c r="L104" s="248" t="s">
        <v>329</v>
      </c>
      <c r="M104" s="249" t="s">
        <v>24</v>
      </c>
      <c r="N104" s="225" t="s">
        <v>27</v>
      </c>
      <c r="O104" s="225" t="s">
        <v>24</v>
      </c>
      <c r="P104" s="225"/>
      <c r="Q104" s="250"/>
      <c r="R104" s="215" t="s">
        <v>24</v>
      </c>
      <c r="S104" s="225" t="s">
        <v>27</v>
      </c>
      <c r="T104" s="225" t="s">
        <v>24</v>
      </c>
      <c r="U104" s="225" t="s">
        <v>329</v>
      </c>
      <c r="V104" s="251" t="s">
        <v>801</v>
      </c>
      <c r="W104" s="377"/>
      <c r="X104" s="85"/>
      <c r="Y104" s="85"/>
      <c r="Z104" s="85"/>
      <c r="AA104" s="85"/>
      <c r="AB104" s="85"/>
      <c r="AC104" s="85"/>
    </row>
    <row r="105" spans="1:29" ht="409.6">
      <c r="A105" s="79" t="s">
        <v>783</v>
      </c>
      <c r="B105" s="243" t="s">
        <v>784</v>
      </c>
      <c r="C105" s="80" t="s">
        <v>802</v>
      </c>
      <c r="D105" s="81" t="s">
        <v>803</v>
      </c>
      <c r="E105" s="87" t="s">
        <v>325</v>
      </c>
      <c r="F105" s="87" t="s">
        <v>326</v>
      </c>
      <c r="G105" s="246" t="s">
        <v>804</v>
      </c>
      <c r="H105" s="234" t="s">
        <v>805</v>
      </c>
      <c r="I105" s="225" t="s">
        <v>24</v>
      </c>
      <c r="J105" s="247" t="s">
        <v>317</v>
      </c>
      <c r="K105" s="248" t="s">
        <v>24</v>
      </c>
      <c r="L105" s="248" t="s">
        <v>329</v>
      </c>
      <c r="M105" s="224" t="s">
        <v>24</v>
      </c>
      <c r="N105" s="107" t="s">
        <v>806</v>
      </c>
      <c r="O105" s="107" t="s">
        <v>24</v>
      </c>
      <c r="P105" s="225"/>
      <c r="Q105" s="250"/>
      <c r="R105" s="215" t="s">
        <v>24</v>
      </c>
      <c r="S105" s="225" t="s">
        <v>27</v>
      </c>
      <c r="T105" s="225" t="s">
        <v>24</v>
      </c>
      <c r="U105" s="225" t="s">
        <v>329</v>
      </c>
      <c r="V105" s="251" t="s">
        <v>807</v>
      </c>
      <c r="W105" s="377"/>
      <c r="X105" s="85"/>
      <c r="Y105" s="85"/>
      <c r="Z105" s="85"/>
      <c r="AA105" s="85"/>
      <c r="AB105" s="85"/>
      <c r="AC105" s="85"/>
    </row>
    <row r="106" spans="1:29" ht="409.6">
      <c r="A106" s="79" t="s">
        <v>783</v>
      </c>
      <c r="B106" s="243" t="s">
        <v>784</v>
      </c>
      <c r="C106" s="80" t="s">
        <v>808</v>
      </c>
      <c r="D106" s="81" t="s">
        <v>809</v>
      </c>
      <c r="E106" s="245" t="s">
        <v>27</v>
      </c>
      <c r="F106" s="87" t="s">
        <v>317</v>
      </c>
      <c r="G106" s="259"/>
      <c r="H106" s="256" t="s">
        <v>810</v>
      </c>
      <c r="I106" s="247" t="s">
        <v>317</v>
      </c>
      <c r="J106" s="247" t="s">
        <v>317</v>
      </c>
      <c r="K106" s="247" t="s">
        <v>317</v>
      </c>
      <c r="L106" s="248"/>
      <c r="M106" s="224"/>
      <c r="N106" s="107"/>
      <c r="O106" s="107"/>
      <c r="P106" s="225"/>
      <c r="Q106" s="250"/>
      <c r="R106" s="215" t="s">
        <v>27</v>
      </c>
      <c r="S106" s="215" t="s">
        <v>27</v>
      </c>
      <c r="T106" s="215" t="s">
        <v>27</v>
      </c>
      <c r="U106" s="225"/>
      <c r="V106" s="251"/>
      <c r="W106" s="377"/>
      <c r="X106" s="85"/>
      <c r="Y106" s="85"/>
      <c r="Z106" s="85"/>
      <c r="AA106" s="85"/>
      <c r="AB106" s="85"/>
      <c r="AC106" s="85"/>
    </row>
    <row r="107" spans="1:29" ht="27">
      <c r="A107" s="79" t="s">
        <v>783</v>
      </c>
      <c r="B107" s="243" t="s">
        <v>784</v>
      </c>
      <c r="C107" s="80" t="s">
        <v>811</v>
      </c>
      <c r="D107" s="81" t="s">
        <v>812</v>
      </c>
      <c r="E107" s="87" t="s">
        <v>325</v>
      </c>
      <c r="F107" s="87" t="s">
        <v>326</v>
      </c>
      <c r="G107" s="259"/>
      <c r="H107" s="256" t="s">
        <v>813</v>
      </c>
      <c r="I107" s="225" t="s">
        <v>311</v>
      </c>
      <c r="J107" s="225" t="s">
        <v>311</v>
      </c>
      <c r="K107" s="225" t="s">
        <v>311</v>
      </c>
      <c r="L107" s="248" t="s">
        <v>329</v>
      </c>
      <c r="M107" s="224" t="s">
        <v>26</v>
      </c>
      <c r="N107" s="107" t="s">
        <v>27</v>
      </c>
      <c r="O107" s="107" t="s">
        <v>26</v>
      </c>
      <c r="P107" s="225"/>
      <c r="Q107" s="250"/>
      <c r="R107" s="215" t="s">
        <v>28</v>
      </c>
      <c r="S107" s="225" t="s">
        <v>27</v>
      </c>
      <c r="T107" s="225" t="s">
        <v>28</v>
      </c>
      <c r="U107" s="225"/>
      <c r="V107" s="251" t="s">
        <v>814</v>
      </c>
      <c r="W107" s="377"/>
      <c r="X107" s="87"/>
      <c r="Y107" s="87" t="s">
        <v>377</v>
      </c>
      <c r="Z107" s="87"/>
      <c r="AA107" s="87"/>
      <c r="AB107" s="87"/>
      <c r="AC107" s="87"/>
    </row>
    <row r="108" spans="1:29" ht="409.6">
      <c r="A108" s="79" t="s">
        <v>783</v>
      </c>
      <c r="B108" s="243" t="s">
        <v>784</v>
      </c>
      <c r="C108" s="80" t="s">
        <v>815</v>
      </c>
      <c r="D108" s="81" t="s">
        <v>816</v>
      </c>
      <c r="E108" s="87" t="s">
        <v>325</v>
      </c>
      <c r="F108" s="87" t="s">
        <v>326</v>
      </c>
      <c r="G108" s="246" t="s">
        <v>817</v>
      </c>
      <c r="H108" s="234" t="s">
        <v>818</v>
      </c>
      <c r="I108" s="225" t="s">
        <v>24</v>
      </c>
      <c r="J108" s="247" t="s">
        <v>317</v>
      </c>
      <c r="K108" s="248" t="s">
        <v>24</v>
      </c>
      <c r="L108" s="248" t="s">
        <v>329</v>
      </c>
      <c r="M108" s="224" t="s">
        <v>24</v>
      </c>
      <c r="N108" s="107" t="s">
        <v>27</v>
      </c>
      <c r="O108" s="107" t="s">
        <v>24</v>
      </c>
      <c r="P108" s="225"/>
      <c r="Q108" s="250"/>
      <c r="R108" s="215" t="s">
        <v>24</v>
      </c>
      <c r="S108" s="225" t="s">
        <v>27</v>
      </c>
      <c r="T108" s="225" t="s">
        <v>24</v>
      </c>
      <c r="U108" s="225" t="s">
        <v>329</v>
      </c>
      <c r="V108" s="251" t="s">
        <v>819</v>
      </c>
      <c r="W108" s="377"/>
      <c r="X108" s="85"/>
      <c r="Y108" s="85"/>
      <c r="Z108" s="85"/>
      <c r="AA108" s="85"/>
      <c r="AB108" s="85"/>
      <c r="AC108" s="85"/>
    </row>
    <row r="109" spans="1:29" ht="409.6">
      <c r="A109" s="79" t="s">
        <v>313</v>
      </c>
      <c r="B109" s="243" t="s">
        <v>820</v>
      </c>
      <c r="C109" s="80" t="s">
        <v>821</v>
      </c>
      <c r="D109" s="81" t="s">
        <v>822</v>
      </c>
      <c r="E109" s="87" t="s">
        <v>325</v>
      </c>
      <c r="F109" s="87" t="s">
        <v>326</v>
      </c>
      <c r="G109" s="246" t="s">
        <v>823</v>
      </c>
      <c r="H109" s="234" t="s">
        <v>824</v>
      </c>
      <c r="I109" s="225" t="s">
        <v>24</v>
      </c>
      <c r="J109" s="248" t="s">
        <v>24</v>
      </c>
      <c r="K109" s="248" t="s">
        <v>24</v>
      </c>
      <c r="L109" s="248" t="s">
        <v>329</v>
      </c>
      <c r="M109" s="224" t="s">
        <v>24</v>
      </c>
      <c r="N109" s="107" t="s">
        <v>24</v>
      </c>
      <c r="O109" s="107" t="s">
        <v>24</v>
      </c>
      <c r="P109" s="225"/>
      <c r="Q109" s="250"/>
      <c r="R109" s="215" t="s">
        <v>24</v>
      </c>
      <c r="S109" s="225" t="s">
        <v>24</v>
      </c>
      <c r="T109" s="225" t="s">
        <v>24</v>
      </c>
      <c r="U109" s="225" t="s">
        <v>329</v>
      </c>
      <c r="V109" s="251"/>
      <c r="W109" s="377"/>
      <c r="X109" s="85"/>
      <c r="Y109" s="85"/>
      <c r="Z109" s="85"/>
      <c r="AA109" s="85"/>
      <c r="AB109" s="85"/>
      <c r="AC109" s="85"/>
    </row>
    <row r="110" spans="1:29" ht="409.6">
      <c r="A110" s="79" t="s">
        <v>313</v>
      </c>
      <c r="B110" s="243" t="s">
        <v>820</v>
      </c>
      <c r="C110" s="80" t="s">
        <v>821</v>
      </c>
      <c r="D110" s="81" t="s">
        <v>825</v>
      </c>
      <c r="E110" s="87" t="s">
        <v>325</v>
      </c>
      <c r="F110" s="87" t="s">
        <v>326</v>
      </c>
      <c r="G110" s="246" t="s">
        <v>826</v>
      </c>
      <c r="H110" s="234" t="s">
        <v>827</v>
      </c>
      <c r="I110" s="304" t="s">
        <v>24</v>
      </c>
      <c r="J110" s="304" t="s">
        <v>24</v>
      </c>
      <c r="K110" s="305" t="s">
        <v>24</v>
      </c>
      <c r="L110" s="248" t="s">
        <v>329</v>
      </c>
      <c r="M110" s="224" t="s">
        <v>24</v>
      </c>
      <c r="N110" s="107" t="s">
        <v>24</v>
      </c>
      <c r="O110" s="107" t="s">
        <v>24</v>
      </c>
      <c r="P110" s="225"/>
      <c r="Q110" s="250"/>
      <c r="R110" s="215" t="s">
        <v>24</v>
      </c>
      <c r="S110" s="225" t="s">
        <v>24</v>
      </c>
      <c r="T110" s="225" t="s">
        <v>24</v>
      </c>
      <c r="U110" s="225" t="s">
        <v>329</v>
      </c>
      <c r="V110" s="251"/>
      <c r="W110" s="377"/>
      <c r="X110" s="85"/>
      <c r="Y110" s="85"/>
      <c r="Z110" s="85"/>
      <c r="AA110" s="85"/>
      <c r="AB110" s="85"/>
      <c r="AC110" s="85"/>
    </row>
    <row r="111" spans="1:29" ht="409.6">
      <c r="A111" s="79" t="s">
        <v>313</v>
      </c>
      <c r="B111" s="243" t="s">
        <v>820</v>
      </c>
      <c r="C111" s="80" t="s">
        <v>821</v>
      </c>
      <c r="D111" s="81" t="s">
        <v>828</v>
      </c>
      <c r="E111" s="87" t="s">
        <v>325</v>
      </c>
      <c r="F111" s="87" t="s">
        <v>326</v>
      </c>
      <c r="G111" s="246" t="s">
        <v>829</v>
      </c>
      <c r="H111" s="234" t="s">
        <v>830</v>
      </c>
      <c r="I111" s="304" t="s">
        <v>24</v>
      </c>
      <c r="J111" s="304" t="s">
        <v>24</v>
      </c>
      <c r="K111" s="305" t="s">
        <v>24</v>
      </c>
      <c r="L111" s="248" t="s">
        <v>329</v>
      </c>
      <c r="M111" s="224" t="s">
        <v>24</v>
      </c>
      <c r="N111" s="107" t="s">
        <v>24</v>
      </c>
      <c r="O111" s="107" t="s">
        <v>24</v>
      </c>
      <c r="P111" s="225"/>
      <c r="Q111" s="250"/>
      <c r="R111" s="215" t="s">
        <v>24</v>
      </c>
      <c r="S111" s="225" t="s">
        <v>24</v>
      </c>
      <c r="T111" s="225" t="s">
        <v>24</v>
      </c>
      <c r="U111" s="225" t="s">
        <v>329</v>
      </c>
      <c r="V111" s="251"/>
      <c r="W111" s="377"/>
      <c r="X111" s="85"/>
      <c r="Y111" s="85"/>
      <c r="Z111" s="85"/>
      <c r="AA111" s="85"/>
      <c r="AB111" s="85"/>
      <c r="AC111" s="85"/>
    </row>
    <row r="112" spans="1:29" ht="409.6">
      <c r="A112" s="79" t="s">
        <v>313</v>
      </c>
      <c r="B112" s="243" t="s">
        <v>820</v>
      </c>
      <c r="C112" s="80" t="s">
        <v>821</v>
      </c>
      <c r="D112" s="81" t="s">
        <v>831</v>
      </c>
      <c r="E112" s="87" t="s">
        <v>325</v>
      </c>
      <c r="F112" s="87" t="s">
        <v>326</v>
      </c>
      <c r="G112" s="246" t="s">
        <v>832</v>
      </c>
      <c r="H112" s="234" t="s">
        <v>827</v>
      </c>
      <c r="I112" s="304" t="s">
        <v>24</v>
      </c>
      <c r="J112" s="304" t="s">
        <v>24</v>
      </c>
      <c r="K112" s="305" t="s">
        <v>24</v>
      </c>
      <c r="L112" s="248" t="s">
        <v>329</v>
      </c>
      <c r="M112" s="232" t="s">
        <v>24</v>
      </c>
      <c r="N112" s="233" t="s">
        <v>24</v>
      </c>
      <c r="O112" s="233" t="s">
        <v>24</v>
      </c>
      <c r="P112" s="225"/>
      <c r="Q112" s="250"/>
      <c r="R112" s="215" t="s">
        <v>24</v>
      </c>
      <c r="S112" s="225" t="s">
        <v>24</v>
      </c>
      <c r="T112" s="225" t="s">
        <v>24</v>
      </c>
      <c r="U112" s="225" t="s">
        <v>329</v>
      </c>
      <c r="V112" s="251"/>
      <c r="W112" s="377"/>
      <c r="X112" s="85"/>
      <c r="Y112" s="85"/>
      <c r="Z112" s="85"/>
      <c r="AA112" s="85"/>
      <c r="AB112" s="85"/>
      <c r="AC112" s="85"/>
    </row>
    <row r="113" spans="1:29" s="54" customFormat="1" ht="409.6">
      <c r="A113" s="35" t="s">
        <v>313</v>
      </c>
      <c r="B113" s="387" t="s">
        <v>820</v>
      </c>
      <c r="C113" s="388" t="s">
        <v>821</v>
      </c>
      <c r="D113" s="389" t="s">
        <v>833</v>
      </c>
      <c r="E113" s="73" t="s">
        <v>325</v>
      </c>
      <c r="F113" s="73" t="s">
        <v>326</v>
      </c>
      <c r="G113" s="62" t="s">
        <v>834</v>
      </c>
      <c r="H113" s="390" t="s">
        <v>835</v>
      </c>
      <c r="I113" s="391" t="s">
        <v>337</v>
      </c>
      <c r="J113" s="391" t="s">
        <v>337</v>
      </c>
      <c r="K113" s="392" t="s">
        <v>337</v>
      </c>
      <c r="L113" s="393" t="s">
        <v>329</v>
      </c>
      <c r="M113" s="375" t="s">
        <v>24</v>
      </c>
      <c r="N113" s="376" t="s">
        <v>24</v>
      </c>
      <c r="O113" s="376" t="s">
        <v>24</v>
      </c>
      <c r="P113" s="76"/>
      <c r="Q113" s="394"/>
      <c r="R113" s="395" t="s">
        <v>24</v>
      </c>
      <c r="S113" s="391" t="s">
        <v>24</v>
      </c>
      <c r="T113" s="391" t="s">
        <v>24</v>
      </c>
      <c r="U113" s="76" t="s">
        <v>329</v>
      </c>
      <c r="V113" s="396" t="s">
        <v>836</v>
      </c>
      <c r="W113" s="410" t="s">
        <v>837</v>
      </c>
      <c r="X113" s="72"/>
      <c r="Y113" s="72"/>
      <c r="Z113" s="72"/>
      <c r="AA113" s="72"/>
      <c r="AB113" s="72"/>
      <c r="AC113" s="72"/>
    </row>
    <row r="114" spans="1:29" ht="409.6">
      <c r="A114" s="79" t="s">
        <v>313</v>
      </c>
      <c r="B114" s="243" t="s">
        <v>820</v>
      </c>
      <c r="C114" s="80" t="s">
        <v>821</v>
      </c>
      <c r="D114" s="86" t="s">
        <v>838</v>
      </c>
      <c r="E114" s="87" t="s">
        <v>325</v>
      </c>
      <c r="F114" s="87" t="s">
        <v>326</v>
      </c>
      <c r="G114" s="294" t="s">
        <v>839</v>
      </c>
      <c r="H114" s="234" t="s">
        <v>840</v>
      </c>
      <c r="I114" s="245" t="s">
        <v>337</v>
      </c>
      <c r="J114" s="245" t="s">
        <v>337</v>
      </c>
      <c r="K114" s="257" t="s">
        <v>337</v>
      </c>
      <c r="L114" s="248" t="s">
        <v>329</v>
      </c>
      <c r="M114" s="375" t="s">
        <v>24</v>
      </c>
      <c r="N114" s="376" t="s">
        <v>24</v>
      </c>
      <c r="O114" s="376" t="s">
        <v>24</v>
      </c>
      <c r="P114" s="225"/>
      <c r="Q114" s="250"/>
      <c r="R114" s="306" t="s">
        <v>24</v>
      </c>
      <c r="S114" s="298" t="s">
        <v>24</v>
      </c>
      <c r="T114" s="298" t="s">
        <v>24</v>
      </c>
      <c r="U114" s="225" t="s">
        <v>329</v>
      </c>
      <c r="V114" s="251" t="s">
        <v>841</v>
      </c>
      <c r="W114" s="377"/>
      <c r="X114" s="85"/>
      <c r="Y114" s="85"/>
      <c r="Z114" s="85"/>
      <c r="AA114" s="85"/>
      <c r="AB114" s="85"/>
      <c r="AC114" s="85"/>
    </row>
    <row r="115" spans="1:29" ht="409.6">
      <c r="A115" s="79" t="s">
        <v>313</v>
      </c>
      <c r="B115" s="243" t="s">
        <v>820</v>
      </c>
      <c r="C115" s="80" t="s">
        <v>821</v>
      </c>
      <c r="D115" s="81" t="s">
        <v>842</v>
      </c>
      <c r="E115" s="87" t="s">
        <v>325</v>
      </c>
      <c r="F115" s="87" t="s">
        <v>326</v>
      </c>
      <c r="G115" s="246" t="s">
        <v>843</v>
      </c>
      <c r="H115" s="234" t="s">
        <v>844</v>
      </c>
      <c r="I115" s="225" t="s">
        <v>24</v>
      </c>
      <c r="J115" s="225" t="s">
        <v>24</v>
      </c>
      <c r="K115" s="248" t="s">
        <v>24</v>
      </c>
      <c r="L115" s="248" t="s">
        <v>329</v>
      </c>
      <c r="M115" s="375" t="s">
        <v>24</v>
      </c>
      <c r="N115" s="376" t="s">
        <v>24</v>
      </c>
      <c r="O115" s="376" t="s">
        <v>24</v>
      </c>
      <c r="P115" s="225"/>
      <c r="Q115" s="250"/>
      <c r="R115" s="215" t="s">
        <v>24</v>
      </c>
      <c r="S115" s="215" t="s">
        <v>24</v>
      </c>
      <c r="T115" s="215" t="s">
        <v>24</v>
      </c>
      <c r="U115" s="225" t="s">
        <v>329</v>
      </c>
      <c r="V115" s="251"/>
      <c r="W115" s="377"/>
      <c r="X115" s="85"/>
      <c r="Y115" s="85"/>
      <c r="Z115" s="85"/>
      <c r="AA115" s="85"/>
      <c r="AB115" s="85"/>
      <c r="AC115" s="85"/>
    </row>
    <row r="116" spans="1:29" ht="409.6">
      <c r="A116" s="85" t="s">
        <v>845</v>
      </c>
      <c r="B116" s="87" t="s">
        <v>846</v>
      </c>
      <c r="C116" s="80" t="s">
        <v>847</v>
      </c>
      <c r="D116" s="81" t="s">
        <v>848</v>
      </c>
      <c r="E116" s="245" t="s">
        <v>27</v>
      </c>
      <c r="F116" s="87" t="s">
        <v>317</v>
      </c>
      <c r="G116" s="259"/>
      <c r="H116" s="256"/>
      <c r="I116" s="247" t="s">
        <v>317</v>
      </c>
      <c r="J116" s="247" t="s">
        <v>317</v>
      </c>
      <c r="K116" s="247" t="s">
        <v>317</v>
      </c>
      <c r="L116" s="248"/>
      <c r="M116" s="249"/>
      <c r="N116" s="225"/>
      <c r="O116" s="225"/>
      <c r="P116" s="225"/>
      <c r="Q116" s="250"/>
      <c r="R116" s="215" t="s">
        <v>27</v>
      </c>
      <c r="S116" s="215" t="s">
        <v>27</v>
      </c>
      <c r="T116" s="215" t="s">
        <v>27</v>
      </c>
      <c r="U116" s="225"/>
      <c r="V116" s="251" t="s">
        <v>849</v>
      </c>
      <c r="W116" s="377"/>
      <c r="X116" s="85"/>
      <c r="Y116" s="85"/>
      <c r="Z116" s="85"/>
      <c r="AA116" s="85"/>
      <c r="AB116" s="85"/>
      <c r="AC116" s="85"/>
    </row>
    <row r="117" spans="1:29" ht="27">
      <c r="A117" s="85" t="s">
        <v>845</v>
      </c>
      <c r="B117" s="87" t="s">
        <v>846</v>
      </c>
      <c r="C117" s="307" t="s">
        <v>80</v>
      </c>
      <c r="D117" s="81" t="s">
        <v>850</v>
      </c>
      <c r="E117" s="87" t="s">
        <v>325</v>
      </c>
      <c r="F117" s="87" t="s">
        <v>326</v>
      </c>
      <c r="G117" s="259"/>
      <c r="H117" s="256"/>
      <c r="I117" s="247" t="s">
        <v>28</v>
      </c>
      <c r="J117" s="247" t="s">
        <v>28</v>
      </c>
      <c r="K117" s="247" t="s">
        <v>28</v>
      </c>
      <c r="L117" s="248"/>
      <c r="M117" s="224" t="s">
        <v>28</v>
      </c>
      <c r="N117" s="107" t="s">
        <v>28</v>
      </c>
      <c r="O117" s="107" t="s">
        <v>28</v>
      </c>
      <c r="P117" s="107" t="s">
        <v>626</v>
      </c>
      <c r="Q117" s="254" t="s">
        <v>851</v>
      </c>
      <c r="R117" s="215" t="s">
        <v>28</v>
      </c>
      <c r="S117" s="215" t="s">
        <v>28</v>
      </c>
      <c r="T117" s="215" t="s">
        <v>28</v>
      </c>
      <c r="U117" s="225"/>
      <c r="V117" s="430" t="s">
        <v>852</v>
      </c>
      <c r="W117" s="377"/>
      <c r="X117" s="85"/>
      <c r="Y117" s="85"/>
      <c r="Z117" s="85"/>
      <c r="AA117" s="85"/>
      <c r="AB117" s="85"/>
      <c r="AC117" s="85"/>
    </row>
    <row r="118" spans="1:29" ht="27">
      <c r="A118" s="85" t="s">
        <v>845</v>
      </c>
      <c r="B118" s="87" t="s">
        <v>846</v>
      </c>
      <c r="C118" s="80" t="s">
        <v>853</v>
      </c>
      <c r="D118" s="86" t="s">
        <v>854</v>
      </c>
      <c r="E118" s="87" t="s">
        <v>325</v>
      </c>
      <c r="F118" s="87" t="s">
        <v>326</v>
      </c>
      <c r="G118" s="259"/>
      <c r="H118" s="256"/>
      <c r="I118" s="247" t="s">
        <v>28</v>
      </c>
      <c r="J118" s="247" t="s">
        <v>28</v>
      </c>
      <c r="K118" s="247" t="s">
        <v>28</v>
      </c>
      <c r="L118" s="248"/>
      <c r="M118" s="224" t="s">
        <v>28</v>
      </c>
      <c r="N118" s="107" t="s">
        <v>28</v>
      </c>
      <c r="O118" s="107" t="s">
        <v>28</v>
      </c>
      <c r="P118" s="107" t="s">
        <v>626</v>
      </c>
      <c r="Q118" s="254" t="s">
        <v>851</v>
      </c>
      <c r="R118" s="215" t="s">
        <v>28</v>
      </c>
      <c r="S118" s="215" t="s">
        <v>28</v>
      </c>
      <c r="T118" s="215" t="s">
        <v>28</v>
      </c>
      <c r="U118" s="225"/>
      <c r="V118" s="430"/>
      <c r="W118" s="377"/>
      <c r="X118" s="85"/>
      <c r="Y118" s="85"/>
      <c r="Z118" s="85"/>
      <c r="AA118" s="85"/>
      <c r="AB118" s="85"/>
      <c r="AC118" s="85"/>
    </row>
    <row r="119" spans="1:29" ht="27">
      <c r="A119" s="85" t="s">
        <v>845</v>
      </c>
      <c r="B119" s="87" t="s">
        <v>846</v>
      </c>
      <c r="C119" s="80" t="s">
        <v>853</v>
      </c>
      <c r="D119" s="86" t="s">
        <v>855</v>
      </c>
      <c r="E119" s="87" t="s">
        <v>325</v>
      </c>
      <c r="F119" s="87" t="s">
        <v>326</v>
      </c>
      <c r="G119" s="259"/>
      <c r="H119" s="256"/>
      <c r="I119" s="247" t="s">
        <v>28</v>
      </c>
      <c r="J119" s="247" t="s">
        <v>28</v>
      </c>
      <c r="K119" s="247" t="s">
        <v>28</v>
      </c>
      <c r="L119" s="248"/>
      <c r="M119" s="224" t="s">
        <v>28</v>
      </c>
      <c r="N119" s="107" t="s">
        <v>28</v>
      </c>
      <c r="O119" s="107" t="s">
        <v>28</v>
      </c>
      <c r="P119" s="107" t="s">
        <v>626</v>
      </c>
      <c r="Q119" s="254" t="s">
        <v>851</v>
      </c>
      <c r="R119" s="215" t="s">
        <v>28</v>
      </c>
      <c r="S119" s="215" t="s">
        <v>28</v>
      </c>
      <c r="T119" s="215" t="s">
        <v>28</v>
      </c>
      <c r="U119" s="225"/>
      <c r="V119" s="430"/>
      <c r="W119" s="377"/>
      <c r="X119" s="85"/>
      <c r="Y119" s="85"/>
      <c r="Z119" s="85"/>
      <c r="AA119" s="85"/>
      <c r="AB119" s="85"/>
      <c r="AC119" s="85"/>
    </row>
    <row r="120" spans="1:29" ht="27">
      <c r="A120" s="85" t="s">
        <v>845</v>
      </c>
      <c r="B120" s="87" t="s">
        <v>846</v>
      </c>
      <c r="C120" s="80" t="s">
        <v>853</v>
      </c>
      <c r="D120" s="86" t="s">
        <v>856</v>
      </c>
      <c r="E120" s="87" t="s">
        <v>325</v>
      </c>
      <c r="F120" s="87" t="s">
        <v>326</v>
      </c>
      <c r="G120" s="259"/>
      <c r="H120" s="256"/>
      <c r="I120" s="247" t="s">
        <v>28</v>
      </c>
      <c r="J120" s="247" t="s">
        <v>28</v>
      </c>
      <c r="K120" s="247" t="s">
        <v>28</v>
      </c>
      <c r="L120" s="248"/>
      <c r="M120" s="224" t="s">
        <v>28</v>
      </c>
      <c r="N120" s="107" t="s">
        <v>28</v>
      </c>
      <c r="O120" s="107" t="s">
        <v>28</v>
      </c>
      <c r="P120" s="107" t="s">
        <v>626</v>
      </c>
      <c r="Q120" s="254" t="s">
        <v>851</v>
      </c>
      <c r="R120" s="215" t="s">
        <v>28</v>
      </c>
      <c r="S120" s="215" t="s">
        <v>28</v>
      </c>
      <c r="T120" s="215" t="s">
        <v>28</v>
      </c>
      <c r="U120" s="225"/>
      <c r="V120" s="430"/>
      <c r="W120" s="377"/>
      <c r="X120" s="85"/>
      <c r="Y120" s="85"/>
      <c r="Z120" s="85"/>
      <c r="AA120" s="85"/>
      <c r="AB120" s="85"/>
      <c r="AC120" s="85"/>
    </row>
    <row r="121" spans="1:29" ht="27">
      <c r="A121" s="85" t="s">
        <v>845</v>
      </c>
      <c r="B121" s="87" t="s">
        <v>846</v>
      </c>
      <c r="C121" s="80" t="s">
        <v>853</v>
      </c>
      <c r="D121" s="86" t="s">
        <v>857</v>
      </c>
      <c r="E121" s="87" t="s">
        <v>325</v>
      </c>
      <c r="F121" s="87" t="s">
        <v>326</v>
      </c>
      <c r="G121" s="259"/>
      <c r="H121" s="256"/>
      <c r="I121" s="247" t="s">
        <v>28</v>
      </c>
      <c r="J121" s="247" t="s">
        <v>28</v>
      </c>
      <c r="K121" s="247" t="s">
        <v>28</v>
      </c>
      <c r="L121" s="248"/>
      <c r="M121" s="224" t="s">
        <v>28</v>
      </c>
      <c r="N121" s="107" t="s">
        <v>28</v>
      </c>
      <c r="O121" s="107" t="s">
        <v>28</v>
      </c>
      <c r="P121" s="107" t="s">
        <v>626</v>
      </c>
      <c r="Q121" s="254" t="s">
        <v>851</v>
      </c>
      <c r="R121" s="215" t="s">
        <v>28</v>
      </c>
      <c r="S121" s="215" t="s">
        <v>28</v>
      </c>
      <c r="T121" s="215" t="s">
        <v>28</v>
      </c>
      <c r="U121" s="225"/>
      <c r="V121" s="430"/>
      <c r="W121" s="377"/>
      <c r="X121" s="85"/>
      <c r="Y121" s="85"/>
      <c r="Z121" s="85"/>
      <c r="AA121" s="85"/>
      <c r="AB121" s="85"/>
      <c r="AC121" s="85"/>
    </row>
    <row r="122" spans="1:29" ht="27">
      <c r="A122" s="85" t="s">
        <v>845</v>
      </c>
      <c r="B122" s="87" t="s">
        <v>846</v>
      </c>
      <c r="C122" s="80" t="s">
        <v>853</v>
      </c>
      <c r="D122" s="86" t="s">
        <v>858</v>
      </c>
      <c r="E122" s="87" t="s">
        <v>325</v>
      </c>
      <c r="F122" s="87" t="s">
        <v>326</v>
      </c>
      <c r="G122" s="259"/>
      <c r="H122" s="256"/>
      <c r="I122" s="247" t="s">
        <v>28</v>
      </c>
      <c r="J122" s="247" t="s">
        <v>28</v>
      </c>
      <c r="K122" s="247" t="s">
        <v>28</v>
      </c>
      <c r="L122" s="248"/>
      <c r="M122" s="224" t="s">
        <v>28</v>
      </c>
      <c r="N122" s="107" t="s">
        <v>28</v>
      </c>
      <c r="O122" s="107" t="s">
        <v>28</v>
      </c>
      <c r="P122" s="107" t="s">
        <v>626</v>
      </c>
      <c r="Q122" s="254" t="s">
        <v>851</v>
      </c>
      <c r="R122" s="215" t="s">
        <v>28</v>
      </c>
      <c r="S122" s="215" t="s">
        <v>28</v>
      </c>
      <c r="T122" s="215" t="s">
        <v>28</v>
      </c>
      <c r="U122" s="225"/>
      <c r="V122" s="430"/>
      <c r="W122" s="377"/>
      <c r="X122" s="85"/>
      <c r="Y122" s="85"/>
      <c r="Z122" s="85"/>
      <c r="AA122" s="85"/>
      <c r="AB122" s="85"/>
      <c r="AC122" s="85"/>
    </row>
    <row r="123" spans="1:29" ht="27">
      <c r="A123" s="85" t="s">
        <v>845</v>
      </c>
      <c r="B123" s="87" t="s">
        <v>846</v>
      </c>
      <c r="C123" s="80" t="s">
        <v>853</v>
      </c>
      <c r="D123" s="81" t="s">
        <v>859</v>
      </c>
      <c r="E123" s="87" t="s">
        <v>325</v>
      </c>
      <c r="F123" s="87" t="s">
        <v>326</v>
      </c>
      <c r="G123" s="259"/>
      <c r="H123" s="256"/>
      <c r="I123" s="247" t="s">
        <v>28</v>
      </c>
      <c r="J123" s="247" t="s">
        <v>28</v>
      </c>
      <c r="K123" s="247" t="s">
        <v>28</v>
      </c>
      <c r="L123" s="248"/>
      <c r="M123" s="224" t="s">
        <v>28</v>
      </c>
      <c r="N123" s="107" t="s">
        <v>28</v>
      </c>
      <c r="O123" s="107" t="s">
        <v>28</v>
      </c>
      <c r="P123" s="107" t="s">
        <v>626</v>
      </c>
      <c r="Q123" s="254" t="s">
        <v>851</v>
      </c>
      <c r="R123" s="215" t="s">
        <v>28</v>
      </c>
      <c r="S123" s="215" t="s">
        <v>28</v>
      </c>
      <c r="T123" s="215" t="s">
        <v>28</v>
      </c>
      <c r="U123" s="225"/>
      <c r="V123" s="430"/>
      <c r="W123" s="377"/>
      <c r="X123" s="85"/>
      <c r="Y123" s="85"/>
      <c r="Z123" s="85"/>
      <c r="AA123" s="85"/>
      <c r="AB123" s="85"/>
      <c r="AC123" s="85"/>
    </row>
    <row r="124" spans="1:29" ht="27">
      <c r="A124" s="85" t="s">
        <v>845</v>
      </c>
      <c r="B124" s="87" t="s">
        <v>846</v>
      </c>
      <c r="C124" s="80" t="s">
        <v>853</v>
      </c>
      <c r="D124" s="81" t="s">
        <v>860</v>
      </c>
      <c r="E124" s="87" t="s">
        <v>325</v>
      </c>
      <c r="F124" s="87" t="s">
        <v>326</v>
      </c>
      <c r="G124" s="259"/>
      <c r="H124" s="256"/>
      <c r="I124" s="247" t="s">
        <v>28</v>
      </c>
      <c r="J124" s="247" t="s">
        <v>28</v>
      </c>
      <c r="K124" s="247" t="s">
        <v>28</v>
      </c>
      <c r="L124" s="248"/>
      <c r="M124" s="224" t="s">
        <v>28</v>
      </c>
      <c r="N124" s="107" t="s">
        <v>28</v>
      </c>
      <c r="O124" s="107" t="s">
        <v>28</v>
      </c>
      <c r="P124" s="107" t="s">
        <v>626</v>
      </c>
      <c r="Q124" s="254" t="s">
        <v>851</v>
      </c>
      <c r="R124" s="215" t="s">
        <v>28</v>
      </c>
      <c r="S124" s="215" t="s">
        <v>28</v>
      </c>
      <c r="T124" s="215" t="s">
        <v>28</v>
      </c>
      <c r="U124" s="225"/>
      <c r="V124" s="430"/>
      <c r="W124" s="377"/>
      <c r="X124" s="85"/>
      <c r="Y124" s="85"/>
      <c r="Z124" s="85"/>
      <c r="AA124" s="85"/>
      <c r="AB124" s="85"/>
      <c r="AC124" s="85"/>
    </row>
    <row r="125" spans="1:29" ht="27">
      <c r="A125" s="85" t="s">
        <v>845</v>
      </c>
      <c r="B125" s="87" t="s">
        <v>846</v>
      </c>
      <c r="C125" s="80" t="s">
        <v>853</v>
      </c>
      <c r="D125" s="81" t="s">
        <v>861</v>
      </c>
      <c r="E125" s="87" t="s">
        <v>325</v>
      </c>
      <c r="F125" s="87" t="s">
        <v>326</v>
      </c>
      <c r="G125" s="259"/>
      <c r="H125" s="256"/>
      <c r="I125" s="247" t="s">
        <v>28</v>
      </c>
      <c r="J125" s="247" t="s">
        <v>28</v>
      </c>
      <c r="K125" s="247" t="s">
        <v>28</v>
      </c>
      <c r="L125" s="248"/>
      <c r="M125" s="224" t="s">
        <v>28</v>
      </c>
      <c r="N125" s="107" t="s">
        <v>28</v>
      </c>
      <c r="O125" s="107" t="s">
        <v>28</v>
      </c>
      <c r="P125" s="107" t="s">
        <v>626</v>
      </c>
      <c r="Q125" s="254" t="s">
        <v>851</v>
      </c>
      <c r="R125" s="215" t="s">
        <v>28</v>
      </c>
      <c r="S125" s="215" t="s">
        <v>28</v>
      </c>
      <c r="T125" s="215" t="s">
        <v>28</v>
      </c>
      <c r="U125" s="225"/>
      <c r="V125" s="430"/>
      <c r="W125" s="377"/>
      <c r="X125" s="85"/>
      <c r="Y125" s="85"/>
      <c r="Z125" s="85"/>
      <c r="AA125" s="85"/>
      <c r="AB125" s="85"/>
      <c r="AC125" s="85"/>
    </row>
    <row r="126" spans="1:29" ht="27">
      <c r="A126" s="85" t="s">
        <v>845</v>
      </c>
      <c r="B126" s="87" t="s">
        <v>846</v>
      </c>
      <c r="C126" s="80" t="s">
        <v>853</v>
      </c>
      <c r="D126" s="81" t="s">
        <v>862</v>
      </c>
      <c r="E126" s="87" t="s">
        <v>325</v>
      </c>
      <c r="F126" s="87" t="s">
        <v>326</v>
      </c>
      <c r="G126" s="259"/>
      <c r="H126" s="256"/>
      <c r="I126" s="247" t="s">
        <v>28</v>
      </c>
      <c r="J126" s="247" t="s">
        <v>28</v>
      </c>
      <c r="K126" s="247" t="s">
        <v>28</v>
      </c>
      <c r="L126" s="248"/>
      <c r="M126" s="224" t="s">
        <v>28</v>
      </c>
      <c r="N126" s="107" t="s">
        <v>28</v>
      </c>
      <c r="O126" s="107" t="s">
        <v>28</v>
      </c>
      <c r="P126" s="107" t="s">
        <v>626</v>
      </c>
      <c r="Q126" s="254" t="s">
        <v>851</v>
      </c>
      <c r="R126" s="215" t="s">
        <v>28</v>
      </c>
      <c r="S126" s="215" t="s">
        <v>28</v>
      </c>
      <c r="T126" s="215" t="s">
        <v>28</v>
      </c>
      <c r="U126" s="225"/>
      <c r="V126" s="430"/>
      <c r="W126" s="377"/>
      <c r="X126" s="85"/>
      <c r="Y126" s="85"/>
      <c r="Z126" s="85"/>
      <c r="AA126" s="85"/>
      <c r="AB126" s="85"/>
      <c r="AC126" s="85"/>
    </row>
    <row r="127" spans="1:29" ht="27">
      <c r="A127" s="85" t="s">
        <v>845</v>
      </c>
      <c r="B127" s="87" t="s">
        <v>846</v>
      </c>
      <c r="C127" s="80" t="s">
        <v>853</v>
      </c>
      <c r="D127" s="81" t="s">
        <v>863</v>
      </c>
      <c r="E127" s="87" t="s">
        <v>325</v>
      </c>
      <c r="F127" s="87" t="s">
        <v>326</v>
      </c>
      <c r="G127" s="259"/>
      <c r="H127" s="256"/>
      <c r="I127" s="247" t="s">
        <v>28</v>
      </c>
      <c r="J127" s="247" t="s">
        <v>28</v>
      </c>
      <c r="K127" s="247" t="s">
        <v>28</v>
      </c>
      <c r="L127" s="248"/>
      <c r="M127" s="224" t="s">
        <v>28</v>
      </c>
      <c r="N127" s="107" t="s">
        <v>28</v>
      </c>
      <c r="O127" s="107" t="s">
        <v>28</v>
      </c>
      <c r="P127" s="107" t="s">
        <v>626</v>
      </c>
      <c r="Q127" s="254" t="s">
        <v>851</v>
      </c>
      <c r="R127" s="215" t="s">
        <v>28</v>
      </c>
      <c r="S127" s="215" t="s">
        <v>28</v>
      </c>
      <c r="T127" s="215" t="s">
        <v>28</v>
      </c>
      <c r="U127" s="225"/>
      <c r="V127" s="430"/>
      <c r="W127" s="377"/>
      <c r="X127" s="85"/>
      <c r="Y127" s="85"/>
      <c r="Z127" s="85"/>
      <c r="AA127" s="85"/>
      <c r="AB127" s="85"/>
      <c r="AC127" s="85"/>
    </row>
    <row r="128" spans="1:29" ht="27">
      <c r="A128" s="85" t="s">
        <v>845</v>
      </c>
      <c r="B128" s="87" t="s">
        <v>846</v>
      </c>
      <c r="C128" s="80" t="s">
        <v>853</v>
      </c>
      <c r="D128" s="86" t="s">
        <v>864</v>
      </c>
      <c r="E128" s="87" t="s">
        <v>325</v>
      </c>
      <c r="F128" s="87" t="s">
        <v>326</v>
      </c>
      <c r="G128" s="259"/>
      <c r="H128" s="256"/>
      <c r="I128" s="247" t="s">
        <v>28</v>
      </c>
      <c r="J128" s="247" t="s">
        <v>28</v>
      </c>
      <c r="K128" s="247" t="s">
        <v>28</v>
      </c>
      <c r="L128" s="248"/>
      <c r="M128" s="224" t="s">
        <v>28</v>
      </c>
      <c r="N128" s="107" t="s">
        <v>28</v>
      </c>
      <c r="O128" s="107" t="s">
        <v>28</v>
      </c>
      <c r="P128" s="107" t="s">
        <v>626</v>
      </c>
      <c r="Q128" s="254" t="s">
        <v>851</v>
      </c>
      <c r="R128" s="215" t="s">
        <v>28</v>
      </c>
      <c r="S128" s="215" t="s">
        <v>28</v>
      </c>
      <c r="T128" s="215" t="s">
        <v>28</v>
      </c>
      <c r="U128" s="225"/>
      <c r="V128" s="430"/>
      <c r="W128" s="377"/>
      <c r="X128" s="85"/>
      <c r="Y128" s="85"/>
      <c r="Z128" s="85"/>
      <c r="AA128" s="85"/>
      <c r="AB128" s="85"/>
      <c r="AC128" s="85"/>
    </row>
    <row r="129" spans="1:29" ht="27">
      <c r="A129" s="85" t="s">
        <v>845</v>
      </c>
      <c r="B129" s="87" t="s">
        <v>846</v>
      </c>
      <c r="C129" s="80" t="s">
        <v>853</v>
      </c>
      <c r="D129" s="81" t="s">
        <v>865</v>
      </c>
      <c r="E129" s="87" t="s">
        <v>325</v>
      </c>
      <c r="F129" s="87" t="s">
        <v>326</v>
      </c>
      <c r="G129" s="259"/>
      <c r="H129" s="256"/>
      <c r="I129" s="247" t="s">
        <v>28</v>
      </c>
      <c r="J129" s="247" t="s">
        <v>28</v>
      </c>
      <c r="K129" s="247" t="s">
        <v>28</v>
      </c>
      <c r="L129" s="248"/>
      <c r="M129" s="224" t="s">
        <v>28</v>
      </c>
      <c r="N129" s="107" t="s">
        <v>28</v>
      </c>
      <c r="O129" s="107" t="s">
        <v>28</v>
      </c>
      <c r="P129" s="107" t="s">
        <v>626</v>
      </c>
      <c r="Q129" s="254" t="s">
        <v>851</v>
      </c>
      <c r="R129" s="215" t="s">
        <v>28</v>
      </c>
      <c r="S129" s="215" t="s">
        <v>28</v>
      </c>
      <c r="T129" s="215" t="s">
        <v>28</v>
      </c>
      <c r="U129" s="225"/>
      <c r="V129" s="430"/>
      <c r="W129" s="377"/>
      <c r="X129" s="85"/>
      <c r="Y129" s="85"/>
      <c r="Z129" s="85"/>
      <c r="AA129" s="85"/>
      <c r="AB129" s="85"/>
      <c r="AC129" s="85"/>
    </row>
    <row r="130" spans="1:29" ht="27">
      <c r="A130" s="85" t="s">
        <v>845</v>
      </c>
      <c r="B130" s="87" t="s">
        <v>846</v>
      </c>
      <c r="C130" s="80" t="s">
        <v>853</v>
      </c>
      <c r="D130" s="86" t="s">
        <v>866</v>
      </c>
      <c r="E130" s="87" t="s">
        <v>325</v>
      </c>
      <c r="F130" s="87" t="s">
        <v>326</v>
      </c>
      <c r="G130" s="259"/>
      <c r="H130" s="256"/>
      <c r="I130" s="247" t="s">
        <v>28</v>
      </c>
      <c r="J130" s="247" t="s">
        <v>28</v>
      </c>
      <c r="K130" s="247" t="s">
        <v>28</v>
      </c>
      <c r="L130" s="248"/>
      <c r="M130" s="224" t="s">
        <v>28</v>
      </c>
      <c r="N130" s="107" t="s">
        <v>28</v>
      </c>
      <c r="O130" s="107" t="s">
        <v>28</v>
      </c>
      <c r="P130" s="107" t="s">
        <v>626</v>
      </c>
      <c r="Q130" s="254" t="s">
        <v>851</v>
      </c>
      <c r="R130" s="215" t="s">
        <v>28</v>
      </c>
      <c r="S130" s="215" t="s">
        <v>28</v>
      </c>
      <c r="T130" s="215" t="s">
        <v>28</v>
      </c>
      <c r="U130" s="225"/>
      <c r="V130" s="430"/>
      <c r="W130" s="377"/>
      <c r="X130" s="85"/>
      <c r="Y130" s="85"/>
      <c r="Z130" s="85"/>
      <c r="AA130" s="85"/>
      <c r="AB130" s="85"/>
      <c r="AC130" s="85"/>
    </row>
    <row r="131" spans="1:29" ht="27">
      <c r="A131" s="85" t="s">
        <v>845</v>
      </c>
      <c r="B131" s="87" t="s">
        <v>846</v>
      </c>
      <c r="C131" s="80" t="s">
        <v>853</v>
      </c>
      <c r="D131" s="81" t="s">
        <v>867</v>
      </c>
      <c r="E131" s="87" t="s">
        <v>325</v>
      </c>
      <c r="F131" s="87" t="s">
        <v>326</v>
      </c>
      <c r="G131" s="259"/>
      <c r="H131" s="256"/>
      <c r="I131" s="247" t="s">
        <v>28</v>
      </c>
      <c r="J131" s="247" t="s">
        <v>28</v>
      </c>
      <c r="K131" s="247" t="s">
        <v>28</v>
      </c>
      <c r="L131" s="248"/>
      <c r="M131" s="224" t="s">
        <v>28</v>
      </c>
      <c r="N131" s="107" t="s">
        <v>28</v>
      </c>
      <c r="O131" s="107" t="s">
        <v>28</v>
      </c>
      <c r="P131" s="107" t="s">
        <v>626</v>
      </c>
      <c r="Q131" s="254" t="s">
        <v>851</v>
      </c>
      <c r="R131" s="215" t="s">
        <v>28</v>
      </c>
      <c r="S131" s="215" t="s">
        <v>28</v>
      </c>
      <c r="T131" s="215" t="s">
        <v>28</v>
      </c>
      <c r="U131" s="225"/>
      <c r="V131" s="430"/>
      <c r="W131" s="377"/>
      <c r="X131" s="85"/>
      <c r="Y131" s="85"/>
      <c r="Z131" s="85"/>
      <c r="AA131" s="85"/>
      <c r="AB131" s="85"/>
      <c r="AC131" s="85"/>
    </row>
    <row r="132" spans="1:29" ht="27">
      <c r="A132" s="85" t="s">
        <v>845</v>
      </c>
      <c r="B132" s="87" t="s">
        <v>846</v>
      </c>
      <c r="C132" s="80" t="s">
        <v>853</v>
      </c>
      <c r="D132" s="81" t="s">
        <v>868</v>
      </c>
      <c r="E132" s="87" t="s">
        <v>325</v>
      </c>
      <c r="F132" s="87" t="s">
        <v>326</v>
      </c>
      <c r="G132" s="259"/>
      <c r="H132" s="256"/>
      <c r="I132" s="247" t="s">
        <v>28</v>
      </c>
      <c r="J132" s="247" t="s">
        <v>28</v>
      </c>
      <c r="K132" s="247" t="s">
        <v>28</v>
      </c>
      <c r="L132" s="248"/>
      <c r="M132" s="224" t="s">
        <v>28</v>
      </c>
      <c r="N132" s="107" t="s">
        <v>28</v>
      </c>
      <c r="O132" s="107" t="s">
        <v>28</v>
      </c>
      <c r="P132" s="107" t="s">
        <v>626</v>
      </c>
      <c r="Q132" s="254" t="s">
        <v>851</v>
      </c>
      <c r="R132" s="215" t="s">
        <v>28</v>
      </c>
      <c r="S132" s="215" t="s">
        <v>28</v>
      </c>
      <c r="T132" s="215" t="s">
        <v>28</v>
      </c>
      <c r="U132" s="225"/>
      <c r="V132" s="430"/>
      <c r="W132" s="377"/>
      <c r="X132" s="85"/>
      <c r="Y132" s="85"/>
      <c r="Z132" s="85"/>
      <c r="AA132" s="85"/>
      <c r="AB132" s="85"/>
      <c r="AC132" s="85"/>
    </row>
    <row r="133" spans="1:29" ht="27">
      <c r="A133" s="85" t="s">
        <v>845</v>
      </c>
      <c r="B133" s="87" t="s">
        <v>846</v>
      </c>
      <c r="C133" s="80" t="s">
        <v>853</v>
      </c>
      <c r="D133" s="81" t="s">
        <v>869</v>
      </c>
      <c r="E133" s="87" t="s">
        <v>325</v>
      </c>
      <c r="F133" s="87" t="s">
        <v>326</v>
      </c>
      <c r="G133" s="259"/>
      <c r="H133" s="256"/>
      <c r="I133" s="247" t="s">
        <v>28</v>
      </c>
      <c r="J133" s="247" t="s">
        <v>28</v>
      </c>
      <c r="K133" s="247" t="s">
        <v>28</v>
      </c>
      <c r="L133" s="248"/>
      <c r="M133" s="224" t="s">
        <v>28</v>
      </c>
      <c r="N133" s="107" t="s">
        <v>28</v>
      </c>
      <c r="O133" s="107" t="s">
        <v>28</v>
      </c>
      <c r="P133" s="107" t="s">
        <v>626</v>
      </c>
      <c r="Q133" s="254" t="s">
        <v>851</v>
      </c>
      <c r="R133" s="215" t="s">
        <v>28</v>
      </c>
      <c r="S133" s="215" t="s">
        <v>28</v>
      </c>
      <c r="T133" s="215" t="s">
        <v>28</v>
      </c>
      <c r="U133" s="225"/>
      <c r="V133" s="430"/>
      <c r="W133" s="377"/>
      <c r="X133" s="85"/>
      <c r="Y133" s="85"/>
      <c r="Z133" s="85"/>
      <c r="AA133" s="85"/>
      <c r="AB133" s="85"/>
      <c r="AC133" s="85"/>
    </row>
    <row r="134" spans="1:29" ht="27">
      <c r="A134" s="85" t="s">
        <v>845</v>
      </c>
      <c r="B134" s="87" t="s">
        <v>846</v>
      </c>
      <c r="C134" s="80" t="s">
        <v>853</v>
      </c>
      <c r="D134" s="81" t="s">
        <v>870</v>
      </c>
      <c r="E134" s="87" t="s">
        <v>325</v>
      </c>
      <c r="F134" s="87" t="s">
        <v>326</v>
      </c>
      <c r="G134" s="259"/>
      <c r="H134" s="256"/>
      <c r="I134" s="247" t="s">
        <v>28</v>
      </c>
      <c r="J134" s="247" t="s">
        <v>28</v>
      </c>
      <c r="K134" s="247" t="s">
        <v>28</v>
      </c>
      <c r="L134" s="248"/>
      <c r="M134" s="224" t="s">
        <v>28</v>
      </c>
      <c r="N134" s="107" t="s">
        <v>28</v>
      </c>
      <c r="O134" s="107" t="s">
        <v>28</v>
      </c>
      <c r="P134" s="107" t="s">
        <v>626</v>
      </c>
      <c r="Q134" s="254" t="s">
        <v>851</v>
      </c>
      <c r="R134" s="215" t="s">
        <v>28</v>
      </c>
      <c r="S134" s="215" t="s">
        <v>28</v>
      </c>
      <c r="T134" s="215" t="s">
        <v>28</v>
      </c>
      <c r="U134" s="225"/>
      <c r="V134" s="430"/>
      <c r="W134" s="377"/>
      <c r="X134" s="85"/>
      <c r="Y134" s="85"/>
      <c r="Z134" s="85"/>
      <c r="AA134" s="85"/>
      <c r="AB134" s="85"/>
      <c r="AC134" s="85"/>
    </row>
    <row r="135" spans="1:29" ht="37.5">
      <c r="A135" s="85" t="s">
        <v>845</v>
      </c>
      <c r="B135" s="87" t="s">
        <v>846</v>
      </c>
      <c r="C135" s="80" t="s">
        <v>853</v>
      </c>
      <c r="D135" s="86" t="s">
        <v>871</v>
      </c>
      <c r="E135" s="87" t="s">
        <v>325</v>
      </c>
      <c r="F135" s="87" t="s">
        <v>326</v>
      </c>
      <c r="G135" s="259"/>
      <c r="H135" s="256"/>
      <c r="I135" s="247" t="s">
        <v>28</v>
      </c>
      <c r="J135" s="247" t="s">
        <v>28</v>
      </c>
      <c r="K135" s="247" t="s">
        <v>28</v>
      </c>
      <c r="L135" s="248"/>
      <c r="M135" s="224" t="s">
        <v>28</v>
      </c>
      <c r="N135" s="107" t="s">
        <v>28</v>
      </c>
      <c r="O135" s="107" t="s">
        <v>28</v>
      </c>
      <c r="P135" s="107" t="s">
        <v>626</v>
      </c>
      <c r="Q135" s="254" t="s">
        <v>851</v>
      </c>
      <c r="R135" s="215" t="s">
        <v>28</v>
      </c>
      <c r="S135" s="215" t="s">
        <v>28</v>
      </c>
      <c r="T135" s="215" t="s">
        <v>28</v>
      </c>
      <c r="U135" s="225"/>
      <c r="V135" s="430"/>
      <c r="W135" s="377"/>
      <c r="X135" s="85"/>
      <c r="Y135" s="85"/>
      <c r="Z135" s="85"/>
      <c r="AA135" s="85"/>
      <c r="AB135" s="85"/>
      <c r="AC135" s="85"/>
    </row>
    <row r="136" spans="1:29" ht="27">
      <c r="A136" s="85" t="s">
        <v>845</v>
      </c>
      <c r="B136" s="87" t="s">
        <v>846</v>
      </c>
      <c r="C136" s="80" t="s">
        <v>853</v>
      </c>
      <c r="D136" s="81" t="s">
        <v>872</v>
      </c>
      <c r="E136" s="87" t="s">
        <v>325</v>
      </c>
      <c r="F136" s="87" t="s">
        <v>326</v>
      </c>
      <c r="G136" s="259"/>
      <c r="H136" s="256"/>
      <c r="I136" s="247" t="s">
        <v>28</v>
      </c>
      <c r="J136" s="247" t="s">
        <v>28</v>
      </c>
      <c r="K136" s="247" t="s">
        <v>28</v>
      </c>
      <c r="L136" s="248"/>
      <c r="M136" s="224" t="s">
        <v>28</v>
      </c>
      <c r="N136" s="107" t="s">
        <v>28</v>
      </c>
      <c r="O136" s="107" t="s">
        <v>28</v>
      </c>
      <c r="P136" s="107" t="s">
        <v>626</v>
      </c>
      <c r="Q136" s="254" t="s">
        <v>851</v>
      </c>
      <c r="R136" s="215" t="s">
        <v>28</v>
      </c>
      <c r="S136" s="215" t="s">
        <v>28</v>
      </c>
      <c r="T136" s="215" t="s">
        <v>28</v>
      </c>
      <c r="U136" s="225"/>
      <c r="V136" s="430"/>
      <c r="W136" s="377"/>
      <c r="X136" s="85"/>
      <c r="Y136" s="85"/>
      <c r="Z136" s="85"/>
      <c r="AA136" s="85"/>
      <c r="AB136" s="85"/>
      <c r="AC136" s="85"/>
    </row>
    <row r="137" spans="1:29" ht="27">
      <c r="A137" s="85" t="s">
        <v>845</v>
      </c>
      <c r="B137" s="87" t="s">
        <v>846</v>
      </c>
      <c r="C137" s="80" t="s">
        <v>853</v>
      </c>
      <c r="D137" s="81" t="s">
        <v>873</v>
      </c>
      <c r="E137" s="87" t="s">
        <v>325</v>
      </c>
      <c r="F137" s="87" t="s">
        <v>326</v>
      </c>
      <c r="G137" s="259"/>
      <c r="H137" s="256"/>
      <c r="I137" s="247" t="s">
        <v>28</v>
      </c>
      <c r="J137" s="247" t="s">
        <v>28</v>
      </c>
      <c r="K137" s="247" t="s">
        <v>28</v>
      </c>
      <c r="L137" s="248"/>
      <c r="M137" s="224" t="s">
        <v>28</v>
      </c>
      <c r="N137" s="107" t="s">
        <v>28</v>
      </c>
      <c r="O137" s="107" t="s">
        <v>28</v>
      </c>
      <c r="P137" s="107" t="s">
        <v>626</v>
      </c>
      <c r="Q137" s="254" t="s">
        <v>851</v>
      </c>
      <c r="R137" s="215" t="s">
        <v>28</v>
      </c>
      <c r="S137" s="215" t="s">
        <v>28</v>
      </c>
      <c r="T137" s="215" t="s">
        <v>28</v>
      </c>
      <c r="U137" s="225"/>
      <c r="V137" s="430"/>
      <c r="W137" s="377"/>
      <c r="X137" s="85"/>
      <c r="Y137" s="85"/>
      <c r="Z137" s="85"/>
      <c r="AA137" s="85"/>
      <c r="AB137" s="85"/>
      <c r="AC137" s="85"/>
    </row>
    <row r="138" spans="1:29" ht="27">
      <c r="A138" s="85" t="s">
        <v>845</v>
      </c>
      <c r="B138" s="87" t="s">
        <v>846</v>
      </c>
      <c r="C138" s="80" t="s">
        <v>874</v>
      </c>
      <c r="D138" s="81" t="s">
        <v>875</v>
      </c>
      <c r="E138" s="87" t="s">
        <v>325</v>
      </c>
      <c r="F138" s="87" t="s">
        <v>326</v>
      </c>
      <c r="G138" s="259"/>
      <c r="H138" s="256"/>
      <c r="I138" s="247" t="s">
        <v>28</v>
      </c>
      <c r="J138" s="247" t="s">
        <v>28</v>
      </c>
      <c r="K138" s="247" t="s">
        <v>28</v>
      </c>
      <c r="L138" s="248"/>
      <c r="M138" s="224" t="s">
        <v>28</v>
      </c>
      <c r="N138" s="107" t="s">
        <v>28</v>
      </c>
      <c r="O138" s="107" t="s">
        <v>28</v>
      </c>
      <c r="P138" s="107" t="s">
        <v>626</v>
      </c>
      <c r="Q138" s="254" t="s">
        <v>851</v>
      </c>
      <c r="R138" s="215" t="s">
        <v>28</v>
      </c>
      <c r="S138" s="215" t="s">
        <v>28</v>
      </c>
      <c r="T138" s="215" t="s">
        <v>28</v>
      </c>
      <c r="U138" s="225"/>
      <c r="V138" s="430"/>
      <c r="W138" s="377"/>
      <c r="X138" s="85"/>
      <c r="Y138" s="85"/>
      <c r="Z138" s="85"/>
      <c r="AA138" s="85"/>
      <c r="AB138" s="85"/>
      <c r="AC138" s="85"/>
    </row>
    <row r="139" spans="1:29" ht="27">
      <c r="A139" s="85" t="s">
        <v>845</v>
      </c>
      <c r="B139" s="87" t="s">
        <v>846</v>
      </c>
      <c r="C139" s="80" t="s">
        <v>876</v>
      </c>
      <c r="D139" s="81" t="s">
        <v>877</v>
      </c>
      <c r="E139" s="87" t="s">
        <v>325</v>
      </c>
      <c r="F139" s="87" t="s">
        <v>477</v>
      </c>
      <c r="G139" s="259"/>
      <c r="H139" s="256"/>
      <c r="I139" s="247" t="s">
        <v>28</v>
      </c>
      <c r="J139" s="247" t="s">
        <v>28</v>
      </c>
      <c r="K139" s="247" t="s">
        <v>28</v>
      </c>
      <c r="L139" s="248"/>
      <c r="M139" s="224" t="s">
        <v>28</v>
      </c>
      <c r="N139" s="107" t="s">
        <v>28</v>
      </c>
      <c r="O139" s="107" t="s">
        <v>28</v>
      </c>
      <c r="P139" s="107" t="s">
        <v>626</v>
      </c>
      <c r="Q139" s="254" t="s">
        <v>851</v>
      </c>
      <c r="R139" s="215" t="s">
        <v>28</v>
      </c>
      <c r="S139" s="215" t="s">
        <v>28</v>
      </c>
      <c r="T139" s="215" t="s">
        <v>28</v>
      </c>
      <c r="U139" s="225"/>
      <c r="V139" s="430"/>
      <c r="W139" s="377"/>
      <c r="X139" s="85"/>
      <c r="Y139" s="85"/>
      <c r="Z139" s="85"/>
      <c r="AA139" s="85"/>
      <c r="AB139" s="85"/>
      <c r="AC139" s="85"/>
    </row>
    <row r="140" spans="1:29" ht="27">
      <c r="A140" s="85" t="s">
        <v>878</v>
      </c>
      <c r="B140" s="87" t="s">
        <v>846</v>
      </c>
      <c r="C140" s="80" t="s">
        <v>80</v>
      </c>
      <c r="D140" s="81" t="s">
        <v>879</v>
      </c>
      <c r="E140" s="87" t="s">
        <v>325</v>
      </c>
      <c r="F140" s="87" t="s">
        <v>477</v>
      </c>
      <c r="G140" s="259"/>
      <c r="H140" s="256"/>
      <c r="I140" s="247" t="s">
        <v>28</v>
      </c>
      <c r="J140" s="247" t="s">
        <v>28</v>
      </c>
      <c r="K140" s="247" t="s">
        <v>28</v>
      </c>
      <c r="L140" s="248"/>
      <c r="M140" s="224" t="s">
        <v>28</v>
      </c>
      <c r="N140" s="107" t="s">
        <v>28</v>
      </c>
      <c r="O140" s="107" t="s">
        <v>28</v>
      </c>
      <c r="P140" s="107" t="s">
        <v>626</v>
      </c>
      <c r="Q140" s="254" t="s">
        <v>851</v>
      </c>
      <c r="R140" s="215" t="s">
        <v>28</v>
      </c>
      <c r="S140" s="215" t="s">
        <v>28</v>
      </c>
      <c r="T140" s="215" t="s">
        <v>28</v>
      </c>
      <c r="U140" s="225"/>
      <c r="V140" s="430"/>
      <c r="W140" s="377"/>
      <c r="X140" s="85"/>
      <c r="Y140" s="85"/>
      <c r="Z140" s="85"/>
      <c r="AA140" s="85"/>
      <c r="AB140" s="85"/>
      <c r="AC140" s="85"/>
    </row>
    <row r="141" spans="1:29" ht="27">
      <c r="A141" s="85" t="s">
        <v>878</v>
      </c>
      <c r="B141" s="87" t="s">
        <v>846</v>
      </c>
      <c r="C141" s="80" t="s">
        <v>880</v>
      </c>
      <c r="D141" s="81" t="s">
        <v>881</v>
      </c>
      <c r="E141" s="87" t="s">
        <v>325</v>
      </c>
      <c r="F141" s="87" t="s">
        <v>477</v>
      </c>
      <c r="G141" s="259"/>
      <c r="H141" s="256"/>
      <c r="I141" s="247" t="s">
        <v>28</v>
      </c>
      <c r="J141" s="247" t="s">
        <v>28</v>
      </c>
      <c r="K141" s="247" t="s">
        <v>28</v>
      </c>
      <c r="L141" s="248"/>
      <c r="M141" s="224" t="s">
        <v>28</v>
      </c>
      <c r="N141" s="107" t="s">
        <v>28</v>
      </c>
      <c r="O141" s="107" t="s">
        <v>28</v>
      </c>
      <c r="P141" s="107" t="s">
        <v>626</v>
      </c>
      <c r="Q141" s="254" t="s">
        <v>851</v>
      </c>
      <c r="R141" s="215" t="s">
        <v>28</v>
      </c>
      <c r="S141" s="215" t="s">
        <v>28</v>
      </c>
      <c r="T141" s="215" t="s">
        <v>28</v>
      </c>
      <c r="U141" s="225"/>
      <c r="V141" s="430"/>
      <c r="W141" s="377"/>
      <c r="X141" s="85"/>
      <c r="Y141" s="85"/>
      <c r="Z141" s="85"/>
      <c r="AA141" s="85"/>
      <c r="AB141" s="85"/>
      <c r="AC141" s="85"/>
    </row>
    <row r="142" spans="1:29" ht="27">
      <c r="A142" s="85" t="s">
        <v>882</v>
      </c>
      <c r="B142" s="87" t="s">
        <v>846</v>
      </c>
      <c r="C142" s="80" t="s">
        <v>715</v>
      </c>
      <c r="D142" s="81" t="s">
        <v>883</v>
      </c>
      <c r="E142" s="87" t="s">
        <v>325</v>
      </c>
      <c r="F142" s="87" t="s">
        <v>477</v>
      </c>
      <c r="G142" s="259"/>
      <c r="H142" s="256"/>
      <c r="I142" s="247" t="s">
        <v>28</v>
      </c>
      <c r="J142" s="247" t="s">
        <v>28</v>
      </c>
      <c r="K142" s="247" t="s">
        <v>28</v>
      </c>
      <c r="L142" s="248"/>
      <c r="M142" s="224" t="s">
        <v>28</v>
      </c>
      <c r="N142" s="107" t="s">
        <v>28</v>
      </c>
      <c r="O142" s="107" t="s">
        <v>28</v>
      </c>
      <c r="P142" s="107" t="s">
        <v>626</v>
      </c>
      <c r="Q142" s="254" t="s">
        <v>851</v>
      </c>
      <c r="R142" s="215" t="s">
        <v>28</v>
      </c>
      <c r="S142" s="215" t="s">
        <v>28</v>
      </c>
      <c r="T142" s="215" t="s">
        <v>28</v>
      </c>
      <c r="U142" s="225"/>
      <c r="V142" s="430"/>
      <c r="W142" s="377"/>
      <c r="X142" s="85"/>
      <c r="Y142" s="85"/>
      <c r="Z142" s="85"/>
      <c r="AA142" s="85"/>
      <c r="AB142" s="85"/>
      <c r="AC142" s="85"/>
    </row>
    <row r="143" spans="1:29" ht="27">
      <c r="A143" s="85" t="s">
        <v>882</v>
      </c>
      <c r="B143" s="87" t="s">
        <v>846</v>
      </c>
      <c r="C143" s="80" t="s">
        <v>719</v>
      </c>
      <c r="D143" s="81" t="s">
        <v>884</v>
      </c>
      <c r="E143" s="87" t="s">
        <v>325</v>
      </c>
      <c r="F143" s="87" t="s">
        <v>477</v>
      </c>
      <c r="G143" s="259"/>
      <c r="H143" s="256"/>
      <c r="I143" s="247" t="s">
        <v>28</v>
      </c>
      <c r="J143" s="247" t="s">
        <v>28</v>
      </c>
      <c r="K143" s="247" t="s">
        <v>28</v>
      </c>
      <c r="L143" s="248"/>
      <c r="M143" s="224" t="s">
        <v>28</v>
      </c>
      <c r="N143" s="107" t="s">
        <v>28</v>
      </c>
      <c r="O143" s="107" t="s">
        <v>28</v>
      </c>
      <c r="P143" s="107" t="s">
        <v>626</v>
      </c>
      <c r="Q143" s="254" t="s">
        <v>851</v>
      </c>
      <c r="R143" s="215" t="s">
        <v>28</v>
      </c>
      <c r="S143" s="215" t="s">
        <v>28</v>
      </c>
      <c r="T143" s="215" t="s">
        <v>28</v>
      </c>
      <c r="U143" s="225"/>
      <c r="V143" s="430"/>
      <c r="W143" s="377"/>
      <c r="X143" s="85"/>
      <c r="Y143" s="85"/>
      <c r="Z143" s="85"/>
      <c r="AA143" s="85"/>
      <c r="AB143" s="85"/>
      <c r="AC143" s="85"/>
    </row>
    <row r="144" spans="1:29" ht="27">
      <c r="A144" s="85" t="s">
        <v>882</v>
      </c>
      <c r="B144" s="87" t="s">
        <v>846</v>
      </c>
      <c r="C144" s="80" t="s">
        <v>724</v>
      </c>
      <c r="D144" s="81" t="s">
        <v>885</v>
      </c>
      <c r="E144" s="87" t="s">
        <v>325</v>
      </c>
      <c r="F144" s="87" t="s">
        <v>477</v>
      </c>
      <c r="G144" s="259"/>
      <c r="H144" s="256"/>
      <c r="I144" s="247" t="s">
        <v>28</v>
      </c>
      <c r="J144" s="247" t="s">
        <v>28</v>
      </c>
      <c r="K144" s="247" t="s">
        <v>28</v>
      </c>
      <c r="L144" s="248"/>
      <c r="M144" s="224" t="s">
        <v>28</v>
      </c>
      <c r="N144" s="107" t="s">
        <v>28</v>
      </c>
      <c r="O144" s="107" t="s">
        <v>28</v>
      </c>
      <c r="P144" s="107" t="s">
        <v>626</v>
      </c>
      <c r="Q144" s="254" t="s">
        <v>851</v>
      </c>
      <c r="R144" s="215" t="s">
        <v>28</v>
      </c>
      <c r="S144" s="215" t="s">
        <v>28</v>
      </c>
      <c r="T144" s="215" t="s">
        <v>28</v>
      </c>
      <c r="U144" s="225"/>
      <c r="V144" s="430"/>
      <c r="W144" s="377"/>
      <c r="X144" s="85"/>
      <c r="Y144" s="85"/>
      <c r="Z144" s="85"/>
      <c r="AA144" s="85"/>
      <c r="AB144" s="85"/>
      <c r="AC144" s="85"/>
    </row>
    <row r="145" spans="1:29" ht="27">
      <c r="A145" s="85" t="s">
        <v>882</v>
      </c>
      <c r="B145" s="87" t="s">
        <v>846</v>
      </c>
      <c r="C145" s="80" t="s">
        <v>732</v>
      </c>
      <c r="D145" s="81" t="s">
        <v>886</v>
      </c>
      <c r="E145" s="87" t="s">
        <v>325</v>
      </c>
      <c r="F145" s="87" t="s">
        <v>477</v>
      </c>
      <c r="G145" s="259"/>
      <c r="H145" s="256"/>
      <c r="I145" s="247" t="s">
        <v>28</v>
      </c>
      <c r="J145" s="247" t="s">
        <v>28</v>
      </c>
      <c r="K145" s="247" t="s">
        <v>28</v>
      </c>
      <c r="L145" s="248"/>
      <c r="M145" s="224" t="s">
        <v>28</v>
      </c>
      <c r="N145" s="107" t="s">
        <v>28</v>
      </c>
      <c r="O145" s="107" t="s">
        <v>28</v>
      </c>
      <c r="P145" s="107" t="s">
        <v>626</v>
      </c>
      <c r="Q145" s="254" t="s">
        <v>851</v>
      </c>
      <c r="R145" s="215" t="s">
        <v>28</v>
      </c>
      <c r="S145" s="215" t="s">
        <v>28</v>
      </c>
      <c r="T145" s="215" t="s">
        <v>28</v>
      </c>
      <c r="U145" s="225"/>
      <c r="V145" s="430"/>
      <c r="W145" s="377"/>
      <c r="X145" s="85"/>
      <c r="Y145" s="85"/>
      <c r="Z145" s="85"/>
      <c r="AA145" s="85"/>
      <c r="AB145" s="85"/>
      <c r="AC145" s="85"/>
    </row>
    <row r="146" spans="1:29" ht="27">
      <c r="A146" s="85" t="s">
        <v>882</v>
      </c>
      <c r="B146" s="87" t="s">
        <v>846</v>
      </c>
      <c r="C146" s="80" t="s">
        <v>748</v>
      </c>
      <c r="D146" s="81" t="s">
        <v>887</v>
      </c>
      <c r="E146" s="87" t="s">
        <v>325</v>
      </c>
      <c r="F146" s="87" t="s">
        <v>477</v>
      </c>
      <c r="G146" s="259"/>
      <c r="H146" s="256"/>
      <c r="I146" s="247" t="s">
        <v>28</v>
      </c>
      <c r="J146" s="247" t="s">
        <v>28</v>
      </c>
      <c r="K146" s="247" t="s">
        <v>28</v>
      </c>
      <c r="L146" s="248"/>
      <c r="M146" s="224" t="s">
        <v>28</v>
      </c>
      <c r="N146" s="107" t="s">
        <v>28</v>
      </c>
      <c r="O146" s="107" t="s">
        <v>28</v>
      </c>
      <c r="P146" s="107" t="s">
        <v>626</v>
      </c>
      <c r="Q146" s="254" t="s">
        <v>851</v>
      </c>
      <c r="R146" s="215" t="s">
        <v>28</v>
      </c>
      <c r="S146" s="215" t="s">
        <v>28</v>
      </c>
      <c r="T146" s="215" t="s">
        <v>28</v>
      </c>
      <c r="U146" s="225"/>
      <c r="V146" s="430"/>
      <c r="W146" s="377"/>
      <c r="X146" s="85"/>
      <c r="Y146" s="85"/>
      <c r="Z146" s="85"/>
      <c r="AA146" s="85"/>
      <c r="AB146" s="85"/>
      <c r="AC146" s="85"/>
    </row>
    <row r="147" spans="1:29" ht="27">
      <c r="A147" s="85" t="s">
        <v>878</v>
      </c>
      <c r="B147" s="87" t="s">
        <v>846</v>
      </c>
      <c r="C147" s="80" t="s">
        <v>888</v>
      </c>
      <c r="D147" s="81" t="s">
        <v>889</v>
      </c>
      <c r="E147" s="87" t="s">
        <v>325</v>
      </c>
      <c r="F147" s="87" t="s">
        <v>477</v>
      </c>
      <c r="G147" s="259"/>
      <c r="H147" s="256"/>
      <c r="I147" s="247" t="s">
        <v>28</v>
      </c>
      <c r="J147" s="247" t="s">
        <v>28</v>
      </c>
      <c r="K147" s="247" t="s">
        <v>28</v>
      </c>
      <c r="L147" s="248"/>
      <c r="M147" s="224" t="s">
        <v>28</v>
      </c>
      <c r="N147" s="107" t="s">
        <v>28</v>
      </c>
      <c r="O147" s="107" t="s">
        <v>28</v>
      </c>
      <c r="P147" s="107" t="s">
        <v>626</v>
      </c>
      <c r="Q147" s="254" t="s">
        <v>851</v>
      </c>
      <c r="R147" s="215" t="s">
        <v>28</v>
      </c>
      <c r="S147" s="215" t="s">
        <v>28</v>
      </c>
      <c r="T147" s="215" t="s">
        <v>28</v>
      </c>
      <c r="U147" s="225"/>
      <c r="V147" s="430"/>
      <c r="W147" s="377"/>
      <c r="X147" s="85"/>
      <c r="Y147" s="85"/>
      <c r="Z147" s="85"/>
      <c r="AA147" s="85"/>
      <c r="AB147" s="85"/>
      <c r="AC147" s="85"/>
    </row>
    <row r="148" spans="1:29" ht="27">
      <c r="A148" s="85" t="s">
        <v>878</v>
      </c>
      <c r="B148" s="87" t="s">
        <v>846</v>
      </c>
      <c r="C148" s="80" t="s">
        <v>84</v>
      </c>
      <c r="D148" s="81" t="s">
        <v>890</v>
      </c>
      <c r="E148" s="87" t="s">
        <v>325</v>
      </c>
      <c r="F148" s="87" t="s">
        <v>477</v>
      </c>
      <c r="G148" s="259"/>
      <c r="H148" s="256"/>
      <c r="I148" s="247" t="s">
        <v>28</v>
      </c>
      <c r="J148" s="247" t="s">
        <v>28</v>
      </c>
      <c r="K148" s="247" t="s">
        <v>28</v>
      </c>
      <c r="L148" s="248"/>
      <c r="M148" s="224" t="s">
        <v>28</v>
      </c>
      <c r="N148" s="107" t="s">
        <v>28</v>
      </c>
      <c r="O148" s="107" t="s">
        <v>28</v>
      </c>
      <c r="P148" s="107" t="s">
        <v>626</v>
      </c>
      <c r="Q148" s="254" t="s">
        <v>851</v>
      </c>
      <c r="R148" s="215" t="s">
        <v>28</v>
      </c>
      <c r="S148" s="215" t="s">
        <v>28</v>
      </c>
      <c r="T148" s="215" t="s">
        <v>28</v>
      </c>
      <c r="U148" s="225"/>
      <c r="V148" s="430"/>
      <c r="W148" s="377"/>
      <c r="X148" s="85"/>
      <c r="Y148" s="85"/>
      <c r="Z148" s="85"/>
      <c r="AA148" s="85"/>
      <c r="AB148" s="85"/>
      <c r="AC148" s="85"/>
    </row>
    <row r="149" spans="1:29" ht="27">
      <c r="A149" s="85" t="s">
        <v>891</v>
      </c>
      <c r="B149" s="87" t="s">
        <v>846</v>
      </c>
      <c r="C149" s="80" t="s">
        <v>724</v>
      </c>
      <c r="D149" s="81" t="s">
        <v>892</v>
      </c>
      <c r="E149" s="245" t="s">
        <v>27</v>
      </c>
      <c r="F149" s="87" t="s">
        <v>317</v>
      </c>
      <c r="G149" s="259"/>
      <c r="H149" s="256"/>
      <c r="I149" s="247" t="s">
        <v>28</v>
      </c>
      <c r="J149" s="247" t="s">
        <v>28</v>
      </c>
      <c r="K149" s="247" t="s">
        <v>28</v>
      </c>
      <c r="L149" s="248"/>
      <c r="M149" s="224"/>
      <c r="N149" s="107"/>
      <c r="O149" s="107"/>
      <c r="P149" s="107"/>
      <c r="Q149" s="254"/>
      <c r="R149" s="215" t="s">
        <v>27</v>
      </c>
      <c r="S149" s="215" t="s">
        <v>27</v>
      </c>
      <c r="T149" s="215" t="s">
        <v>27</v>
      </c>
      <c r="U149" s="225"/>
      <c r="V149" s="430"/>
      <c r="W149" s="377"/>
      <c r="X149" s="85"/>
      <c r="Y149" s="85"/>
      <c r="Z149" s="85"/>
      <c r="AA149" s="85"/>
      <c r="AB149" s="85"/>
      <c r="AC149" s="85"/>
    </row>
    <row r="150" spans="1:29" ht="27">
      <c r="A150" s="85" t="s">
        <v>893</v>
      </c>
      <c r="B150" s="87" t="s">
        <v>846</v>
      </c>
      <c r="C150" s="80" t="s">
        <v>785</v>
      </c>
      <c r="D150" s="81" t="s">
        <v>894</v>
      </c>
      <c r="E150" s="245" t="s">
        <v>27</v>
      </c>
      <c r="F150" s="87" t="s">
        <v>317</v>
      </c>
      <c r="G150" s="259"/>
      <c r="H150" s="256"/>
      <c r="I150" s="247" t="s">
        <v>28</v>
      </c>
      <c r="J150" s="247" t="s">
        <v>28</v>
      </c>
      <c r="K150" s="247" t="s">
        <v>28</v>
      </c>
      <c r="L150" s="248"/>
      <c r="M150" s="224"/>
      <c r="N150" s="107"/>
      <c r="O150" s="107"/>
      <c r="P150" s="107"/>
      <c r="Q150" s="254"/>
      <c r="R150" s="215" t="s">
        <v>27</v>
      </c>
      <c r="S150" s="215" t="s">
        <v>27</v>
      </c>
      <c r="T150" s="215" t="s">
        <v>27</v>
      </c>
      <c r="U150" s="225"/>
      <c r="V150" s="430"/>
      <c r="W150" s="377"/>
      <c r="X150" s="85"/>
      <c r="Y150" s="85"/>
      <c r="Z150" s="85"/>
      <c r="AA150" s="85"/>
      <c r="AB150" s="85"/>
      <c r="AC150" s="85"/>
    </row>
    <row r="151" spans="1:29" ht="27">
      <c r="A151" s="85" t="s">
        <v>893</v>
      </c>
      <c r="B151" s="87" t="s">
        <v>846</v>
      </c>
      <c r="C151" s="80" t="s">
        <v>790</v>
      </c>
      <c r="D151" s="81" t="s">
        <v>895</v>
      </c>
      <c r="E151" s="245" t="s">
        <v>27</v>
      </c>
      <c r="F151" s="87" t="s">
        <v>317</v>
      </c>
      <c r="G151" s="259"/>
      <c r="H151" s="256"/>
      <c r="I151" s="247" t="s">
        <v>28</v>
      </c>
      <c r="J151" s="247" t="s">
        <v>28</v>
      </c>
      <c r="K151" s="247" t="s">
        <v>28</v>
      </c>
      <c r="L151" s="248"/>
      <c r="M151" s="224"/>
      <c r="N151" s="107"/>
      <c r="O151" s="107"/>
      <c r="P151" s="107"/>
      <c r="Q151" s="254"/>
      <c r="R151" s="215" t="s">
        <v>27</v>
      </c>
      <c r="S151" s="215" t="s">
        <v>27</v>
      </c>
      <c r="T151" s="215" t="s">
        <v>27</v>
      </c>
      <c r="U151" s="225"/>
      <c r="V151" s="430"/>
      <c r="W151" s="377"/>
      <c r="X151" s="85"/>
      <c r="Y151" s="85"/>
      <c r="Z151" s="85"/>
      <c r="AA151" s="85"/>
      <c r="AB151" s="85"/>
      <c r="AC151" s="85"/>
    </row>
    <row r="152" spans="1:29" ht="37.5">
      <c r="A152" s="85" t="s">
        <v>893</v>
      </c>
      <c r="B152" s="87" t="s">
        <v>846</v>
      </c>
      <c r="C152" s="80" t="s">
        <v>802</v>
      </c>
      <c r="D152" s="81" t="s">
        <v>896</v>
      </c>
      <c r="E152" s="87" t="s">
        <v>325</v>
      </c>
      <c r="F152" s="87" t="s">
        <v>326</v>
      </c>
      <c r="G152" s="259"/>
      <c r="H152" s="256"/>
      <c r="I152" s="247" t="s">
        <v>28</v>
      </c>
      <c r="J152" s="247" t="s">
        <v>28</v>
      </c>
      <c r="K152" s="247" t="s">
        <v>28</v>
      </c>
      <c r="L152" s="248"/>
      <c r="M152" s="224" t="s">
        <v>28</v>
      </c>
      <c r="N152" s="107" t="s">
        <v>28</v>
      </c>
      <c r="O152" s="107" t="s">
        <v>28</v>
      </c>
      <c r="P152" s="107" t="s">
        <v>626</v>
      </c>
      <c r="Q152" s="254" t="s">
        <v>851</v>
      </c>
      <c r="R152" s="215" t="s">
        <v>28</v>
      </c>
      <c r="S152" s="215" t="s">
        <v>28</v>
      </c>
      <c r="T152" s="215" t="s">
        <v>28</v>
      </c>
      <c r="U152" s="225"/>
      <c r="V152" s="430"/>
      <c r="W152" s="377"/>
      <c r="X152" s="85"/>
      <c r="Y152" s="85"/>
      <c r="Z152" s="85"/>
      <c r="AA152" s="85"/>
      <c r="AB152" s="85"/>
      <c r="AC152" s="85"/>
    </row>
    <row r="153" spans="1:29" ht="27">
      <c r="A153" s="85" t="s">
        <v>897</v>
      </c>
      <c r="B153" s="243" t="s">
        <v>820</v>
      </c>
      <c r="C153" s="80" t="s">
        <v>898</v>
      </c>
      <c r="D153" s="81" t="s">
        <v>899</v>
      </c>
      <c r="E153" s="245" t="s">
        <v>27</v>
      </c>
      <c r="F153" s="87" t="s">
        <v>317</v>
      </c>
      <c r="G153" s="259"/>
      <c r="H153" s="256"/>
      <c r="I153" s="247" t="s">
        <v>317</v>
      </c>
      <c r="J153" s="247" t="s">
        <v>317</v>
      </c>
      <c r="K153" s="247" t="s">
        <v>317</v>
      </c>
      <c r="L153" s="248"/>
      <c r="M153" s="249"/>
      <c r="N153" s="225"/>
      <c r="O153" s="225"/>
      <c r="P153" s="225"/>
      <c r="Q153" s="250"/>
      <c r="R153" s="215" t="s">
        <v>27</v>
      </c>
      <c r="S153" s="215" t="s">
        <v>27</v>
      </c>
      <c r="T153" s="215" t="s">
        <v>27</v>
      </c>
      <c r="U153" s="225"/>
      <c r="V153" s="251"/>
      <c r="W153" s="377"/>
      <c r="X153" s="85"/>
      <c r="Y153" s="85"/>
      <c r="Z153" s="85"/>
      <c r="AA153" s="85"/>
      <c r="AB153" s="85"/>
      <c r="AC153" s="85"/>
    </row>
    <row r="154" spans="1:29" ht="27">
      <c r="A154" s="85" t="s">
        <v>897</v>
      </c>
      <c r="B154" s="243" t="s">
        <v>820</v>
      </c>
      <c r="C154" s="80" t="s">
        <v>898</v>
      </c>
      <c r="D154" s="81" t="s">
        <v>900</v>
      </c>
      <c r="E154" s="245" t="s">
        <v>27</v>
      </c>
      <c r="F154" s="87" t="s">
        <v>317</v>
      </c>
      <c r="G154" s="259"/>
      <c r="H154" s="256"/>
      <c r="I154" s="247" t="s">
        <v>317</v>
      </c>
      <c r="J154" s="247" t="s">
        <v>317</v>
      </c>
      <c r="K154" s="247" t="s">
        <v>317</v>
      </c>
      <c r="L154" s="248"/>
      <c r="M154" s="249"/>
      <c r="N154" s="225"/>
      <c r="O154" s="225"/>
      <c r="P154" s="225"/>
      <c r="Q154" s="250"/>
      <c r="R154" s="215" t="s">
        <v>27</v>
      </c>
      <c r="S154" s="215" t="s">
        <v>27</v>
      </c>
      <c r="T154" s="215" t="s">
        <v>27</v>
      </c>
      <c r="U154" s="225"/>
      <c r="V154" s="251"/>
      <c r="W154" s="377"/>
      <c r="X154" s="85"/>
      <c r="Y154" s="85"/>
      <c r="Z154" s="85"/>
      <c r="AA154" s="85"/>
      <c r="AB154" s="85"/>
      <c r="AC154" s="85"/>
    </row>
    <row r="155" spans="1:29" ht="27">
      <c r="A155" s="85" t="s">
        <v>897</v>
      </c>
      <c r="B155" s="243" t="s">
        <v>820</v>
      </c>
      <c r="C155" s="80" t="s">
        <v>898</v>
      </c>
      <c r="D155" s="81" t="s">
        <v>901</v>
      </c>
      <c r="E155" s="245" t="s">
        <v>27</v>
      </c>
      <c r="F155" s="87" t="s">
        <v>317</v>
      </c>
      <c r="G155" s="259"/>
      <c r="H155" s="256"/>
      <c r="I155" s="247" t="s">
        <v>317</v>
      </c>
      <c r="J155" s="247" t="s">
        <v>317</v>
      </c>
      <c r="K155" s="247" t="s">
        <v>317</v>
      </c>
      <c r="L155" s="248"/>
      <c r="M155" s="249"/>
      <c r="N155" s="225"/>
      <c r="O155" s="225"/>
      <c r="P155" s="225"/>
      <c r="Q155" s="250"/>
      <c r="R155" s="215" t="s">
        <v>27</v>
      </c>
      <c r="S155" s="215" t="s">
        <v>27</v>
      </c>
      <c r="T155" s="215" t="s">
        <v>27</v>
      </c>
      <c r="U155" s="225"/>
      <c r="V155" s="251"/>
      <c r="W155" s="377"/>
      <c r="X155" s="85"/>
      <c r="Y155" s="85"/>
      <c r="Z155" s="85"/>
      <c r="AA155" s="85"/>
      <c r="AB155" s="85"/>
      <c r="AC155" s="85"/>
    </row>
    <row r="156" spans="1:29" ht="27">
      <c r="A156" s="85" t="s">
        <v>897</v>
      </c>
      <c r="B156" s="243" t="s">
        <v>820</v>
      </c>
      <c r="C156" s="80" t="s">
        <v>898</v>
      </c>
      <c r="D156" s="81" t="s">
        <v>902</v>
      </c>
      <c r="E156" s="245" t="s">
        <v>27</v>
      </c>
      <c r="F156" s="87" t="s">
        <v>317</v>
      </c>
      <c r="G156" s="259"/>
      <c r="H156" s="256"/>
      <c r="I156" s="247" t="s">
        <v>317</v>
      </c>
      <c r="J156" s="247" t="s">
        <v>317</v>
      </c>
      <c r="K156" s="247" t="s">
        <v>317</v>
      </c>
      <c r="L156" s="248"/>
      <c r="M156" s="249"/>
      <c r="N156" s="225"/>
      <c r="O156" s="225"/>
      <c r="P156" s="225"/>
      <c r="Q156" s="250"/>
      <c r="R156" s="215" t="s">
        <v>27</v>
      </c>
      <c r="S156" s="215" t="s">
        <v>27</v>
      </c>
      <c r="T156" s="215" t="s">
        <v>27</v>
      </c>
      <c r="U156" s="225"/>
      <c r="V156" s="251"/>
      <c r="W156" s="377"/>
      <c r="X156" s="85"/>
      <c r="Y156" s="85"/>
      <c r="Z156" s="85"/>
      <c r="AA156" s="85"/>
      <c r="AB156" s="85"/>
      <c r="AC156" s="85"/>
    </row>
    <row r="157" spans="1:29" ht="27">
      <c r="A157" s="85" t="s">
        <v>897</v>
      </c>
      <c r="B157" s="243" t="s">
        <v>820</v>
      </c>
      <c r="C157" s="80" t="s">
        <v>898</v>
      </c>
      <c r="D157" s="81" t="s">
        <v>903</v>
      </c>
      <c r="E157" s="245" t="s">
        <v>27</v>
      </c>
      <c r="F157" s="87" t="s">
        <v>317</v>
      </c>
      <c r="G157" s="259"/>
      <c r="H157" s="256"/>
      <c r="I157" s="247" t="s">
        <v>317</v>
      </c>
      <c r="J157" s="247" t="s">
        <v>317</v>
      </c>
      <c r="K157" s="247" t="s">
        <v>317</v>
      </c>
      <c r="L157" s="248"/>
      <c r="M157" s="249"/>
      <c r="N157" s="225"/>
      <c r="O157" s="225"/>
      <c r="P157" s="225"/>
      <c r="Q157" s="250"/>
      <c r="R157" s="215" t="s">
        <v>27</v>
      </c>
      <c r="S157" s="215" t="s">
        <v>27</v>
      </c>
      <c r="T157" s="215" t="s">
        <v>27</v>
      </c>
      <c r="U157" s="225"/>
      <c r="V157" s="251"/>
      <c r="W157" s="377"/>
      <c r="X157" s="85"/>
      <c r="Y157" s="85"/>
      <c r="Z157" s="85"/>
      <c r="AA157" s="85"/>
      <c r="AB157" s="85"/>
      <c r="AC157" s="85"/>
    </row>
    <row r="158" spans="1:29" ht="27">
      <c r="A158" s="85" t="s">
        <v>897</v>
      </c>
      <c r="B158" s="243" t="s">
        <v>820</v>
      </c>
      <c r="C158" s="80" t="s">
        <v>898</v>
      </c>
      <c r="D158" s="81" t="s">
        <v>904</v>
      </c>
      <c r="E158" s="245" t="s">
        <v>27</v>
      </c>
      <c r="F158" s="87" t="s">
        <v>317</v>
      </c>
      <c r="G158" s="259"/>
      <c r="H158" s="256"/>
      <c r="I158" s="247" t="s">
        <v>317</v>
      </c>
      <c r="J158" s="247" t="s">
        <v>317</v>
      </c>
      <c r="K158" s="247" t="s">
        <v>317</v>
      </c>
      <c r="L158" s="248"/>
      <c r="M158" s="249"/>
      <c r="N158" s="225"/>
      <c r="O158" s="225"/>
      <c r="P158" s="225"/>
      <c r="Q158" s="250"/>
      <c r="R158" s="215" t="s">
        <v>27</v>
      </c>
      <c r="S158" s="215" t="s">
        <v>27</v>
      </c>
      <c r="T158" s="215" t="s">
        <v>27</v>
      </c>
      <c r="U158" s="225"/>
      <c r="V158" s="251"/>
      <c r="W158" s="377"/>
      <c r="X158" s="85"/>
      <c r="Y158" s="85"/>
      <c r="Z158" s="85"/>
      <c r="AA158" s="85"/>
      <c r="AB158" s="85"/>
      <c r="AC158" s="85"/>
    </row>
    <row r="159" spans="1:29" ht="27">
      <c r="A159" s="85" t="s">
        <v>897</v>
      </c>
      <c r="B159" s="243" t="s">
        <v>820</v>
      </c>
      <c r="C159" s="80" t="s">
        <v>898</v>
      </c>
      <c r="D159" s="81" t="s">
        <v>905</v>
      </c>
      <c r="E159" s="245" t="s">
        <v>27</v>
      </c>
      <c r="F159" s="87" t="s">
        <v>317</v>
      </c>
      <c r="G159" s="259"/>
      <c r="H159" s="256"/>
      <c r="I159" s="247" t="s">
        <v>317</v>
      </c>
      <c r="J159" s="247" t="s">
        <v>317</v>
      </c>
      <c r="K159" s="247" t="s">
        <v>317</v>
      </c>
      <c r="L159" s="248"/>
      <c r="M159" s="249"/>
      <c r="N159" s="225"/>
      <c r="O159" s="225"/>
      <c r="P159" s="225"/>
      <c r="Q159" s="250"/>
      <c r="R159" s="215" t="s">
        <v>27</v>
      </c>
      <c r="S159" s="215" t="s">
        <v>27</v>
      </c>
      <c r="T159" s="215" t="s">
        <v>27</v>
      </c>
      <c r="U159" s="225"/>
      <c r="V159" s="251"/>
      <c r="W159" s="377"/>
      <c r="X159" s="85"/>
      <c r="Y159" s="85"/>
      <c r="Z159" s="85"/>
      <c r="AA159" s="85"/>
      <c r="AB159" s="85"/>
      <c r="AC159" s="85"/>
    </row>
    <row r="160" spans="1:29" ht="27">
      <c r="A160" s="85" t="s">
        <v>897</v>
      </c>
      <c r="B160" s="243" t="s">
        <v>820</v>
      </c>
      <c r="C160" s="80" t="s">
        <v>898</v>
      </c>
      <c r="D160" s="81" t="s">
        <v>906</v>
      </c>
      <c r="E160" s="245" t="s">
        <v>27</v>
      </c>
      <c r="F160" s="87" t="s">
        <v>317</v>
      </c>
      <c r="G160" s="259"/>
      <c r="H160" s="256"/>
      <c r="I160" s="247" t="s">
        <v>317</v>
      </c>
      <c r="J160" s="247" t="s">
        <v>317</v>
      </c>
      <c r="K160" s="247" t="s">
        <v>317</v>
      </c>
      <c r="L160" s="248"/>
      <c r="M160" s="249"/>
      <c r="N160" s="225"/>
      <c r="O160" s="225"/>
      <c r="P160" s="225"/>
      <c r="Q160" s="250"/>
      <c r="R160" s="215" t="s">
        <v>27</v>
      </c>
      <c r="S160" s="215" t="s">
        <v>27</v>
      </c>
      <c r="T160" s="215" t="s">
        <v>27</v>
      </c>
      <c r="U160" s="225"/>
      <c r="V160" s="251"/>
      <c r="W160" s="377"/>
      <c r="X160" s="85"/>
      <c r="Y160" s="85"/>
      <c r="Z160" s="85"/>
      <c r="AA160" s="85"/>
      <c r="AB160" s="85"/>
      <c r="AC160" s="85"/>
    </row>
    <row r="161" spans="1:29" ht="27">
      <c r="A161" s="85" t="s">
        <v>897</v>
      </c>
      <c r="B161" s="243" t="s">
        <v>820</v>
      </c>
      <c r="C161" s="80" t="s">
        <v>898</v>
      </c>
      <c r="D161" s="81" t="s">
        <v>907</v>
      </c>
      <c r="E161" s="245" t="s">
        <v>27</v>
      </c>
      <c r="F161" s="87" t="s">
        <v>317</v>
      </c>
      <c r="G161" s="259"/>
      <c r="H161" s="256"/>
      <c r="I161" s="247" t="s">
        <v>317</v>
      </c>
      <c r="J161" s="247" t="s">
        <v>317</v>
      </c>
      <c r="K161" s="247" t="s">
        <v>317</v>
      </c>
      <c r="L161" s="248"/>
      <c r="M161" s="249"/>
      <c r="N161" s="225"/>
      <c r="O161" s="225"/>
      <c r="P161" s="225"/>
      <c r="Q161" s="250"/>
      <c r="R161" s="215" t="s">
        <v>27</v>
      </c>
      <c r="S161" s="215" t="s">
        <v>27</v>
      </c>
      <c r="T161" s="215" t="s">
        <v>27</v>
      </c>
      <c r="U161" s="225"/>
      <c r="V161" s="251"/>
      <c r="W161" s="377"/>
      <c r="X161" s="85"/>
      <c r="Y161" s="85"/>
      <c r="Z161" s="85"/>
      <c r="AA161" s="85"/>
      <c r="AB161" s="85"/>
      <c r="AC161" s="85"/>
    </row>
    <row r="162" spans="1:29" ht="27">
      <c r="A162" s="85" t="s">
        <v>897</v>
      </c>
      <c r="B162" s="243" t="s">
        <v>820</v>
      </c>
      <c r="C162" s="80" t="s">
        <v>898</v>
      </c>
      <c r="D162" s="81" t="s">
        <v>908</v>
      </c>
      <c r="E162" s="245" t="s">
        <v>27</v>
      </c>
      <c r="F162" s="87" t="s">
        <v>317</v>
      </c>
      <c r="G162" s="259"/>
      <c r="H162" s="256"/>
      <c r="I162" s="247" t="s">
        <v>317</v>
      </c>
      <c r="J162" s="247" t="s">
        <v>317</v>
      </c>
      <c r="K162" s="247" t="s">
        <v>317</v>
      </c>
      <c r="L162" s="248"/>
      <c r="M162" s="249"/>
      <c r="N162" s="225"/>
      <c r="O162" s="225"/>
      <c r="P162" s="225"/>
      <c r="Q162" s="250"/>
      <c r="R162" s="215" t="s">
        <v>27</v>
      </c>
      <c r="S162" s="215" t="s">
        <v>27</v>
      </c>
      <c r="T162" s="215" t="s">
        <v>27</v>
      </c>
      <c r="U162" s="225"/>
      <c r="V162" s="251"/>
      <c r="W162" s="377"/>
      <c r="X162" s="85"/>
      <c r="Y162" s="85"/>
      <c r="Z162" s="85"/>
      <c r="AA162" s="85"/>
      <c r="AB162" s="85"/>
      <c r="AC162" s="85"/>
    </row>
    <row r="163" spans="1:29" ht="27">
      <c r="A163" s="85" t="s">
        <v>897</v>
      </c>
      <c r="B163" s="243" t="s">
        <v>820</v>
      </c>
      <c r="C163" s="80" t="s">
        <v>898</v>
      </c>
      <c r="D163" s="81" t="s">
        <v>909</v>
      </c>
      <c r="E163" s="245" t="s">
        <v>27</v>
      </c>
      <c r="F163" s="87" t="s">
        <v>317</v>
      </c>
      <c r="G163" s="259"/>
      <c r="H163" s="256"/>
      <c r="I163" s="247" t="s">
        <v>317</v>
      </c>
      <c r="J163" s="247" t="s">
        <v>317</v>
      </c>
      <c r="K163" s="247" t="s">
        <v>317</v>
      </c>
      <c r="L163" s="248"/>
      <c r="M163" s="249"/>
      <c r="N163" s="225"/>
      <c r="O163" s="225"/>
      <c r="P163" s="225"/>
      <c r="Q163" s="250"/>
      <c r="R163" s="215" t="s">
        <v>27</v>
      </c>
      <c r="S163" s="215" t="s">
        <v>27</v>
      </c>
      <c r="T163" s="215" t="s">
        <v>27</v>
      </c>
      <c r="U163" s="225"/>
      <c r="V163" s="251"/>
      <c r="W163" s="377"/>
      <c r="X163" s="85"/>
      <c r="Y163" s="85"/>
      <c r="Z163" s="85"/>
      <c r="AA163" s="85"/>
      <c r="AB163" s="85"/>
      <c r="AC163" s="85"/>
    </row>
    <row r="164" spans="1:29" ht="27">
      <c r="A164" s="85" t="s">
        <v>897</v>
      </c>
      <c r="B164" s="243" t="s">
        <v>820</v>
      </c>
      <c r="C164" s="80" t="s">
        <v>898</v>
      </c>
      <c r="D164" s="81" t="s">
        <v>910</v>
      </c>
      <c r="E164" s="245" t="s">
        <v>27</v>
      </c>
      <c r="F164" s="87" t="s">
        <v>317</v>
      </c>
      <c r="G164" s="259"/>
      <c r="H164" s="256"/>
      <c r="I164" s="247" t="s">
        <v>317</v>
      </c>
      <c r="J164" s="247" t="s">
        <v>317</v>
      </c>
      <c r="K164" s="247" t="s">
        <v>317</v>
      </c>
      <c r="L164" s="248"/>
      <c r="M164" s="249"/>
      <c r="N164" s="225"/>
      <c r="O164" s="225"/>
      <c r="P164" s="225"/>
      <c r="Q164" s="250"/>
      <c r="R164" s="215" t="s">
        <v>27</v>
      </c>
      <c r="S164" s="215" t="s">
        <v>27</v>
      </c>
      <c r="T164" s="215" t="s">
        <v>27</v>
      </c>
      <c r="U164" s="225"/>
      <c r="V164" s="251"/>
      <c r="W164" s="377"/>
      <c r="X164" s="85"/>
      <c r="Y164" s="85"/>
      <c r="Z164" s="85"/>
      <c r="AA164" s="85"/>
      <c r="AB164" s="85"/>
      <c r="AC164" s="85"/>
    </row>
    <row r="165" spans="1:29" ht="27">
      <c r="A165" s="85" t="s">
        <v>897</v>
      </c>
      <c r="B165" s="243" t="s">
        <v>820</v>
      </c>
      <c r="C165" s="80" t="s">
        <v>898</v>
      </c>
      <c r="D165" s="81" t="s">
        <v>911</v>
      </c>
      <c r="E165" s="245" t="s">
        <v>27</v>
      </c>
      <c r="F165" s="87" t="s">
        <v>317</v>
      </c>
      <c r="G165" s="259"/>
      <c r="H165" s="256"/>
      <c r="I165" s="247" t="s">
        <v>317</v>
      </c>
      <c r="J165" s="247" t="s">
        <v>317</v>
      </c>
      <c r="K165" s="247" t="s">
        <v>317</v>
      </c>
      <c r="L165" s="248"/>
      <c r="M165" s="249"/>
      <c r="N165" s="225"/>
      <c r="O165" s="225"/>
      <c r="P165" s="225"/>
      <c r="Q165" s="250"/>
      <c r="R165" s="215" t="s">
        <v>27</v>
      </c>
      <c r="S165" s="215" t="s">
        <v>27</v>
      </c>
      <c r="T165" s="215" t="s">
        <v>27</v>
      </c>
      <c r="U165" s="225"/>
      <c r="V165" s="251"/>
      <c r="W165" s="377"/>
      <c r="X165" s="85"/>
      <c r="Y165" s="85"/>
      <c r="Z165" s="85"/>
      <c r="AA165" s="85"/>
      <c r="AB165" s="85"/>
      <c r="AC165" s="85"/>
    </row>
    <row r="166" spans="1:29" ht="27">
      <c r="A166" s="85" t="s">
        <v>897</v>
      </c>
      <c r="B166" s="243" t="s">
        <v>820</v>
      </c>
      <c r="C166" s="80" t="s">
        <v>898</v>
      </c>
      <c r="D166" s="81" t="s">
        <v>912</v>
      </c>
      <c r="E166" s="245" t="s">
        <v>27</v>
      </c>
      <c r="F166" s="87" t="s">
        <v>317</v>
      </c>
      <c r="G166" s="259"/>
      <c r="H166" s="256"/>
      <c r="I166" s="247" t="s">
        <v>317</v>
      </c>
      <c r="J166" s="247" t="s">
        <v>317</v>
      </c>
      <c r="K166" s="247" t="s">
        <v>317</v>
      </c>
      <c r="L166" s="248"/>
      <c r="M166" s="249"/>
      <c r="N166" s="225"/>
      <c r="O166" s="225"/>
      <c r="P166" s="225"/>
      <c r="Q166" s="250"/>
      <c r="R166" s="215" t="s">
        <v>27</v>
      </c>
      <c r="S166" s="215" t="s">
        <v>27</v>
      </c>
      <c r="T166" s="215" t="s">
        <v>27</v>
      </c>
      <c r="U166" s="225"/>
      <c r="V166" s="251"/>
      <c r="W166" s="377"/>
      <c r="X166" s="85"/>
      <c r="Y166" s="85"/>
      <c r="Z166" s="85"/>
      <c r="AA166" s="85"/>
      <c r="AB166" s="85"/>
      <c r="AC166" s="85"/>
    </row>
    <row r="167" spans="1:29" ht="27">
      <c r="A167" s="85" t="s">
        <v>897</v>
      </c>
      <c r="B167" s="243" t="s">
        <v>820</v>
      </c>
      <c r="C167" s="80" t="s">
        <v>898</v>
      </c>
      <c r="D167" s="81" t="s">
        <v>913</v>
      </c>
      <c r="E167" s="245" t="s">
        <v>27</v>
      </c>
      <c r="F167" s="87" t="s">
        <v>317</v>
      </c>
      <c r="G167" s="259"/>
      <c r="H167" s="256"/>
      <c r="I167" s="247" t="s">
        <v>317</v>
      </c>
      <c r="J167" s="247" t="s">
        <v>317</v>
      </c>
      <c r="K167" s="247" t="s">
        <v>317</v>
      </c>
      <c r="L167" s="248"/>
      <c r="M167" s="249"/>
      <c r="N167" s="225"/>
      <c r="O167" s="225"/>
      <c r="P167" s="225"/>
      <c r="Q167" s="250"/>
      <c r="R167" s="215" t="s">
        <v>27</v>
      </c>
      <c r="S167" s="215" t="s">
        <v>27</v>
      </c>
      <c r="T167" s="215" t="s">
        <v>27</v>
      </c>
      <c r="U167" s="225"/>
      <c r="V167" s="251"/>
      <c r="W167" s="377"/>
      <c r="X167" s="85"/>
      <c r="Y167" s="85"/>
      <c r="Z167" s="85"/>
      <c r="AA167" s="85"/>
      <c r="AB167" s="85"/>
      <c r="AC167" s="85"/>
    </row>
    <row r="168" spans="1:29" ht="27">
      <c r="A168" s="85" t="s">
        <v>897</v>
      </c>
      <c r="B168" s="243" t="s">
        <v>820</v>
      </c>
      <c r="C168" s="80" t="s">
        <v>898</v>
      </c>
      <c r="D168" s="81" t="s">
        <v>914</v>
      </c>
      <c r="E168" s="245" t="s">
        <v>27</v>
      </c>
      <c r="F168" s="87" t="s">
        <v>317</v>
      </c>
      <c r="G168" s="259"/>
      <c r="H168" s="256"/>
      <c r="I168" s="247" t="s">
        <v>317</v>
      </c>
      <c r="J168" s="247" t="s">
        <v>317</v>
      </c>
      <c r="K168" s="247" t="s">
        <v>317</v>
      </c>
      <c r="L168" s="248"/>
      <c r="M168" s="249"/>
      <c r="N168" s="225"/>
      <c r="O168" s="225"/>
      <c r="P168" s="225"/>
      <c r="Q168" s="250"/>
      <c r="R168" s="215" t="s">
        <v>27</v>
      </c>
      <c r="S168" s="215" t="s">
        <v>27</v>
      </c>
      <c r="T168" s="215" t="s">
        <v>27</v>
      </c>
      <c r="U168" s="225"/>
      <c r="V168" s="251"/>
      <c r="W168" s="377"/>
      <c r="X168" s="85"/>
      <c r="Y168" s="85"/>
      <c r="Z168" s="85"/>
      <c r="AA168" s="85"/>
      <c r="AB168" s="85"/>
      <c r="AC168" s="85"/>
    </row>
    <row r="169" spans="1:29" ht="27">
      <c r="A169" s="85" t="s">
        <v>897</v>
      </c>
      <c r="B169" s="243" t="s">
        <v>820</v>
      </c>
      <c r="C169" s="80" t="s">
        <v>898</v>
      </c>
      <c r="D169" s="81" t="s">
        <v>915</v>
      </c>
      <c r="E169" s="245" t="s">
        <v>27</v>
      </c>
      <c r="F169" s="87" t="s">
        <v>317</v>
      </c>
      <c r="G169" s="259"/>
      <c r="H169" s="256"/>
      <c r="I169" s="247" t="s">
        <v>317</v>
      </c>
      <c r="J169" s="247" t="s">
        <v>317</v>
      </c>
      <c r="K169" s="247" t="s">
        <v>317</v>
      </c>
      <c r="L169" s="248"/>
      <c r="M169" s="249"/>
      <c r="N169" s="225"/>
      <c r="O169" s="225"/>
      <c r="P169" s="225"/>
      <c r="Q169" s="250"/>
      <c r="R169" s="215" t="s">
        <v>27</v>
      </c>
      <c r="S169" s="215" t="s">
        <v>27</v>
      </c>
      <c r="T169" s="215" t="s">
        <v>27</v>
      </c>
      <c r="U169" s="225"/>
      <c r="V169" s="251"/>
      <c r="W169" s="377"/>
      <c r="X169" s="85"/>
      <c r="Y169" s="85"/>
      <c r="Z169" s="85"/>
      <c r="AA169" s="85"/>
      <c r="AB169" s="85"/>
      <c r="AC169" s="85"/>
    </row>
    <row r="170" spans="1:29" ht="27">
      <c r="A170" s="85" t="s">
        <v>897</v>
      </c>
      <c r="B170" s="243" t="s">
        <v>820</v>
      </c>
      <c r="C170" s="80" t="s">
        <v>898</v>
      </c>
      <c r="D170" s="81" t="s">
        <v>916</v>
      </c>
      <c r="E170" s="245" t="s">
        <v>27</v>
      </c>
      <c r="F170" s="87" t="s">
        <v>317</v>
      </c>
      <c r="G170" s="259"/>
      <c r="H170" s="256"/>
      <c r="I170" s="247" t="s">
        <v>317</v>
      </c>
      <c r="J170" s="247" t="s">
        <v>317</v>
      </c>
      <c r="K170" s="247" t="s">
        <v>317</v>
      </c>
      <c r="L170" s="248"/>
      <c r="M170" s="249"/>
      <c r="N170" s="225"/>
      <c r="O170" s="225"/>
      <c r="P170" s="225"/>
      <c r="Q170" s="250"/>
      <c r="R170" s="215" t="s">
        <v>27</v>
      </c>
      <c r="S170" s="215" t="s">
        <v>27</v>
      </c>
      <c r="T170" s="215" t="s">
        <v>27</v>
      </c>
      <c r="U170" s="225"/>
      <c r="V170" s="251"/>
      <c r="W170" s="377"/>
      <c r="X170" s="85"/>
      <c r="Y170" s="85"/>
      <c r="Z170" s="85"/>
      <c r="AA170" s="85"/>
      <c r="AB170" s="85"/>
      <c r="AC170" s="85"/>
    </row>
    <row r="171" spans="1:29" ht="27">
      <c r="A171" s="85" t="s">
        <v>897</v>
      </c>
      <c r="B171" s="243" t="s">
        <v>820</v>
      </c>
      <c r="C171" s="80" t="s">
        <v>898</v>
      </c>
      <c r="D171" s="81" t="s">
        <v>917</v>
      </c>
      <c r="E171" s="245" t="s">
        <v>27</v>
      </c>
      <c r="F171" s="87" t="s">
        <v>317</v>
      </c>
      <c r="G171" s="259"/>
      <c r="H171" s="256"/>
      <c r="I171" s="247" t="s">
        <v>317</v>
      </c>
      <c r="J171" s="247" t="s">
        <v>317</v>
      </c>
      <c r="K171" s="247" t="s">
        <v>317</v>
      </c>
      <c r="L171" s="248"/>
      <c r="M171" s="249"/>
      <c r="N171" s="225"/>
      <c r="O171" s="225"/>
      <c r="P171" s="225"/>
      <c r="Q171" s="250"/>
      <c r="R171" s="215" t="s">
        <v>27</v>
      </c>
      <c r="S171" s="215" t="s">
        <v>27</v>
      </c>
      <c r="T171" s="215" t="s">
        <v>27</v>
      </c>
      <c r="U171" s="225"/>
      <c r="V171" s="251"/>
      <c r="W171" s="377"/>
      <c r="X171" s="85"/>
      <c r="Y171" s="85"/>
      <c r="Z171" s="85"/>
      <c r="AA171" s="85"/>
      <c r="AB171" s="85"/>
      <c r="AC171" s="85"/>
    </row>
    <row r="172" spans="1:29" ht="27">
      <c r="A172" s="85" t="s">
        <v>897</v>
      </c>
      <c r="B172" s="243" t="s">
        <v>820</v>
      </c>
      <c r="C172" s="80" t="s">
        <v>898</v>
      </c>
      <c r="D172" s="81" t="s">
        <v>918</v>
      </c>
      <c r="E172" s="245" t="s">
        <v>27</v>
      </c>
      <c r="F172" s="87" t="s">
        <v>317</v>
      </c>
      <c r="G172" s="259"/>
      <c r="H172" s="256"/>
      <c r="I172" s="247" t="s">
        <v>317</v>
      </c>
      <c r="J172" s="247" t="s">
        <v>317</v>
      </c>
      <c r="K172" s="247" t="s">
        <v>317</v>
      </c>
      <c r="L172" s="248"/>
      <c r="M172" s="249"/>
      <c r="N172" s="225"/>
      <c r="O172" s="225"/>
      <c r="P172" s="225"/>
      <c r="Q172" s="250"/>
      <c r="R172" s="215" t="s">
        <v>27</v>
      </c>
      <c r="S172" s="215" t="s">
        <v>27</v>
      </c>
      <c r="T172" s="215" t="s">
        <v>27</v>
      </c>
      <c r="U172" s="225"/>
      <c r="V172" s="251"/>
      <c r="W172" s="377"/>
      <c r="X172" s="85"/>
      <c r="Y172" s="85"/>
      <c r="Z172" s="85"/>
      <c r="AA172" s="85"/>
      <c r="AB172" s="85"/>
      <c r="AC172" s="85"/>
    </row>
    <row r="173" spans="1:29" ht="27">
      <c r="A173" s="85" t="s">
        <v>897</v>
      </c>
      <c r="B173" s="243" t="s">
        <v>820</v>
      </c>
      <c r="C173" s="80" t="s">
        <v>898</v>
      </c>
      <c r="D173" s="81" t="s">
        <v>919</v>
      </c>
      <c r="E173" s="245" t="s">
        <v>27</v>
      </c>
      <c r="F173" s="87" t="s">
        <v>317</v>
      </c>
      <c r="G173" s="259"/>
      <c r="H173" s="256"/>
      <c r="I173" s="247" t="s">
        <v>317</v>
      </c>
      <c r="J173" s="247" t="s">
        <v>317</v>
      </c>
      <c r="K173" s="247" t="s">
        <v>317</v>
      </c>
      <c r="L173" s="248"/>
      <c r="M173" s="249"/>
      <c r="N173" s="225"/>
      <c r="O173" s="225"/>
      <c r="P173" s="225"/>
      <c r="Q173" s="250"/>
      <c r="R173" s="215" t="s">
        <v>27</v>
      </c>
      <c r="S173" s="215" t="s">
        <v>27</v>
      </c>
      <c r="T173" s="215" t="s">
        <v>27</v>
      </c>
      <c r="U173" s="225"/>
      <c r="V173" s="251"/>
      <c r="W173" s="377"/>
      <c r="X173" s="85"/>
      <c r="Y173" s="85"/>
      <c r="Z173" s="85"/>
      <c r="AA173" s="85"/>
      <c r="AB173" s="85"/>
      <c r="AC173" s="85"/>
    </row>
    <row r="174" spans="1:29" ht="409.6">
      <c r="A174" s="85" t="s">
        <v>920</v>
      </c>
      <c r="B174" s="87" t="s">
        <v>921</v>
      </c>
      <c r="C174" s="80" t="s">
        <v>922</v>
      </c>
      <c r="D174" s="86" t="s">
        <v>923</v>
      </c>
      <c r="E174" s="87" t="s">
        <v>325</v>
      </c>
      <c r="F174" s="87" t="s">
        <v>326</v>
      </c>
      <c r="G174" s="246" t="s">
        <v>924</v>
      </c>
      <c r="H174" s="234" t="s">
        <v>925</v>
      </c>
      <c r="I174" s="245" t="s">
        <v>337</v>
      </c>
      <c r="J174" s="245" t="s">
        <v>337</v>
      </c>
      <c r="K174" s="257" t="s">
        <v>337</v>
      </c>
      <c r="L174" s="248" t="s">
        <v>329</v>
      </c>
      <c r="M174" s="232" t="s">
        <v>24</v>
      </c>
      <c r="N174" s="233" t="s">
        <v>24</v>
      </c>
      <c r="O174" s="233" t="s">
        <v>24</v>
      </c>
      <c r="P174" s="81" t="s">
        <v>926</v>
      </c>
      <c r="Q174" s="254"/>
      <c r="R174" s="285" t="s">
        <v>24</v>
      </c>
      <c r="S174" s="285" t="s">
        <v>24</v>
      </c>
      <c r="T174" s="285" t="s">
        <v>24</v>
      </c>
      <c r="U174" s="225" t="s">
        <v>329</v>
      </c>
      <c r="V174" s="284" t="s">
        <v>927</v>
      </c>
      <c r="W174" s="377"/>
      <c r="X174" s="85"/>
      <c r="Y174" s="85"/>
      <c r="Z174" s="85"/>
      <c r="AA174" s="85"/>
      <c r="AB174" s="85"/>
      <c r="AC174" s="85"/>
    </row>
    <row r="175" spans="1:29" ht="409.6">
      <c r="A175" s="85" t="s">
        <v>920</v>
      </c>
      <c r="B175" s="87" t="s">
        <v>921</v>
      </c>
      <c r="C175" s="80" t="s">
        <v>928</v>
      </c>
      <c r="D175" s="81" t="s">
        <v>929</v>
      </c>
      <c r="E175" s="245" t="s">
        <v>27</v>
      </c>
      <c r="F175" s="87" t="s">
        <v>317</v>
      </c>
      <c r="G175" s="259"/>
      <c r="H175" s="256"/>
      <c r="I175" s="247" t="s">
        <v>317</v>
      </c>
      <c r="J175" s="247" t="s">
        <v>317</v>
      </c>
      <c r="K175" s="247" t="s">
        <v>317</v>
      </c>
      <c r="L175" s="248"/>
      <c r="M175" s="249"/>
      <c r="N175" s="225"/>
      <c r="O175" s="225"/>
      <c r="P175" s="225"/>
      <c r="Q175" s="250"/>
      <c r="R175" s="215" t="s">
        <v>27</v>
      </c>
      <c r="S175" s="215" t="s">
        <v>27</v>
      </c>
      <c r="T175" s="215" t="s">
        <v>27</v>
      </c>
      <c r="U175" s="225"/>
      <c r="V175" s="251"/>
      <c r="W175" s="377"/>
      <c r="X175" s="85"/>
      <c r="Y175" s="85"/>
      <c r="Z175" s="85"/>
      <c r="AA175" s="85"/>
      <c r="AB175" s="85"/>
      <c r="AC175" s="85"/>
    </row>
    <row r="176" spans="1:29" ht="409.6">
      <c r="A176" s="85" t="s">
        <v>920</v>
      </c>
      <c r="B176" s="87" t="s">
        <v>921</v>
      </c>
      <c r="C176" s="80" t="s">
        <v>930</v>
      </c>
      <c r="D176" s="81" t="s">
        <v>931</v>
      </c>
      <c r="E176" s="87" t="s">
        <v>325</v>
      </c>
      <c r="F176" s="87" t="s">
        <v>477</v>
      </c>
      <c r="G176" s="246" t="s">
        <v>932</v>
      </c>
      <c r="H176" s="308" t="s">
        <v>933</v>
      </c>
      <c r="I176" s="245" t="s">
        <v>24</v>
      </c>
      <c r="J176" s="225" t="s">
        <v>24</v>
      </c>
      <c r="K176" s="248" t="s">
        <v>24</v>
      </c>
      <c r="L176" s="248" t="s">
        <v>483</v>
      </c>
      <c r="M176" s="232" t="s">
        <v>24</v>
      </c>
      <c r="N176" s="233" t="s">
        <v>24</v>
      </c>
      <c r="O176" s="233" t="s">
        <v>24</v>
      </c>
      <c r="P176" s="107" t="s">
        <v>626</v>
      </c>
      <c r="Q176" s="254"/>
      <c r="R176" s="215" t="s">
        <v>24</v>
      </c>
      <c r="S176" s="225" t="s">
        <v>24</v>
      </c>
      <c r="T176" s="225" t="s">
        <v>24</v>
      </c>
      <c r="U176" s="225" t="s">
        <v>483</v>
      </c>
      <c r="V176" s="251"/>
      <c r="W176" s="377"/>
      <c r="X176" s="85"/>
      <c r="Y176" s="85"/>
      <c r="Z176" s="85"/>
      <c r="AA176" s="85"/>
      <c r="AB176" s="85"/>
      <c r="AC176" s="85"/>
    </row>
    <row r="177" spans="1:29" ht="330">
      <c r="A177" s="85" t="s">
        <v>920</v>
      </c>
      <c r="B177" s="87" t="s">
        <v>921</v>
      </c>
      <c r="C177" s="80" t="s">
        <v>934</v>
      </c>
      <c r="D177" s="81" t="s">
        <v>935</v>
      </c>
      <c r="E177" s="87" t="s">
        <v>325</v>
      </c>
      <c r="F177" s="87" t="s">
        <v>477</v>
      </c>
      <c r="G177" s="246" t="s">
        <v>936</v>
      </c>
      <c r="H177" s="308" t="s">
        <v>937</v>
      </c>
      <c r="I177" s="225" t="s">
        <v>24</v>
      </c>
      <c r="J177" s="225" t="s">
        <v>24</v>
      </c>
      <c r="K177" s="248" t="s">
        <v>24</v>
      </c>
      <c r="L177" s="248" t="s">
        <v>482</v>
      </c>
      <c r="M177" s="232" t="s">
        <v>24</v>
      </c>
      <c r="N177" s="233" t="s">
        <v>24</v>
      </c>
      <c r="O177" s="233" t="s">
        <v>24</v>
      </c>
      <c r="P177" s="107" t="s">
        <v>626</v>
      </c>
      <c r="Q177" s="254"/>
      <c r="R177" s="215" t="s">
        <v>24</v>
      </c>
      <c r="S177" s="225" t="s">
        <v>24</v>
      </c>
      <c r="T177" s="225" t="s">
        <v>24</v>
      </c>
      <c r="U177" s="225" t="s">
        <v>483</v>
      </c>
      <c r="V177" s="251" t="s">
        <v>938</v>
      </c>
      <c r="W177" s="377"/>
      <c r="X177" s="85"/>
      <c r="Y177" s="85"/>
      <c r="Z177" s="85"/>
      <c r="AA177" s="85"/>
      <c r="AB177" s="85"/>
      <c r="AC177" s="85"/>
    </row>
    <row r="178" spans="1:29" ht="99.75" customHeight="1">
      <c r="A178" s="85" t="s">
        <v>920</v>
      </c>
      <c r="B178" s="87" t="s">
        <v>921</v>
      </c>
      <c r="C178" s="80" t="s">
        <v>939</v>
      </c>
      <c r="D178" s="86" t="s">
        <v>940</v>
      </c>
      <c r="E178" s="87" t="s">
        <v>325</v>
      </c>
      <c r="F178" s="87" t="s">
        <v>326</v>
      </c>
      <c r="G178" s="246" t="s">
        <v>941</v>
      </c>
      <c r="H178" s="308" t="s">
        <v>942</v>
      </c>
      <c r="I178" s="271" t="s">
        <v>337</v>
      </c>
      <c r="J178" s="271" t="s">
        <v>337</v>
      </c>
      <c r="K178" s="293" t="s">
        <v>337</v>
      </c>
      <c r="L178" s="248" t="s">
        <v>483</v>
      </c>
      <c r="M178" s="375" t="s">
        <v>24</v>
      </c>
      <c r="N178" s="376" t="s">
        <v>24</v>
      </c>
      <c r="O178" s="376" t="s">
        <v>24</v>
      </c>
      <c r="P178" s="81" t="s">
        <v>943</v>
      </c>
      <c r="Q178" s="254" t="s">
        <v>944</v>
      </c>
      <c r="R178" s="298" t="s">
        <v>24</v>
      </c>
      <c r="S178" s="298" t="s">
        <v>24</v>
      </c>
      <c r="T178" s="314" t="s">
        <v>24</v>
      </c>
      <c r="U178" s="225" t="s">
        <v>483</v>
      </c>
      <c r="V178" s="296" t="s">
        <v>945</v>
      </c>
      <c r="W178" s="377"/>
      <c r="X178" s="87"/>
      <c r="Y178" s="87"/>
      <c r="Z178" s="87"/>
      <c r="AA178" s="87"/>
      <c r="AB178" s="87"/>
      <c r="AC178" s="87"/>
    </row>
    <row r="179" spans="1:29" ht="409.6">
      <c r="A179" s="85" t="s">
        <v>946</v>
      </c>
      <c r="B179" s="87" t="s">
        <v>921</v>
      </c>
      <c r="C179" s="80" t="s">
        <v>947</v>
      </c>
      <c r="D179" s="81" t="s">
        <v>948</v>
      </c>
      <c r="E179" s="87" t="s">
        <v>325</v>
      </c>
      <c r="F179" s="87" t="s">
        <v>477</v>
      </c>
      <c r="G179" s="246" t="s">
        <v>949</v>
      </c>
      <c r="H179" s="234" t="s">
        <v>950</v>
      </c>
      <c r="I179" s="225" t="s">
        <v>24</v>
      </c>
      <c r="J179" s="225" t="s">
        <v>24</v>
      </c>
      <c r="K179" s="225" t="s">
        <v>24</v>
      </c>
      <c r="L179" s="248" t="s">
        <v>329</v>
      </c>
      <c r="M179" s="375" t="s">
        <v>24</v>
      </c>
      <c r="N179" s="376" t="s">
        <v>24</v>
      </c>
      <c r="O179" s="376" t="s">
        <v>24</v>
      </c>
      <c r="P179" s="107" t="s">
        <v>626</v>
      </c>
      <c r="Q179" s="254"/>
      <c r="R179" s="215" t="s">
        <v>24</v>
      </c>
      <c r="S179" s="225" t="s">
        <v>24</v>
      </c>
      <c r="T179" s="225" t="s">
        <v>24</v>
      </c>
      <c r="U179" s="225" t="s">
        <v>329</v>
      </c>
      <c r="V179" s="251"/>
      <c r="W179" s="377"/>
      <c r="X179" s="85"/>
      <c r="Y179" s="85"/>
      <c r="Z179" s="85"/>
      <c r="AA179" s="85"/>
      <c r="AB179" s="85"/>
      <c r="AC179" s="85"/>
    </row>
    <row r="180" spans="1:29" ht="384.75">
      <c r="A180" s="85" t="s">
        <v>946</v>
      </c>
      <c r="B180" s="87" t="s">
        <v>921</v>
      </c>
      <c r="C180" s="80" t="s">
        <v>951</v>
      </c>
      <c r="D180" s="81" t="s">
        <v>952</v>
      </c>
      <c r="E180" s="87" t="s">
        <v>325</v>
      </c>
      <c r="F180" s="87" t="s">
        <v>477</v>
      </c>
      <c r="G180" s="246" t="s">
        <v>953</v>
      </c>
      <c r="H180" s="234" t="s">
        <v>954</v>
      </c>
      <c r="I180" s="225" t="s">
        <v>24</v>
      </c>
      <c r="J180" s="225" t="s">
        <v>24</v>
      </c>
      <c r="K180" s="248" t="s">
        <v>24</v>
      </c>
      <c r="L180" s="248" t="s">
        <v>483</v>
      </c>
      <c r="M180" s="375" t="s">
        <v>24</v>
      </c>
      <c r="N180" s="376" t="s">
        <v>24</v>
      </c>
      <c r="O180" s="376" t="s">
        <v>24</v>
      </c>
      <c r="P180" s="107" t="s">
        <v>626</v>
      </c>
      <c r="Q180" s="250"/>
      <c r="R180" s="215" t="s">
        <v>24</v>
      </c>
      <c r="S180" s="225" t="s">
        <v>24</v>
      </c>
      <c r="T180" s="225" t="s">
        <v>24</v>
      </c>
      <c r="U180" s="225" t="s">
        <v>483</v>
      </c>
      <c r="V180" s="251" t="s">
        <v>955</v>
      </c>
      <c r="W180" s="377"/>
      <c r="X180" s="85"/>
      <c r="Y180" s="85"/>
      <c r="Z180" s="85"/>
      <c r="AA180" s="85"/>
      <c r="AB180" s="85"/>
      <c r="AC180" s="85"/>
    </row>
    <row r="181" spans="1:29" ht="384.75">
      <c r="A181" s="85" t="s">
        <v>946</v>
      </c>
      <c r="B181" s="87" t="s">
        <v>921</v>
      </c>
      <c r="C181" s="80" t="s">
        <v>956</v>
      </c>
      <c r="D181" s="81" t="s">
        <v>957</v>
      </c>
      <c r="E181" s="87" t="s">
        <v>325</v>
      </c>
      <c r="F181" s="87" t="s">
        <v>477</v>
      </c>
      <c r="G181" s="246" t="s">
        <v>958</v>
      </c>
      <c r="H181" s="234" t="s">
        <v>959</v>
      </c>
      <c r="I181" s="271" t="s">
        <v>337</v>
      </c>
      <c r="J181" s="271" t="s">
        <v>337</v>
      </c>
      <c r="K181" s="293" t="s">
        <v>337</v>
      </c>
      <c r="L181" s="248" t="s">
        <v>329</v>
      </c>
      <c r="M181" s="224" t="s">
        <v>24</v>
      </c>
      <c r="N181" s="107" t="s">
        <v>24</v>
      </c>
      <c r="O181" s="107" t="s">
        <v>24</v>
      </c>
      <c r="P181" s="81" t="s">
        <v>960</v>
      </c>
      <c r="Q181" s="309"/>
      <c r="R181" s="267" t="s">
        <v>24</v>
      </c>
      <c r="S181" s="107" t="s">
        <v>24</v>
      </c>
      <c r="T181" s="107" t="s">
        <v>24</v>
      </c>
      <c r="U181" s="225" t="s">
        <v>329</v>
      </c>
      <c r="V181" s="251" t="s">
        <v>961</v>
      </c>
      <c r="W181" s="377"/>
      <c r="X181" s="85"/>
      <c r="Y181" s="85"/>
      <c r="Z181" s="85"/>
      <c r="AA181" s="85"/>
      <c r="AB181" s="85"/>
      <c r="AC181" s="85"/>
    </row>
    <row r="182" spans="1:29" ht="409.6">
      <c r="A182" s="85" t="s">
        <v>946</v>
      </c>
      <c r="B182" s="87" t="s">
        <v>921</v>
      </c>
      <c r="C182" s="80" t="s">
        <v>962</v>
      </c>
      <c r="D182" s="81" t="s">
        <v>963</v>
      </c>
      <c r="E182" s="87" t="s">
        <v>325</v>
      </c>
      <c r="F182" s="87" t="s">
        <v>477</v>
      </c>
      <c r="G182" s="246" t="s">
        <v>964</v>
      </c>
      <c r="H182" s="234" t="s">
        <v>965</v>
      </c>
      <c r="I182" s="225" t="s">
        <v>24</v>
      </c>
      <c r="J182" s="225" t="s">
        <v>24</v>
      </c>
      <c r="K182" s="225" t="s">
        <v>24</v>
      </c>
      <c r="L182" s="248" t="s">
        <v>329</v>
      </c>
      <c r="M182" s="224" t="s">
        <v>24</v>
      </c>
      <c r="N182" s="107" t="s">
        <v>24</v>
      </c>
      <c r="O182" s="107" t="s">
        <v>24</v>
      </c>
      <c r="P182" s="107" t="s">
        <v>626</v>
      </c>
      <c r="Q182" s="309"/>
      <c r="R182" s="215" t="s">
        <v>24</v>
      </c>
      <c r="S182" s="225" t="s">
        <v>24</v>
      </c>
      <c r="T182" s="225" t="s">
        <v>24</v>
      </c>
      <c r="U182" s="225" t="s">
        <v>329</v>
      </c>
      <c r="V182" s="251"/>
      <c r="W182" s="377"/>
      <c r="X182" s="85"/>
      <c r="Y182" s="85"/>
      <c r="Z182" s="85"/>
      <c r="AA182" s="85"/>
      <c r="AB182" s="85"/>
      <c r="AC182" s="85"/>
    </row>
    <row r="183" spans="1:29" ht="409.6">
      <c r="A183" s="85" t="s">
        <v>946</v>
      </c>
      <c r="B183" s="87" t="s">
        <v>921</v>
      </c>
      <c r="C183" s="80" t="s">
        <v>966</v>
      </c>
      <c r="D183" s="86" t="s">
        <v>967</v>
      </c>
      <c r="E183" s="87" t="s">
        <v>325</v>
      </c>
      <c r="F183" s="87" t="s">
        <v>477</v>
      </c>
      <c r="G183" s="259"/>
      <c r="H183" s="234" t="s">
        <v>968</v>
      </c>
      <c r="I183" s="225" t="s">
        <v>311</v>
      </c>
      <c r="J183" s="225" t="s">
        <v>311</v>
      </c>
      <c r="K183" s="225" t="s">
        <v>311</v>
      </c>
      <c r="L183" s="248"/>
      <c r="M183" s="224" t="s">
        <v>26</v>
      </c>
      <c r="N183" s="107" t="s">
        <v>26</v>
      </c>
      <c r="O183" s="107" t="s">
        <v>26</v>
      </c>
      <c r="P183" s="81" t="s">
        <v>969</v>
      </c>
      <c r="Q183" s="250"/>
      <c r="R183" s="285" t="s">
        <v>25</v>
      </c>
      <c r="S183" s="245" t="s">
        <v>25</v>
      </c>
      <c r="T183" s="245" t="s">
        <v>25</v>
      </c>
      <c r="U183" s="225" t="s">
        <v>329</v>
      </c>
      <c r="V183" s="289" t="s">
        <v>970</v>
      </c>
      <c r="W183" s="377"/>
      <c r="X183" s="87"/>
      <c r="Y183" s="87"/>
      <c r="Z183" s="87"/>
      <c r="AA183" s="87" t="s">
        <v>377</v>
      </c>
      <c r="AB183" s="87"/>
      <c r="AC183" s="87"/>
    </row>
    <row r="184" spans="1:29" ht="409.6">
      <c r="A184" s="85" t="s">
        <v>971</v>
      </c>
      <c r="B184" s="87" t="s">
        <v>921</v>
      </c>
      <c r="C184" s="80" t="s">
        <v>972</v>
      </c>
      <c r="D184" s="81" t="s">
        <v>973</v>
      </c>
      <c r="E184" s="87" t="s">
        <v>325</v>
      </c>
      <c r="F184" s="87" t="s">
        <v>326</v>
      </c>
      <c r="G184" s="246" t="s">
        <v>974</v>
      </c>
      <c r="H184" s="234" t="s">
        <v>975</v>
      </c>
      <c r="I184" s="245" t="s">
        <v>337</v>
      </c>
      <c r="J184" s="245" t="s">
        <v>337</v>
      </c>
      <c r="K184" s="245" t="s">
        <v>337</v>
      </c>
      <c r="L184" s="248" t="s">
        <v>329</v>
      </c>
      <c r="M184" s="232" t="s">
        <v>24</v>
      </c>
      <c r="N184" s="233" t="s">
        <v>24</v>
      </c>
      <c r="O184" s="233" t="s">
        <v>24</v>
      </c>
      <c r="P184" s="81" t="s">
        <v>976</v>
      </c>
      <c r="Q184" s="250"/>
      <c r="R184" s="215" t="s">
        <v>24</v>
      </c>
      <c r="S184" s="225" t="s">
        <v>24</v>
      </c>
      <c r="T184" s="225" t="s">
        <v>24</v>
      </c>
      <c r="U184" s="225" t="s">
        <v>329</v>
      </c>
      <c r="V184" s="251" t="s">
        <v>977</v>
      </c>
      <c r="W184" s="377"/>
      <c r="X184" s="85"/>
      <c r="Y184" s="85"/>
      <c r="Z184" s="85"/>
      <c r="AA184" s="85"/>
      <c r="AB184" s="85"/>
      <c r="AC184" s="85"/>
    </row>
    <row r="185" spans="1:29" ht="398.25">
      <c r="A185" s="85" t="s">
        <v>971</v>
      </c>
      <c r="B185" s="87" t="s">
        <v>921</v>
      </c>
      <c r="C185" s="80" t="s">
        <v>978</v>
      </c>
      <c r="D185" s="81" t="s">
        <v>979</v>
      </c>
      <c r="E185" s="87" t="s">
        <v>325</v>
      </c>
      <c r="F185" s="87" t="s">
        <v>326</v>
      </c>
      <c r="G185" s="246" t="s">
        <v>980</v>
      </c>
      <c r="H185" s="234" t="s">
        <v>981</v>
      </c>
      <c r="I185" s="245" t="s">
        <v>337</v>
      </c>
      <c r="J185" s="245" t="s">
        <v>337</v>
      </c>
      <c r="K185" s="245" t="s">
        <v>337</v>
      </c>
      <c r="L185" s="248" t="s">
        <v>329</v>
      </c>
      <c r="M185" s="375" t="s">
        <v>24</v>
      </c>
      <c r="N185" s="376" t="s">
        <v>24</v>
      </c>
      <c r="O185" s="376" t="s">
        <v>24</v>
      </c>
      <c r="P185" s="310" t="s">
        <v>976</v>
      </c>
      <c r="Q185" s="311" t="s">
        <v>339</v>
      </c>
      <c r="R185" s="215" t="s">
        <v>24</v>
      </c>
      <c r="S185" s="225" t="s">
        <v>24</v>
      </c>
      <c r="T185" s="225" t="s">
        <v>24</v>
      </c>
      <c r="U185" s="225" t="s">
        <v>329</v>
      </c>
      <c r="V185" s="251" t="s">
        <v>982</v>
      </c>
      <c r="W185" s="377"/>
      <c r="X185" s="85"/>
      <c r="Y185" s="85"/>
      <c r="Z185" s="85"/>
      <c r="AA185" s="85"/>
      <c r="AB185" s="85"/>
      <c r="AC185" s="85"/>
    </row>
    <row r="186" spans="1:29" ht="398.25">
      <c r="A186" s="85" t="s">
        <v>971</v>
      </c>
      <c r="B186" s="87" t="s">
        <v>921</v>
      </c>
      <c r="C186" s="80" t="s">
        <v>983</v>
      </c>
      <c r="D186" s="81" t="s">
        <v>984</v>
      </c>
      <c r="E186" s="87" t="s">
        <v>325</v>
      </c>
      <c r="F186" s="87" t="s">
        <v>477</v>
      </c>
      <c r="G186" s="246" t="s">
        <v>985</v>
      </c>
      <c r="H186" s="234" t="s">
        <v>975</v>
      </c>
      <c r="I186" s="225" t="s">
        <v>24</v>
      </c>
      <c r="J186" s="225" t="s">
        <v>24</v>
      </c>
      <c r="K186" s="248" t="s">
        <v>24</v>
      </c>
      <c r="L186" s="248" t="s">
        <v>329</v>
      </c>
      <c r="M186" s="224" t="s">
        <v>24</v>
      </c>
      <c r="N186" s="107" t="s">
        <v>24</v>
      </c>
      <c r="O186" s="107" t="s">
        <v>24</v>
      </c>
      <c r="P186" s="106"/>
      <c r="Q186" s="309"/>
      <c r="R186" s="215" t="s">
        <v>24</v>
      </c>
      <c r="S186" s="225" t="s">
        <v>24</v>
      </c>
      <c r="T186" s="225" t="s">
        <v>24</v>
      </c>
      <c r="U186" s="225" t="s">
        <v>329</v>
      </c>
      <c r="V186" s="251"/>
      <c r="W186" s="377"/>
      <c r="X186" s="85"/>
      <c r="Y186" s="85"/>
      <c r="Z186" s="85"/>
      <c r="AA186" s="85"/>
      <c r="AB186" s="85"/>
      <c r="AC186" s="85"/>
    </row>
    <row r="187" spans="1:29" ht="409.6">
      <c r="A187" s="85" t="s">
        <v>971</v>
      </c>
      <c r="B187" s="87" t="s">
        <v>921</v>
      </c>
      <c r="C187" s="80" t="s">
        <v>986</v>
      </c>
      <c r="D187" s="81" t="s">
        <v>987</v>
      </c>
      <c r="E187" s="87" t="s">
        <v>325</v>
      </c>
      <c r="F187" s="87" t="s">
        <v>477</v>
      </c>
      <c r="G187" s="246" t="s">
        <v>988</v>
      </c>
      <c r="H187" s="234" t="s">
        <v>989</v>
      </c>
      <c r="I187" s="225" t="s">
        <v>24</v>
      </c>
      <c r="J187" s="225" t="s">
        <v>24</v>
      </c>
      <c r="K187" s="248" t="s">
        <v>24</v>
      </c>
      <c r="L187" s="248" t="s">
        <v>329</v>
      </c>
      <c r="M187" s="224" t="s">
        <v>24</v>
      </c>
      <c r="N187" s="107" t="s">
        <v>24</v>
      </c>
      <c r="O187" s="107" t="s">
        <v>24</v>
      </c>
      <c r="P187" s="106"/>
      <c r="Q187" s="309"/>
      <c r="R187" s="215" t="s">
        <v>24</v>
      </c>
      <c r="S187" s="225" t="s">
        <v>24</v>
      </c>
      <c r="T187" s="225" t="s">
        <v>24</v>
      </c>
      <c r="U187" s="225" t="s">
        <v>329</v>
      </c>
      <c r="V187" s="251"/>
      <c r="W187" s="377"/>
      <c r="X187" s="85"/>
      <c r="Y187" s="85"/>
      <c r="Z187" s="85"/>
      <c r="AA187" s="85"/>
      <c r="AB187" s="85"/>
      <c r="AC187" s="85"/>
    </row>
    <row r="188" spans="1:29" ht="398.25">
      <c r="A188" s="85" t="s">
        <v>920</v>
      </c>
      <c r="B188" s="87" t="s">
        <v>921</v>
      </c>
      <c r="C188" s="80" t="s">
        <v>990</v>
      </c>
      <c r="D188" s="130" t="s">
        <v>991</v>
      </c>
      <c r="E188" s="87" t="s">
        <v>325</v>
      </c>
      <c r="F188" s="87" t="s">
        <v>477</v>
      </c>
      <c r="G188" s="246" t="s">
        <v>992</v>
      </c>
      <c r="H188" s="308" t="s">
        <v>993</v>
      </c>
      <c r="I188" s="225" t="s">
        <v>24</v>
      </c>
      <c r="J188" s="225" t="s">
        <v>24</v>
      </c>
      <c r="K188" s="248" t="s">
        <v>24</v>
      </c>
      <c r="L188" s="248" t="s">
        <v>483</v>
      </c>
      <c r="M188" s="283" t="s">
        <v>24</v>
      </c>
      <c r="N188" s="106" t="s">
        <v>24</v>
      </c>
      <c r="O188" s="106" t="s">
        <v>24</v>
      </c>
      <c r="P188" s="106"/>
      <c r="Q188" s="309"/>
      <c r="R188" s="215" t="s">
        <v>24</v>
      </c>
      <c r="S188" s="225" t="s">
        <v>24</v>
      </c>
      <c r="T188" s="248" t="s">
        <v>24</v>
      </c>
      <c r="U188" s="248" t="s">
        <v>483</v>
      </c>
      <c r="V188" s="251"/>
      <c r="W188" s="377"/>
      <c r="X188" s="85"/>
      <c r="Y188" s="85"/>
      <c r="Z188" s="85"/>
      <c r="AA188" s="85"/>
      <c r="AB188" s="85"/>
      <c r="AC188" s="85"/>
    </row>
    <row r="189" spans="1:29" ht="409.6">
      <c r="A189" s="85" t="s">
        <v>920</v>
      </c>
      <c r="B189" s="87" t="s">
        <v>921</v>
      </c>
      <c r="C189" s="80" t="s">
        <v>80</v>
      </c>
      <c r="D189" s="81" t="s">
        <v>994</v>
      </c>
      <c r="E189" s="87" t="s">
        <v>325</v>
      </c>
      <c r="F189" s="87" t="s">
        <v>326</v>
      </c>
      <c r="G189" s="246" t="s">
        <v>995</v>
      </c>
      <c r="H189" s="308" t="s">
        <v>996</v>
      </c>
      <c r="I189" s="225" t="s">
        <v>24</v>
      </c>
      <c r="J189" s="225" t="s">
        <v>24</v>
      </c>
      <c r="K189" s="248" t="s">
        <v>24</v>
      </c>
      <c r="L189" s="248" t="s">
        <v>483</v>
      </c>
      <c r="M189" s="232" t="s">
        <v>24</v>
      </c>
      <c r="N189" s="233" t="s">
        <v>24</v>
      </c>
      <c r="O189" s="233" t="s">
        <v>24</v>
      </c>
      <c r="P189" s="107" t="s">
        <v>626</v>
      </c>
      <c r="Q189" s="250"/>
      <c r="R189" s="215" t="s">
        <v>24</v>
      </c>
      <c r="S189" s="225" t="s">
        <v>24</v>
      </c>
      <c r="T189" s="225" t="s">
        <v>24</v>
      </c>
      <c r="U189" s="225" t="s">
        <v>483</v>
      </c>
      <c r="V189" s="251"/>
      <c r="W189" s="377"/>
      <c r="X189" s="85"/>
      <c r="Y189" s="85"/>
      <c r="Z189" s="85"/>
      <c r="AA189" s="85"/>
      <c r="AB189" s="85"/>
      <c r="AC189" s="85"/>
    </row>
    <row r="190" spans="1:29" ht="409.6">
      <c r="A190" s="85" t="s">
        <v>920</v>
      </c>
      <c r="B190" s="87" t="s">
        <v>921</v>
      </c>
      <c r="C190" s="80" t="s">
        <v>997</v>
      </c>
      <c r="D190" s="86" t="s">
        <v>998</v>
      </c>
      <c r="E190" s="87" t="s">
        <v>325</v>
      </c>
      <c r="F190" s="87" t="s">
        <v>477</v>
      </c>
      <c r="G190" s="246" t="s">
        <v>999</v>
      </c>
      <c r="H190" s="308" t="s">
        <v>1000</v>
      </c>
      <c r="I190" s="247" t="s">
        <v>337</v>
      </c>
      <c r="J190" s="247" t="s">
        <v>337</v>
      </c>
      <c r="K190" s="247" t="s">
        <v>337</v>
      </c>
      <c r="L190" s="248" t="s">
        <v>483</v>
      </c>
      <c r="M190" s="224" t="s">
        <v>24</v>
      </c>
      <c r="N190" s="107" t="s">
        <v>24</v>
      </c>
      <c r="O190" s="107" t="s">
        <v>24</v>
      </c>
      <c r="P190" s="81" t="s">
        <v>1001</v>
      </c>
      <c r="Q190" s="309"/>
      <c r="R190" s="312" t="s">
        <v>24</v>
      </c>
      <c r="S190" s="106" t="s">
        <v>24</v>
      </c>
      <c r="T190" s="106" t="s">
        <v>24</v>
      </c>
      <c r="U190" s="225" t="s">
        <v>329</v>
      </c>
      <c r="V190" s="251" t="s">
        <v>1002</v>
      </c>
      <c r="W190" s="377"/>
      <c r="X190" s="85"/>
      <c r="Y190" s="85"/>
      <c r="Z190" s="85"/>
      <c r="AA190" s="85"/>
      <c r="AB190" s="85"/>
      <c r="AC190" s="85"/>
    </row>
    <row r="191" spans="1:29" ht="409.6">
      <c r="A191" s="85" t="s">
        <v>920</v>
      </c>
      <c r="B191" s="87" t="s">
        <v>921</v>
      </c>
      <c r="C191" s="80" t="s">
        <v>1003</v>
      </c>
      <c r="D191" s="86" t="s">
        <v>1004</v>
      </c>
      <c r="E191" s="87" t="s">
        <v>325</v>
      </c>
      <c r="F191" s="87" t="s">
        <v>477</v>
      </c>
      <c r="G191" s="246" t="s">
        <v>1005</v>
      </c>
      <c r="H191" s="256"/>
      <c r="I191" s="225" t="s">
        <v>24</v>
      </c>
      <c r="J191" s="225" t="s">
        <v>24</v>
      </c>
      <c r="K191" s="248" t="s">
        <v>24</v>
      </c>
      <c r="L191" s="248" t="s">
        <v>483</v>
      </c>
      <c r="M191" s="232" t="s">
        <v>24</v>
      </c>
      <c r="N191" s="233" t="s">
        <v>24</v>
      </c>
      <c r="O191" s="233" t="s">
        <v>24</v>
      </c>
      <c r="P191" s="107" t="s">
        <v>626</v>
      </c>
      <c r="Q191" s="250"/>
      <c r="R191" s="215" t="s">
        <v>24</v>
      </c>
      <c r="S191" s="225" t="s">
        <v>24</v>
      </c>
      <c r="T191" s="225" t="s">
        <v>24</v>
      </c>
      <c r="U191" s="225" t="s">
        <v>483</v>
      </c>
      <c r="V191" s="251"/>
      <c r="W191" s="377"/>
      <c r="X191" s="85"/>
      <c r="Y191" s="85"/>
      <c r="Z191" s="85"/>
      <c r="AA191" s="85"/>
      <c r="AB191" s="85"/>
      <c r="AC191" s="85"/>
    </row>
    <row r="192" spans="1:29" ht="409.6">
      <c r="A192" s="85" t="s">
        <v>920</v>
      </c>
      <c r="B192" s="87" t="s">
        <v>921</v>
      </c>
      <c r="C192" s="80" t="s">
        <v>1006</v>
      </c>
      <c r="D192" s="81" t="s">
        <v>1007</v>
      </c>
      <c r="E192" s="87" t="s">
        <v>325</v>
      </c>
      <c r="F192" s="87" t="s">
        <v>477</v>
      </c>
      <c r="G192" s="308" t="s">
        <v>1008</v>
      </c>
      <c r="H192" s="297" t="s">
        <v>1009</v>
      </c>
      <c r="I192" s="245" t="s">
        <v>24</v>
      </c>
      <c r="J192" s="245" t="s">
        <v>24</v>
      </c>
      <c r="K192" s="257" t="s">
        <v>24</v>
      </c>
      <c r="L192" s="248" t="s">
        <v>329</v>
      </c>
      <c r="M192" s="224" t="s">
        <v>24</v>
      </c>
      <c r="N192" s="107" t="s">
        <v>24</v>
      </c>
      <c r="O192" s="107" t="s">
        <v>24</v>
      </c>
      <c r="P192" s="81" t="s">
        <v>1010</v>
      </c>
      <c r="Q192" s="309"/>
      <c r="R192" s="312" t="s">
        <v>24</v>
      </c>
      <c r="S192" s="106" t="s">
        <v>24</v>
      </c>
      <c r="T192" s="106" t="s">
        <v>24</v>
      </c>
      <c r="U192" s="225" t="s">
        <v>329</v>
      </c>
      <c r="V192" s="251" t="s">
        <v>1011</v>
      </c>
      <c r="W192" s="377"/>
      <c r="X192" s="85"/>
      <c r="Y192" s="85"/>
      <c r="Z192" s="85"/>
      <c r="AA192" s="85"/>
      <c r="AB192" s="85"/>
      <c r="AC192" s="85"/>
    </row>
    <row r="193" spans="1:29" ht="409.6">
      <c r="A193" s="85" t="s">
        <v>920</v>
      </c>
      <c r="B193" s="87" t="s">
        <v>921</v>
      </c>
      <c r="C193" s="80" t="s">
        <v>1012</v>
      </c>
      <c r="D193" s="86" t="s">
        <v>1013</v>
      </c>
      <c r="E193" s="87" t="s">
        <v>325</v>
      </c>
      <c r="F193" s="87" t="s">
        <v>477</v>
      </c>
      <c r="G193" s="246" t="s">
        <v>1014</v>
      </c>
      <c r="H193" s="234" t="s">
        <v>1015</v>
      </c>
      <c r="I193" s="271" t="s">
        <v>337</v>
      </c>
      <c r="J193" s="271" t="s">
        <v>337</v>
      </c>
      <c r="K193" s="293" t="s">
        <v>337</v>
      </c>
      <c r="L193" s="248" t="s">
        <v>483</v>
      </c>
      <c r="M193" s="224" t="s">
        <v>24</v>
      </c>
      <c r="N193" s="107" t="s">
        <v>24</v>
      </c>
      <c r="O193" s="107" t="s">
        <v>24</v>
      </c>
      <c r="P193" s="81" t="s">
        <v>1001</v>
      </c>
      <c r="Q193" s="309"/>
      <c r="R193" s="312" t="s">
        <v>24</v>
      </c>
      <c r="S193" s="106" t="s">
        <v>24</v>
      </c>
      <c r="T193" s="106" t="s">
        <v>24</v>
      </c>
      <c r="U193" s="225" t="s">
        <v>329</v>
      </c>
      <c r="V193" s="313" t="s">
        <v>1016</v>
      </c>
      <c r="W193" s="377"/>
      <c r="X193" s="85"/>
      <c r="Y193" s="85"/>
      <c r="Z193" s="85"/>
      <c r="AA193" s="85"/>
      <c r="AB193" s="85"/>
      <c r="AC193" s="85"/>
    </row>
    <row r="194" spans="1:29" ht="409.6">
      <c r="A194" s="85" t="s">
        <v>920</v>
      </c>
      <c r="B194" s="87" t="s">
        <v>921</v>
      </c>
      <c r="C194" s="80" t="s">
        <v>1017</v>
      </c>
      <c r="D194" s="81" t="s">
        <v>1018</v>
      </c>
      <c r="E194" s="87" t="s">
        <v>325</v>
      </c>
      <c r="F194" s="87" t="s">
        <v>477</v>
      </c>
      <c r="G194" s="246" t="s">
        <v>1019</v>
      </c>
      <c r="H194" s="256"/>
      <c r="I194" s="298" t="s">
        <v>24</v>
      </c>
      <c r="J194" s="298" t="s">
        <v>24</v>
      </c>
      <c r="K194" s="314" t="s">
        <v>24</v>
      </c>
      <c r="L194" s="248" t="s">
        <v>483</v>
      </c>
      <c r="M194" s="232" t="s">
        <v>24</v>
      </c>
      <c r="N194" s="233" t="s">
        <v>24</v>
      </c>
      <c r="O194" s="233" t="s">
        <v>24</v>
      </c>
      <c r="P194" s="107" t="s">
        <v>626</v>
      </c>
      <c r="Q194" s="250"/>
      <c r="R194" s="215" t="s">
        <v>24</v>
      </c>
      <c r="S194" s="225" t="s">
        <v>24</v>
      </c>
      <c r="T194" s="225" t="s">
        <v>24</v>
      </c>
      <c r="U194" s="225" t="s">
        <v>483</v>
      </c>
      <c r="V194" s="251"/>
      <c r="W194" s="377"/>
      <c r="X194" s="85"/>
      <c r="Y194" s="85"/>
      <c r="Z194" s="85"/>
      <c r="AA194" s="85"/>
      <c r="AB194" s="85"/>
      <c r="AC194" s="85"/>
    </row>
    <row r="195" spans="1:29" ht="409.6">
      <c r="A195" s="85" t="s">
        <v>920</v>
      </c>
      <c r="B195" s="87" t="s">
        <v>921</v>
      </c>
      <c r="C195" s="80" t="s">
        <v>1020</v>
      </c>
      <c r="D195" s="81" t="s">
        <v>1021</v>
      </c>
      <c r="E195" s="87" t="s">
        <v>325</v>
      </c>
      <c r="F195" s="87" t="s">
        <v>477</v>
      </c>
      <c r="G195" s="246" t="s">
        <v>1022</v>
      </c>
      <c r="H195" s="234" t="s">
        <v>1023</v>
      </c>
      <c r="I195" s="225" t="s">
        <v>24</v>
      </c>
      <c r="J195" s="225" t="s">
        <v>24</v>
      </c>
      <c r="K195" s="248" t="s">
        <v>24</v>
      </c>
      <c r="L195" s="248" t="s">
        <v>329</v>
      </c>
      <c r="M195" s="232" t="s">
        <v>24</v>
      </c>
      <c r="N195" s="233" t="s">
        <v>24</v>
      </c>
      <c r="O195" s="233" t="s">
        <v>24</v>
      </c>
      <c r="P195" s="107" t="s">
        <v>626</v>
      </c>
      <c r="Q195" s="250"/>
      <c r="R195" s="215" t="s">
        <v>24</v>
      </c>
      <c r="S195" s="225" t="s">
        <v>24</v>
      </c>
      <c r="T195" s="225" t="s">
        <v>24</v>
      </c>
      <c r="U195" s="225" t="s">
        <v>329</v>
      </c>
      <c r="V195" s="251"/>
      <c r="W195" s="377"/>
      <c r="X195" s="85"/>
      <c r="Y195" s="85"/>
      <c r="Z195" s="85"/>
      <c r="AA195" s="85"/>
      <c r="AB195" s="85"/>
      <c r="AC195" s="85"/>
    </row>
    <row r="196" spans="1:29" ht="409.6">
      <c r="A196" s="85" t="s">
        <v>920</v>
      </c>
      <c r="B196" s="87" t="s">
        <v>921</v>
      </c>
      <c r="C196" s="80" t="s">
        <v>1024</v>
      </c>
      <c r="D196" s="81" t="s">
        <v>1025</v>
      </c>
      <c r="E196" s="87" t="s">
        <v>325</v>
      </c>
      <c r="F196" s="87" t="s">
        <v>477</v>
      </c>
      <c r="G196" s="315" t="s">
        <v>1026</v>
      </c>
      <c r="H196" s="308" t="s">
        <v>1027</v>
      </c>
      <c r="I196" s="225" t="s">
        <v>24</v>
      </c>
      <c r="J196" s="225" t="s">
        <v>24</v>
      </c>
      <c r="K196" s="248" t="s">
        <v>24</v>
      </c>
      <c r="L196" s="248" t="s">
        <v>483</v>
      </c>
      <c r="M196" s="232" t="s">
        <v>24</v>
      </c>
      <c r="N196" s="233" t="s">
        <v>24</v>
      </c>
      <c r="O196" s="233" t="s">
        <v>24</v>
      </c>
      <c r="P196" s="225"/>
      <c r="Q196" s="250"/>
      <c r="R196" s="215" t="s">
        <v>24</v>
      </c>
      <c r="S196" s="225" t="s">
        <v>24</v>
      </c>
      <c r="T196" s="225" t="s">
        <v>24</v>
      </c>
      <c r="U196" s="225"/>
      <c r="V196" s="251"/>
      <c r="W196" s="377"/>
      <c r="X196" s="85"/>
      <c r="Y196" s="85"/>
      <c r="Z196" s="85"/>
      <c r="AA196" s="85"/>
      <c r="AB196" s="85"/>
      <c r="AC196" s="85"/>
    </row>
    <row r="197" spans="1:29" ht="409.6">
      <c r="A197" s="85" t="s">
        <v>920</v>
      </c>
      <c r="B197" s="87" t="s">
        <v>921</v>
      </c>
      <c r="C197" s="80" t="s">
        <v>1028</v>
      </c>
      <c r="D197" s="81" t="s">
        <v>1029</v>
      </c>
      <c r="E197" s="87" t="s">
        <v>325</v>
      </c>
      <c r="F197" s="316" t="s">
        <v>477</v>
      </c>
      <c r="G197" s="246" t="s">
        <v>1030</v>
      </c>
      <c r="H197" s="317" t="s">
        <v>1031</v>
      </c>
      <c r="I197" s="225" t="s">
        <v>24</v>
      </c>
      <c r="J197" s="245" t="s">
        <v>337</v>
      </c>
      <c r="K197" s="257" t="s">
        <v>337</v>
      </c>
      <c r="L197" s="248" t="s">
        <v>483</v>
      </c>
      <c r="M197" s="283" t="s">
        <v>24</v>
      </c>
      <c r="N197" s="106" t="s">
        <v>24</v>
      </c>
      <c r="O197" s="106" t="s">
        <v>24</v>
      </c>
      <c r="P197" s="81" t="s">
        <v>1032</v>
      </c>
      <c r="Q197" s="309"/>
      <c r="R197" s="312" t="s">
        <v>24</v>
      </c>
      <c r="S197" s="106" t="s">
        <v>24</v>
      </c>
      <c r="T197" s="106" t="s">
        <v>24</v>
      </c>
      <c r="U197" s="225" t="s">
        <v>329</v>
      </c>
      <c r="V197" s="296" t="s">
        <v>1033</v>
      </c>
      <c r="W197" s="377"/>
      <c r="X197" s="85"/>
      <c r="Y197" s="85"/>
      <c r="Z197" s="85"/>
      <c r="AA197" s="85"/>
      <c r="AB197" s="85"/>
      <c r="AC197" s="85"/>
    </row>
    <row r="198" spans="1:29" ht="409.6">
      <c r="A198" s="85" t="s">
        <v>920</v>
      </c>
      <c r="B198" s="87" t="s">
        <v>921</v>
      </c>
      <c r="C198" s="80" t="s">
        <v>1034</v>
      </c>
      <c r="D198" s="81" t="s">
        <v>1035</v>
      </c>
      <c r="E198" s="87" t="s">
        <v>325</v>
      </c>
      <c r="F198" s="87" t="s">
        <v>477</v>
      </c>
      <c r="G198" s="318" t="s">
        <v>1036</v>
      </c>
      <c r="H198" s="256" t="s">
        <v>1037</v>
      </c>
      <c r="I198" s="225" t="s">
        <v>24</v>
      </c>
      <c r="J198" s="225" t="s">
        <v>24</v>
      </c>
      <c r="K198" s="248" t="s">
        <v>24</v>
      </c>
      <c r="L198" s="248" t="s">
        <v>483</v>
      </c>
      <c r="M198" s="232" t="s">
        <v>24</v>
      </c>
      <c r="N198" s="233" t="s">
        <v>24</v>
      </c>
      <c r="O198" s="233" t="s">
        <v>24</v>
      </c>
      <c r="P198" s="107" t="s">
        <v>626</v>
      </c>
      <c r="Q198" s="250"/>
      <c r="R198" s="215" t="s">
        <v>24</v>
      </c>
      <c r="S198" s="225" t="s">
        <v>24</v>
      </c>
      <c r="T198" s="225" t="s">
        <v>24</v>
      </c>
      <c r="U198" s="225" t="s">
        <v>1038</v>
      </c>
      <c r="V198" s="251"/>
      <c r="W198" s="377"/>
      <c r="X198" s="85"/>
      <c r="Y198" s="85"/>
      <c r="Z198" s="85"/>
      <c r="AA198" s="85"/>
      <c r="AB198" s="85"/>
      <c r="AC198" s="85"/>
    </row>
    <row r="199" spans="1:29" ht="409.6">
      <c r="A199" s="85" t="s">
        <v>920</v>
      </c>
      <c r="B199" s="87" t="s">
        <v>921</v>
      </c>
      <c r="C199" s="80" t="s">
        <v>1039</v>
      </c>
      <c r="D199" s="86" t="s">
        <v>1040</v>
      </c>
      <c r="E199" s="87" t="s">
        <v>325</v>
      </c>
      <c r="F199" s="87" t="s">
        <v>477</v>
      </c>
      <c r="G199" s="246" t="s">
        <v>1041</v>
      </c>
      <c r="H199" s="256" t="s">
        <v>1042</v>
      </c>
      <c r="I199" s="225" t="s">
        <v>24</v>
      </c>
      <c r="J199" s="225" t="s">
        <v>24</v>
      </c>
      <c r="K199" s="248" t="s">
        <v>24</v>
      </c>
      <c r="L199" s="248" t="s">
        <v>483</v>
      </c>
      <c r="M199" s="224" t="s">
        <v>24</v>
      </c>
      <c r="N199" s="107" t="s">
        <v>24</v>
      </c>
      <c r="O199" s="107" t="s">
        <v>24</v>
      </c>
      <c r="P199" s="81" t="s">
        <v>1043</v>
      </c>
      <c r="Q199" s="309"/>
      <c r="R199" s="312" t="s">
        <v>24</v>
      </c>
      <c r="S199" s="106" t="s">
        <v>24</v>
      </c>
      <c r="T199" s="106" t="s">
        <v>24</v>
      </c>
      <c r="U199" s="225" t="s">
        <v>329</v>
      </c>
      <c r="V199" s="251" t="s">
        <v>1044</v>
      </c>
      <c r="W199" s="377"/>
      <c r="X199" s="85"/>
      <c r="Y199" s="85"/>
      <c r="Z199" s="85"/>
      <c r="AA199" s="85"/>
      <c r="AB199" s="85"/>
      <c r="AC199" s="85"/>
    </row>
    <row r="200" spans="1:29" ht="409.6">
      <c r="A200" s="85" t="s">
        <v>920</v>
      </c>
      <c r="B200" s="87" t="s">
        <v>921</v>
      </c>
      <c r="C200" s="80" t="s">
        <v>1045</v>
      </c>
      <c r="D200" s="86" t="s">
        <v>1046</v>
      </c>
      <c r="E200" s="87" t="s">
        <v>325</v>
      </c>
      <c r="F200" s="87" t="s">
        <v>477</v>
      </c>
      <c r="G200" s="246" t="s">
        <v>1047</v>
      </c>
      <c r="H200" s="308" t="s">
        <v>1048</v>
      </c>
      <c r="I200" s="247" t="s">
        <v>337</v>
      </c>
      <c r="J200" s="247" t="s">
        <v>337</v>
      </c>
      <c r="K200" s="247" t="s">
        <v>337</v>
      </c>
      <c r="L200" s="248" t="s">
        <v>483</v>
      </c>
      <c r="M200" s="224" t="s">
        <v>24</v>
      </c>
      <c r="N200" s="107" t="s">
        <v>24</v>
      </c>
      <c r="O200" s="107" t="s">
        <v>24</v>
      </c>
      <c r="P200" s="81" t="s">
        <v>1001</v>
      </c>
      <c r="Q200" s="309"/>
      <c r="R200" s="312" t="s">
        <v>24</v>
      </c>
      <c r="S200" s="106" t="s">
        <v>24</v>
      </c>
      <c r="T200" s="106" t="s">
        <v>24</v>
      </c>
      <c r="U200" s="225" t="s">
        <v>329</v>
      </c>
      <c r="V200" s="284" t="s">
        <v>1049</v>
      </c>
      <c r="W200" s="377"/>
      <c r="X200" s="85"/>
      <c r="Y200" s="85"/>
      <c r="Z200" s="85"/>
      <c r="AA200" s="85"/>
      <c r="AB200" s="85"/>
      <c r="AC200" s="85"/>
    </row>
    <row r="201" spans="1:29" ht="409.6">
      <c r="A201" s="85" t="s">
        <v>920</v>
      </c>
      <c r="B201" s="87" t="s">
        <v>921</v>
      </c>
      <c r="C201" s="80" t="s">
        <v>1050</v>
      </c>
      <c r="D201" s="86" t="s">
        <v>1051</v>
      </c>
      <c r="E201" s="87" t="s">
        <v>325</v>
      </c>
      <c r="F201" s="87" t="s">
        <v>477</v>
      </c>
      <c r="G201" s="246" t="s">
        <v>1052</v>
      </c>
      <c r="H201" s="256"/>
      <c r="I201" s="225" t="s">
        <v>24</v>
      </c>
      <c r="J201" s="225" t="s">
        <v>24</v>
      </c>
      <c r="K201" s="248" t="s">
        <v>24</v>
      </c>
      <c r="L201" s="248" t="s">
        <v>483</v>
      </c>
      <c r="M201" s="232" t="s">
        <v>24</v>
      </c>
      <c r="N201" s="233" t="s">
        <v>24</v>
      </c>
      <c r="O201" s="233" t="s">
        <v>24</v>
      </c>
      <c r="P201" s="107" t="s">
        <v>626</v>
      </c>
      <c r="Q201" s="250"/>
      <c r="R201" s="215" t="s">
        <v>24</v>
      </c>
      <c r="S201" s="225" t="s">
        <v>24</v>
      </c>
      <c r="T201" s="225" t="s">
        <v>24</v>
      </c>
      <c r="U201" s="225" t="s">
        <v>483</v>
      </c>
      <c r="V201" s="251"/>
      <c r="W201" s="377"/>
      <c r="X201" s="85"/>
      <c r="Y201" s="85"/>
      <c r="Z201" s="85"/>
      <c r="AA201" s="85"/>
      <c r="AB201" s="85"/>
      <c r="AC201" s="85"/>
    </row>
    <row r="202" spans="1:29" ht="409.6">
      <c r="A202" s="85" t="s">
        <v>920</v>
      </c>
      <c r="B202" s="87" t="s">
        <v>921</v>
      </c>
      <c r="C202" s="80" t="s">
        <v>1053</v>
      </c>
      <c r="D202" s="86" t="s">
        <v>1054</v>
      </c>
      <c r="E202" s="87" t="s">
        <v>325</v>
      </c>
      <c r="F202" s="87" t="s">
        <v>326</v>
      </c>
      <c r="G202" s="246" t="s">
        <v>1055</v>
      </c>
      <c r="H202" s="256"/>
      <c r="I202" s="271" t="s">
        <v>337</v>
      </c>
      <c r="J202" s="271" t="s">
        <v>337</v>
      </c>
      <c r="K202" s="293" t="s">
        <v>337</v>
      </c>
      <c r="L202" s="248" t="s">
        <v>483</v>
      </c>
      <c r="M202" s="232" t="s">
        <v>24</v>
      </c>
      <c r="N202" s="233" t="s">
        <v>24</v>
      </c>
      <c r="O202" s="233" t="s">
        <v>24</v>
      </c>
      <c r="P202" s="81" t="s">
        <v>976</v>
      </c>
      <c r="Q202" s="254" t="s">
        <v>339</v>
      </c>
      <c r="R202" s="306" t="s">
        <v>24</v>
      </c>
      <c r="S202" s="298" t="s">
        <v>25</v>
      </c>
      <c r="T202" s="298" t="s">
        <v>24</v>
      </c>
      <c r="U202" s="225" t="s">
        <v>483</v>
      </c>
      <c r="V202" s="328" t="s">
        <v>1056</v>
      </c>
      <c r="W202" s="377"/>
      <c r="X202" s="87"/>
      <c r="Y202" s="87"/>
      <c r="Z202" s="87"/>
      <c r="AA202" s="87" t="s">
        <v>377</v>
      </c>
      <c r="AB202" s="87"/>
      <c r="AC202" s="87"/>
    </row>
    <row r="203" spans="1:29" ht="247.5">
      <c r="A203" s="85" t="s">
        <v>920</v>
      </c>
      <c r="B203" s="87" t="s">
        <v>921</v>
      </c>
      <c r="C203" s="80" t="s">
        <v>1057</v>
      </c>
      <c r="D203" s="81" t="s">
        <v>1058</v>
      </c>
      <c r="E203" s="87" t="s">
        <v>325</v>
      </c>
      <c r="F203" s="87" t="s">
        <v>477</v>
      </c>
      <c r="G203" s="319" t="s">
        <v>1059</v>
      </c>
      <c r="H203" s="234" t="s">
        <v>1060</v>
      </c>
      <c r="I203" s="225" t="s">
        <v>24</v>
      </c>
      <c r="J203" s="245" t="s">
        <v>337</v>
      </c>
      <c r="K203" s="248" t="s">
        <v>337</v>
      </c>
      <c r="L203" s="248" t="s">
        <v>483</v>
      </c>
      <c r="M203" s="224" t="s">
        <v>24</v>
      </c>
      <c r="N203" s="107" t="s">
        <v>24</v>
      </c>
      <c r="O203" s="107" t="s">
        <v>24</v>
      </c>
      <c r="P203" s="81" t="s">
        <v>1061</v>
      </c>
      <c r="Q203" s="254"/>
      <c r="R203" s="312" t="s">
        <v>24</v>
      </c>
      <c r="S203" s="106" t="s">
        <v>24</v>
      </c>
      <c r="T203" s="106" t="s">
        <v>24</v>
      </c>
      <c r="U203" s="225" t="s">
        <v>329</v>
      </c>
      <c r="V203" s="296" t="s">
        <v>1062</v>
      </c>
      <c r="W203" s="377"/>
      <c r="X203" s="85"/>
      <c r="Y203" s="85"/>
      <c r="Z203" s="85"/>
      <c r="AA203" s="85"/>
      <c r="AB203" s="85"/>
      <c r="AC203" s="85"/>
    </row>
    <row r="204" spans="1:29" ht="409.6">
      <c r="A204" s="85" t="s">
        <v>920</v>
      </c>
      <c r="B204" s="87" t="s">
        <v>921</v>
      </c>
      <c r="C204" s="80" t="s">
        <v>1063</v>
      </c>
      <c r="D204" s="86" t="s">
        <v>1064</v>
      </c>
      <c r="E204" s="87" t="s">
        <v>325</v>
      </c>
      <c r="F204" s="87" t="s">
        <v>477</v>
      </c>
      <c r="G204" s="246" t="s">
        <v>1065</v>
      </c>
      <c r="H204" s="234" t="s">
        <v>1066</v>
      </c>
      <c r="I204" s="225" t="s">
        <v>24</v>
      </c>
      <c r="J204" s="225" t="s">
        <v>24</v>
      </c>
      <c r="K204" s="248" t="s">
        <v>24</v>
      </c>
      <c r="L204" s="248" t="s">
        <v>329</v>
      </c>
      <c r="M204" s="232" t="s">
        <v>24</v>
      </c>
      <c r="N204" s="233" t="s">
        <v>24</v>
      </c>
      <c r="O204" s="233" t="s">
        <v>24</v>
      </c>
      <c r="P204" s="225"/>
      <c r="Q204" s="250"/>
      <c r="R204" s="215" t="s">
        <v>24</v>
      </c>
      <c r="S204" s="225" t="s">
        <v>24</v>
      </c>
      <c r="T204" s="225" t="s">
        <v>24</v>
      </c>
      <c r="U204" s="225" t="s">
        <v>329</v>
      </c>
      <c r="V204" s="251" t="s">
        <v>1067</v>
      </c>
      <c r="W204" s="377"/>
      <c r="X204" s="85"/>
      <c r="Y204" s="85"/>
      <c r="Z204" s="85"/>
      <c r="AA204" s="85"/>
      <c r="AB204" s="85"/>
      <c r="AC204" s="85"/>
    </row>
    <row r="205" spans="1:29" ht="409.6">
      <c r="A205" s="85" t="s">
        <v>920</v>
      </c>
      <c r="B205" s="87" t="s">
        <v>921</v>
      </c>
      <c r="C205" s="80" t="s">
        <v>1068</v>
      </c>
      <c r="D205" s="81" t="s">
        <v>1069</v>
      </c>
      <c r="E205" s="87" t="s">
        <v>325</v>
      </c>
      <c r="F205" s="87" t="s">
        <v>477</v>
      </c>
      <c r="G205" s="246" t="s">
        <v>1070</v>
      </c>
      <c r="H205" s="234" t="s">
        <v>1071</v>
      </c>
      <c r="I205" s="225" t="s">
        <v>24</v>
      </c>
      <c r="J205" s="225" t="s">
        <v>24</v>
      </c>
      <c r="K205" s="248" t="s">
        <v>24</v>
      </c>
      <c r="L205" s="248" t="s">
        <v>329</v>
      </c>
      <c r="M205" s="375" t="s">
        <v>24</v>
      </c>
      <c r="N205" s="376" t="s">
        <v>24</v>
      </c>
      <c r="O205" s="376" t="s">
        <v>24</v>
      </c>
      <c r="P205" s="225"/>
      <c r="Q205" s="250"/>
      <c r="R205" s="215" t="s">
        <v>24</v>
      </c>
      <c r="S205" s="225" t="s">
        <v>24</v>
      </c>
      <c r="T205" s="225" t="s">
        <v>24</v>
      </c>
      <c r="U205" s="225" t="s">
        <v>329</v>
      </c>
      <c r="V205" s="251" t="s">
        <v>1072</v>
      </c>
      <c r="W205" s="377"/>
      <c r="X205" s="85"/>
      <c r="Y205" s="85"/>
      <c r="Z205" s="85"/>
      <c r="AA205" s="85"/>
      <c r="AB205" s="85"/>
      <c r="AC205" s="85"/>
    </row>
    <row r="206" spans="1:29" ht="409.6">
      <c r="A206" s="85" t="s">
        <v>1073</v>
      </c>
      <c r="B206" s="87" t="s">
        <v>921</v>
      </c>
      <c r="C206" s="80" t="s">
        <v>1074</v>
      </c>
      <c r="D206" s="86" t="s">
        <v>1075</v>
      </c>
      <c r="E206" s="245" t="s">
        <v>27</v>
      </c>
      <c r="F206" s="87" t="s">
        <v>317</v>
      </c>
      <c r="G206" s="246" t="s">
        <v>1076</v>
      </c>
      <c r="H206" s="256"/>
      <c r="I206" s="245" t="s">
        <v>337</v>
      </c>
      <c r="J206" s="245" t="s">
        <v>337</v>
      </c>
      <c r="K206" s="257" t="s">
        <v>337</v>
      </c>
      <c r="L206" s="248" t="s">
        <v>329</v>
      </c>
      <c r="M206" s="224"/>
      <c r="N206" s="107"/>
      <c r="O206" s="107"/>
      <c r="P206" s="225"/>
      <c r="Q206" s="250"/>
      <c r="R206" s="215" t="s">
        <v>27</v>
      </c>
      <c r="S206" s="215" t="s">
        <v>27</v>
      </c>
      <c r="T206" s="215" t="s">
        <v>27</v>
      </c>
      <c r="U206" s="225"/>
      <c r="V206" s="251" t="s">
        <v>1077</v>
      </c>
      <c r="W206" s="377"/>
      <c r="X206" s="85"/>
      <c r="Y206" s="85"/>
      <c r="Z206" s="85"/>
      <c r="AA206" s="85"/>
      <c r="AB206" s="85"/>
      <c r="AC206" s="85"/>
    </row>
    <row r="207" spans="1:29" ht="261">
      <c r="A207" s="85" t="s">
        <v>920</v>
      </c>
      <c r="B207" s="87" t="s">
        <v>921</v>
      </c>
      <c r="C207" s="80" t="s">
        <v>1078</v>
      </c>
      <c r="D207" s="86" t="s">
        <v>1079</v>
      </c>
      <c r="E207" s="87" t="s">
        <v>325</v>
      </c>
      <c r="F207" s="87" t="s">
        <v>477</v>
      </c>
      <c r="G207" s="246" t="s">
        <v>1080</v>
      </c>
      <c r="H207" s="234" t="s">
        <v>1081</v>
      </c>
      <c r="I207" s="235" t="s">
        <v>317</v>
      </c>
      <c r="J207" s="225" t="s">
        <v>317</v>
      </c>
      <c r="K207" s="248" t="s">
        <v>24</v>
      </c>
      <c r="L207" s="248" t="s">
        <v>482</v>
      </c>
      <c r="M207" s="232" t="s">
        <v>24</v>
      </c>
      <c r="N207" s="233" t="s">
        <v>24</v>
      </c>
      <c r="O207" s="233" t="s">
        <v>24</v>
      </c>
      <c r="P207" s="225"/>
      <c r="Q207" s="250"/>
      <c r="R207" s="215" t="s">
        <v>27</v>
      </c>
      <c r="S207" s="225" t="s">
        <v>27</v>
      </c>
      <c r="T207" s="225" t="s">
        <v>24</v>
      </c>
      <c r="U207" s="225"/>
      <c r="V207" s="251" t="s">
        <v>1082</v>
      </c>
      <c r="W207" s="377"/>
      <c r="X207" s="87"/>
      <c r="Y207" s="87"/>
      <c r="Z207" s="87"/>
      <c r="AA207" s="87"/>
      <c r="AB207" s="87"/>
      <c r="AC207" s="87"/>
    </row>
    <row r="208" spans="1:29" ht="409.6">
      <c r="A208" s="85" t="s">
        <v>920</v>
      </c>
      <c r="B208" s="87" t="s">
        <v>921</v>
      </c>
      <c r="C208" s="80" t="s">
        <v>1083</v>
      </c>
      <c r="D208" s="81" t="s">
        <v>1084</v>
      </c>
      <c r="E208" s="87" t="s">
        <v>325</v>
      </c>
      <c r="F208" s="87" t="s">
        <v>477</v>
      </c>
      <c r="G208" s="246" t="s">
        <v>1085</v>
      </c>
      <c r="H208" s="234" t="s">
        <v>1086</v>
      </c>
      <c r="I208" s="225" t="s">
        <v>24</v>
      </c>
      <c r="J208" s="225" t="s">
        <v>24</v>
      </c>
      <c r="K208" s="248" t="s">
        <v>24</v>
      </c>
      <c r="L208" s="248" t="s">
        <v>329</v>
      </c>
      <c r="M208" s="375" t="s">
        <v>24</v>
      </c>
      <c r="N208" s="376" t="s">
        <v>24</v>
      </c>
      <c r="O208" s="376" t="s">
        <v>24</v>
      </c>
      <c r="P208" s="107" t="s">
        <v>626</v>
      </c>
      <c r="Q208" s="250"/>
      <c r="R208" s="215" t="s">
        <v>24</v>
      </c>
      <c r="S208" s="225" t="s">
        <v>24</v>
      </c>
      <c r="T208" s="225" t="s">
        <v>24</v>
      </c>
      <c r="U208" s="225" t="s">
        <v>329</v>
      </c>
      <c r="V208" s="251"/>
      <c r="W208" s="377"/>
      <c r="X208" s="85"/>
      <c r="Y208" s="85"/>
      <c r="Z208" s="85"/>
      <c r="AA208" s="85"/>
      <c r="AB208" s="85"/>
      <c r="AC208" s="85"/>
    </row>
    <row r="209" spans="1:29" ht="409.6">
      <c r="A209" s="85" t="s">
        <v>920</v>
      </c>
      <c r="B209" s="87" t="s">
        <v>921</v>
      </c>
      <c r="C209" s="80" t="s">
        <v>1087</v>
      </c>
      <c r="D209" s="81" t="s">
        <v>1088</v>
      </c>
      <c r="E209" s="87" t="s">
        <v>325</v>
      </c>
      <c r="F209" s="87" t="s">
        <v>477</v>
      </c>
      <c r="G209" s="246" t="s">
        <v>1089</v>
      </c>
      <c r="H209" s="308" t="s">
        <v>1090</v>
      </c>
      <c r="I209" s="225"/>
      <c r="J209" s="245" t="s">
        <v>24</v>
      </c>
      <c r="K209" s="248" t="s">
        <v>24</v>
      </c>
      <c r="L209" s="248" t="s">
        <v>483</v>
      </c>
      <c r="M209" s="224" t="s">
        <v>24</v>
      </c>
      <c r="N209" s="107" t="s">
        <v>24</v>
      </c>
      <c r="O209" s="107" t="s">
        <v>24</v>
      </c>
      <c r="P209" s="81" t="s">
        <v>1091</v>
      </c>
      <c r="Q209" s="309"/>
      <c r="R209" s="312" t="s">
        <v>24</v>
      </c>
      <c r="S209" s="106" t="s">
        <v>24</v>
      </c>
      <c r="T209" s="106" t="s">
        <v>24</v>
      </c>
      <c r="U209" s="225" t="s">
        <v>483</v>
      </c>
      <c r="V209" s="313" t="s">
        <v>1092</v>
      </c>
      <c r="W209" s="377"/>
      <c r="X209" s="85"/>
      <c r="Y209" s="85"/>
      <c r="Z209" s="85"/>
      <c r="AA209" s="85"/>
      <c r="AB209" s="85"/>
      <c r="AC209" s="85"/>
    </row>
    <row r="210" spans="1:29" ht="409.6">
      <c r="A210" s="85" t="s">
        <v>920</v>
      </c>
      <c r="B210" s="87" t="s">
        <v>921</v>
      </c>
      <c r="C210" s="80" t="s">
        <v>1093</v>
      </c>
      <c r="D210" s="81" t="s">
        <v>1094</v>
      </c>
      <c r="E210" s="245" t="s">
        <v>27</v>
      </c>
      <c r="F210" s="87" t="s">
        <v>317</v>
      </c>
      <c r="G210" s="259"/>
      <c r="H210" s="256"/>
      <c r="I210" s="247" t="s">
        <v>317</v>
      </c>
      <c r="J210" s="247" t="s">
        <v>317</v>
      </c>
      <c r="K210" s="247" t="s">
        <v>317</v>
      </c>
      <c r="L210" s="248"/>
      <c r="M210" s="249"/>
      <c r="N210" s="225"/>
      <c r="O210" s="225"/>
      <c r="P210" s="225"/>
      <c r="Q210" s="250"/>
      <c r="R210" s="215" t="s">
        <v>27</v>
      </c>
      <c r="S210" s="215" t="s">
        <v>27</v>
      </c>
      <c r="T210" s="215" t="s">
        <v>27</v>
      </c>
      <c r="U210" s="225"/>
      <c r="V210" s="251"/>
      <c r="W210" s="377"/>
      <c r="X210" s="85"/>
      <c r="Y210" s="85"/>
      <c r="Z210" s="85"/>
      <c r="AA210" s="85"/>
      <c r="AB210" s="85"/>
      <c r="AC210" s="85"/>
    </row>
    <row r="211" spans="1:29" ht="409.6">
      <c r="A211" s="85" t="s">
        <v>920</v>
      </c>
      <c r="B211" s="87" t="s">
        <v>921</v>
      </c>
      <c r="C211" s="80" t="s">
        <v>1095</v>
      </c>
      <c r="D211" s="81" t="s">
        <v>1096</v>
      </c>
      <c r="E211" s="87" t="s">
        <v>325</v>
      </c>
      <c r="F211" s="87" t="s">
        <v>477</v>
      </c>
      <c r="G211" s="246" t="s">
        <v>1097</v>
      </c>
      <c r="H211" s="234" t="s">
        <v>1098</v>
      </c>
      <c r="I211" s="271" t="s">
        <v>337</v>
      </c>
      <c r="J211" s="225" t="s">
        <v>337</v>
      </c>
      <c r="K211" s="225" t="s">
        <v>337</v>
      </c>
      <c r="L211" s="248" t="s">
        <v>483</v>
      </c>
      <c r="M211" s="261" t="s">
        <v>24</v>
      </c>
      <c r="N211" s="107" t="s">
        <v>24</v>
      </c>
      <c r="O211" s="104" t="s">
        <v>24</v>
      </c>
      <c r="P211" s="81" t="s">
        <v>1099</v>
      </c>
      <c r="Q211" s="254" t="s">
        <v>339</v>
      </c>
      <c r="R211" s="306" t="s">
        <v>24</v>
      </c>
      <c r="S211" s="298" t="s">
        <v>24</v>
      </c>
      <c r="T211" s="298" t="s">
        <v>24</v>
      </c>
      <c r="U211" s="225" t="s">
        <v>483</v>
      </c>
      <c r="V211" s="313" t="s">
        <v>1100</v>
      </c>
      <c r="W211" s="377"/>
      <c r="X211" s="85"/>
      <c r="Y211" s="85"/>
      <c r="Z211" s="85"/>
      <c r="AA211" s="85"/>
      <c r="AB211" s="85"/>
      <c r="AC211" s="85"/>
    </row>
    <row r="212" spans="1:29" ht="409.6">
      <c r="A212" s="85" t="s">
        <v>920</v>
      </c>
      <c r="B212" s="87" t="s">
        <v>921</v>
      </c>
      <c r="C212" s="80" t="s">
        <v>1101</v>
      </c>
      <c r="D212" s="81" t="s">
        <v>1102</v>
      </c>
      <c r="E212" s="87" t="s">
        <v>325</v>
      </c>
      <c r="F212" s="87" t="s">
        <v>477</v>
      </c>
      <c r="G212" s="246" t="s">
        <v>1103</v>
      </c>
      <c r="H212" s="234" t="s">
        <v>1104</v>
      </c>
      <c r="I212" s="225" t="s">
        <v>24</v>
      </c>
      <c r="J212" s="225" t="s">
        <v>24</v>
      </c>
      <c r="K212" s="248" t="s">
        <v>24</v>
      </c>
      <c r="L212" s="248" t="s">
        <v>483</v>
      </c>
      <c r="M212" s="232" t="s">
        <v>24</v>
      </c>
      <c r="N212" s="233" t="s">
        <v>24</v>
      </c>
      <c r="O212" s="233" t="s">
        <v>24</v>
      </c>
      <c r="P212" s="107" t="s">
        <v>626</v>
      </c>
      <c r="Q212" s="250"/>
      <c r="R212" s="215" t="s">
        <v>24</v>
      </c>
      <c r="S212" s="225" t="s">
        <v>24</v>
      </c>
      <c r="T212" s="225" t="s">
        <v>24</v>
      </c>
      <c r="U212" s="225" t="s">
        <v>483</v>
      </c>
      <c r="V212" s="251" t="s">
        <v>1105</v>
      </c>
      <c r="W212" s="377"/>
      <c r="X212" s="85"/>
      <c r="Y212" s="85"/>
      <c r="Z212" s="85"/>
      <c r="AA212" s="85"/>
      <c r="AB212" s="85"/>
      <c r="AC212" s="85"/>
    </row>
    <row r="213" spans="1:29" ht="409.6">
      <c r="A213" s="85" t="s">
        <v>920</v>
      </c>
      <c r="B213" s="87" t="s">
        <v>921</v>
      </c>
      <c r="C213" s="80" t="s">
        <v>1106</v>
      </c>
      <c r="D213" s="81" t="s">
        <v>1107</v>
      </c>
      <c r="E213" s="87" t="s">
        <v>325</v>
      </c>
      <c r="F213" s="87" t="s">
        <v>477</v>
      </c>
      <c r="G213" s="246" t="s">
        <v>1108</v>
      </c>
      <c r="H213" s="234" t="s">
        <v>1109</v>
      </c>
      <c r="I213" s="245" t="s">
        <v>337</v>
      </c>
      <c r="J213" s="245" t="s">
        <v>337</v>
      </c>
      <c r="K213" s="245" t="s">
        <v>337</v>
      </c>
      <c r="L213" s="248" t="s">
        <v>483</v>
      </c>
      <c r="M213" s="224" t="s">
        <v>24</v>
      </c>
      <c r="N213" s="107" t="s">
        <v>24</v>
      </c>
      <c r="O213" s="107" t="s">
        <v>24</v>
      </c>
      <c r="P213" s="81" t="s">
        <v>1110</v>
      </c>
      <c r="Q213" s="309"/>
      <c r="R213" s="285" t="s">
        <v>24</v>
      </c>
      <c r="S213" s="245" t="s">
        <v>24</v>
      </c>
      <c r="T213" s="245" t="s">
        <v>24</v>
      </c>
      <c r="U213" s="225" t="s">
        <v>329</v>
      </c>
      <c r="V213" s="313" t="s">
        <v>1111</v>
      </c>
      <c r="W213" s="377"/>
      <c r="X213" s="85"/>
      <c r="Y213" s="85"/>
      <c r="Z213" s="85"/>
      <c r="AA213" s="85"/>
      <c r="AB213" s="85"/>
      <c r="AC213" s="85"/>
    </row>
    <row r="214" spans="1:29" ht="409.6">
      <c r="A214" s="85" t="s">
        <v>920</v>
      </c>
      <c r="B214" s="87" t="s">
        <v>921</v>
      </c>
      <c r="C214" s="80" t="s">
        <v>1112</v>
      </c>
      <c r="D214" s="86" t="s">
        <v>1113</v>
      </c>
      <c r="E214" s="87" t="s">
        <v>325</v>
      </c>
      <c r="F214" s="87" t="s">
        <v>477</v>
      </c>
      <c r="G214" s="246" t="s">
        <v>1114</v>
      </c>
      <c r="H214" s="256"/>
      <c r="I214" s="225" t="s">
        <v>24</v>
      </c>
      <c r="J214" s="225" t="s">
        <v>24</v>
      </c>
      <c r="K214" s="248" t="s">
        <v>24</v>
      </c>
      <c r="L214" s="248" t="s">
        <v>483</v>
      </c>
      <c r="M214" s="232" t="s">
        <v>24</v>
      </c>
      <c r="N214" s="233" t="s">
        <v>24</v>
      </c>
      <c r="O214" s="233" t="s">
        <v>24</v>
      </c>
      <c r="P214" s="107" t="s">
        <v>626</v>
      </c>
      <c r="Q214" s="250"/>
      <c r="R214" s="215" t="s">
        <v>24</v>
      </c>
      <c r="S214" s="225" t="s">
        <v>24</v>
      </c>
      <c r="T214" s="225" t="s">
        <v>24</v>
      </c>
      <c r="U214" s="225" t="s">
        <v>483</v>
      </c>
      <c r="V214" s="251"/>
      <c r="W214" s="377"/>
      <c r="X214" s="85"/>
      <c r="Y214" s="85"/>
      <c r="Z214" s="85"/>
      <c r="AA214" s="85"/>
      <c r="AB214" s="85"/>
      <c r="AC214" s="85"/>
    </row>
    <row r="215" spans="1:29" ht="409.6">
      <c r="A215" s="85" t="s">
        <v>920</v>
      </c>
      <c r="B215" s="87" t="s">
        <v>921</v>
      </c>
      <c r="C215" s="80" t="s">
        <v>1115</v>
      </c>
      <c r="D215" s="81" t="s">
        <v>1116</v>
      </c>
      <c r="E215" s="87" t="s">
        <v>325</v>
      </c>
      <c r="F215" s="87" t="s">
        <v>326</v>
      </c>
      <c r="G215" s="320" t="s">
        <v>1117</v>
      </c>
      <c r="H215" s="234" t="s">
        <v>1118</v>
      </c>
      <c r="I215" s="225" t="s">
        <v>337</v>
      </c>
      <c r="J215" s="271" t="s">
        <v>337</v>
      </c>
      <c r="K215" s="293" t="s">
        <v>337</v>
      </c>
      <c r="L215" s="248" t="s">
        <v>483</v>
      </c>
      <c r="M215" s="232" t="s">
        <v>24</v>
      </c>
      <c r="N215" s="233" t="s">
        <v>24</v>
      </c>
      <c r="O215" s="233" t="s">
        <v>24</v>
      </c>
      <c r="P215" s="81" t="s">
        <v>382</v>
      </c>
      <c r="Q215" s="250"/>
      <c r="R215" s="215" t="s">
        <v>24</v>
      </c>
      <c r="S215" s="225" t="s">
        <v>24</v>
      </c>
      <c r="T215" s="225" t="s">
        <v>24</v>
      </c>
      <c r="U215" s="225" t="s">
        <v>329</v>
      </c>
      <c r="V215" s="251" t="s">
        <v>1119</v>
      </c>
      <c r="W215" s="377"/>
      <c r="X215" s="85"/>
      <c r="Y215" s="85"/>
      <c r="Z215" s="85"/>
      <c r="AA215" s="85"/>
      <c r="AB215" s="85"/>
      <c r="AC215" s="85"/>
    </row>
    <row r="216" spans="1:29" ht="409.6">
      <c r="A216" s="85" t="s">
        <v>1120</v>
      </c>
      <c r="B216" s="87" t="s">
        <v>921</v>
      </c>
      <c r="C216" s="80" t="s">
        <v>1121</v>
      </c>
      <c r="D216" s="86" t="s">
        <v>1122</v>
      </c>
      <c r="E216" s="245" t="s">
        <v>27</v>
      </c>
      <c r="F216" s="87" t="s">
        <v>317</v>
      </c>
      <c r="G216" s="259"/>
      <c r="H216" s="256"/>
      <c r="I216" s="247" t="s">
        <v>317</v>
      </c>
      <c r="J216" s="247" t="s">
        <v>317</v>
      </c>
      <c r="K216" s="247" t="s">
        <v>317</v>
      </c>
      <c r="L216" s="248"/>
      <c r="M216" s="249"/>
      <c r="N216" s="225"/>
      <c r="O216" s="225"/>
      <c r="P216" s="225"/>
      <c r="Q216" s="250"/>
      <c r="R216" s="215" t="s">
        <v>27</v>
      </c>
      <c r="S216" s="215" t="s">
        <v>27</v>
      </c>
      <c r="T216" s="215" t="s">
        <v>27</v>
      </c>
      <c r="U216" s="225"/>
      <c r="V216" s="251"/>
      <c r="W216" s="377"/>
      <c r="X216" s="85"/>
      <c r="Y216" s="85"/>
      <c r="Z216" s="85"/>
      <c r="AA216" s="85"/>
      <c r="AB216" s="85"/>
      <c r="AC216" s="85"/>
    </row>
    <row r="217" spans="1:29" ht="27">
      <c r="A217" s="85" t="s">
        <v>920</v>
      </c>
      <c r="B217" s="87" t="s">
        <v>921</v>
      </c>
      <c r="C217" s="80" t="s">
        <v>1123</v>
      </c>
      <c r="D217" s="86" t="s">
        <v>1124</v>
      </c>
      <c r="E217" s="245" t="s">
        <v>27</v>
      </c>
      <c r="F217" s="87" t="s">
        <v>317</v>
      </c>
      <c r="G217" s="259"/>
      <c r="H217" s="256"/>
      <c r="I217" s="247" t="s">
        <v>317</v>
      </c>
      <c r="J217" s="247" t="s">
        <v>317</v>
      </c>
      <c r="K217" s="247" t="s">
        <v>317</v>
      </c>
      <c r="L217" s="248"/>
      <c r="M217" s="249"/>
      <c r="N217" s="225"/>
      <c r="O217" s="225"/>
      <c r="P217" s="225"/>
      <c r="Q217" s="250"/>
      <c r="R217" s="215" t="s">
        <v>27</v>
      </c>
      <c r="S217" s="215" t="s">
        <v>27</v>
      </c>
      <c r="T217" s="215" t="s">
        <v>27</v>
      </c>
      <c r="U217" s="225"/>
      <c r="V217" s="251"/>
      <c r="W217" s="377"/>
      <c r="X217" s="85"/>
      <c r="Y217" s="85"/>
      <c r="Z217" s="85"/>
      <c r="AA217" s="85"/>
      <c r="AB217" s="85"/>
      <c r="AC217" s="85"/>
    </row>
    <row r="218" spans="1:29" ht="27">
      <c r="A218" s="85" t="s">
        <v>1125</v>
      </c>
      <c r="B218" s="87" t="s">
        <v>820</v>
      </c>
      <c r="C218" s="80" t="s">
        <v>1126</v>
      </c>
      <c r="D218" s="86" t="s">
        <v>1127</v>
      </c>
      <c r="E218" s="245" t="s">
        <v>27</v>
      </c>
      <c r="F218" s="87" t="s">
        <v>317</v>
      </c>
      <c r="G218" s="259"/>
      <c r="H218" s="256"/>
      <c r="I218" s="247" t="s">
        <v>317</v>
      </c>
      <c r="J218" s="247" t="s">
        <v>317</v>
      </c>
      <c r="K218" s="247" t="s">
        <v>317</v>
      </c>
      <c r="L218" s="248"/>
      <c r="M218" s="249"/>
      <c r="N218" s="225"/>
      <c r="O218" s="225"/>
      <c r="P218" s="225"/>
      <c r="Q218" s="250"/>
      <c r="R218" s="215" t="s">
        <v>27</v>
      </c>
      <c r="S218" s="215" t="s">
        <v>27</v>
      </c>
      <c r="T218" s="215" t="s">
        <v>27</v>
      </c>
      <c r="U218" s="225"/>
      <c r="V218" s="251"/>
      <c r="W218" s="377"/>
      <c r="X218" s="85"/>
      <c r="Y218" s="85"/>
      <c r="Z218" s="85"/>
      <c r="AA218" s="85"/>
      <c r="AB218" s="85"/>
      <c r="AC218" s="85"/>
    </row>
    <row r="219" spans="1:29" ht="27">
      <c r="A219" s="85" t="s">
        <v>1125</v>
      </c>
      <c r="B219" s="87" t="s">
        <v>820</v>
      </c>
      <c r="C219" s="80" t="s">
        <v>1128</v>
      </c>
      <c r="D219" s="86" t="s">
        <v>1129</v>
      </c>
      <c r="E219" s="245" t="s">
        <v>27</v>
      </c>
      <c r="F219" s="87" t="s">
        <v>317</v>
      </c>
      <c r="G219" s="259"/>
      <c r="H219" s="256"/>
      <c r="I219" s="247" t="s">
        <v>317</v>
      </c>
      <c r="J219" s="247" t="s">
        <v>317</v>
      </c>
      <c r="K219" s="247" t="s">
        <v>317</v>
      </c>
      <c r="L219" s="248"/>
      <c r="M219" s="249"/>
      <c r="N219" s="225"/>
      <c r="O219" s="225"/>
      <c r="P219" s="225"/>
      <c r="Q219" s="250"/>
      <c r="R219" s="215" t="s">
        <v>27</v>
      </c>
      <c r="S219" s="215" t="s">
        <v>27</v>
      </c>
      <c r="T219" s="215" t="s">
        <v>27</v>
      </c>
      <c r="U219" s="225"/>
      <c r="V219" s="251"/>
      <c r="W219" s="377"/>
      <c r="X219" s="85"/>
      <c r="Y219" s="85"/>
      <c r="Z219" s="85"/>
      <c r="AA219" s="85"/>
      <c r="AB219" s="85"/>
      <c r="AC219" s="85"/>
    </row>
    <row r="220" spans="1:29" ht="27">
      <c r="A220" s="85" t="s">
        <v>1125</v>
      </c>
      <c r="B220" s="87" t="s">
        <v>820</v>
      </c>
      <c r="C220" s="80" t="s">
        <v>1130</v>
      </c>
      <c r="D220" s="81" t="s">
        <v>1131</v>
      </c>
      <c r="E220" s="245" t="s">
        <v>27</v>
      </c>
      <c r="F220" s="87" t="s">
        <v>317</v>
      </c>
      <c r="G220" s="259"/>
      <c r="H220" s="256"/>
      <c r="I220" s="247" t="s">
        <v>317</v>
      </c>
      <c r="J220" s="247" t="s">
        <v>317</v>
      </c>
      <c r="K220" s="247" t="s">
        <v>317</v>
      </c>
      <c r="L220" s="248"/>
      <c r="M220" s="249"/>
      <c r="N220" s="225"/>
      <c r="O220" s="225"/>
      <c r="P220" s="225"/>
      <c r="Q220" s="250"/>
      <c r="R220" s="215" t="s">
        <v>27</v>
      </c>
      <c r="S220" s="215" t="s">
        <v>27</v>
      </c>
      <c r="T220" s="215" t="s">
        <v>27</v>
      </c>
      <c r="U220" s="225"/>
      <c r="V220" s="251"/>
      <c r="W220" s="377"/>
      <c r="X220" s="85"/>
      <c r="Y220" s="85"/>
      <c r="Z220" s="85"/>
      <c r="AA220" s="85"/>
      <c r="AB220" s="85"/>
      <c r="AC220" s="85"/>
    </row>
    <row r="221" spans="1:29" ht="27">
      <c r="A221" s="85" t="s">
        <v>1125</v>
      </c>
      <c r="B221" s="87" t="s">
        <v>820</v>
      </c>
      <c r="C221" s="80" t="s">
        <v>1132</v>
      </c>
      <c r="D221" s="81" t="s">
        <v>1133</v>
      </c>
      <c r="E221" s="245" t="s">
        <v>27</v>
      </c>
      <c r="F221" s="87" t="s">
        <v>317</v>
      </c>
      <c r="G221" s="259"/>
      <c r="H221" s="256"/>
      <c r="I221" s="247" t="s">
        <v>317</v>
      </c>
      <c r="J221" s="247" t="s">
        <v>317</v>
      </c>
      <c r="K221" s="247" t="s">
        <v>317</v>
      </c>
      <c r="L221" s="248"/>
      <c r="M221" s="249"/>
      <c r="N221" s="225"/>
      <c r="O221" s="225"/>
      <c r="P221" s="225"/>
      <c r="Q221" s="250"/>
      <c r="R221" s="215" t="s">
        <v>27</v>
      </c>
      <c r="S221" s="215" t="s">
        <v>27</v>
      </c>
      <c r="T221" s="215" t="s">
        <v>27</v>
      </c>
      <c r="U221" s="225"/>
      <c r="V221" s="251"/>
      <c r="W221" s="377"/>
      <c r="X221" s="85"/>
      <c r="Y221" s="85"/>
      <c r="Z221" s="85"/>
      <c r="AA221" s="85"/>
      <c r="AB221" s="85"/>
      <c r="AC221" s="85"/>
    </row>
    <row r="222" spans="1:29" ht="27">
      <c r="A222" s="85" t="s">
        <v>1125</v>
      </c>
      <c r="B222" s="87" t="s">
        <v>820</v>
      </c>
      <c r="C222" s="80" t="s">
        <v>1134</v>
      </c>
      <c r="D222" s="81" t="s">
        <v>1135</v>
      </c>
      <c r="E222" s="245" t="s">
        <v>27</v>
      </c>
      <c r="F222" s="87" t="s">
        <v>317</v>
      </c>
      <c r="G222" s="259"/>
      <c r="H222" s="256"/>
      <c r="I222" s="247" t="s">
        <v>317</v>
      </c>
      <c r="J222" s="247" t="s">
        <v>317</v>
      </c>
      <c r="K222" s="247" t="s">
        <v>317</v>
      </c>
      <c r="L222" s="248"/>
      <c r="M222" s="249"/>
      <c r="N222" s="225"/>
      <c r="O222" s="225"/>
      <c r="P222" s="225"/>
      <c r="Q222" s="250"/>
      <c r="R222" s="215" t="s">
        <v>27</v>
      </c>
      <c r="S222" s="215" t="s">
        <v>27</v>
      </c>
      <c r="T222" s="215" t="s">
        <v>27</v>
      </c>
      <c r="U222" s="225"/>
      <c r="V222" s="251"/>
      <c r="W222" s="377"/>
      <c r="X222" s="85"/>
      <c r="Y222" s="85"/>
      <c r="Z222" s="85"/>
      <c r="AA222" s="85"/>
      <c r="AB222" s="85"/>
      <c r="AC222" s="85"/>
    </row>
    <row r="223" spans="1:29" ht="27">
      <c r="A223" s="85" t="s">
        <v>1125</v>
      </c>
      <c r="B223" s="87" t="s">
        <v>820</v>
      </c>
      <c r="C223" s="80" t="s">
        <v>1136</v>
      </c>
      <c r="D223" s="81" t="s">
        <v>1137</v>
      </c>
      <c r="E223" s="245" t="s">
        <v>27</v>
      </c>
      <c r="F223" s="87" t="s">
        <v>317</v>
      </c>
      <c r="G223" s="259"/>
      <c r="H223" s="256"/>
      <c r="I223" s="247" t="s">
        <v>317</v>
      </c>
      <c r="J223" s="247" t="s">
        <v>317</v>
      </c>
      <c r="K223" s="247" t="s">
        <v>317</v>
      </c>
      <c r="L223" s="248"/>
      <c r="M223" s="249"/>
      <c r="N223" s="225"/>
      <c r="O223" s="225"/>
      <c r="P223" s="225"/>
      <c r="Q223" s="250"/>
      <c r="R223" s="215" t="s">
        <v>27</v>
      </c>
      <c r="S223" s="215" t="s">
        <v>27</v>
      </c>
      <c r="T223" s="215" t="s">
        <v>27</v>
      </c>
      <c r="U223" s="225"/>
      <c r="V223" s="251"/>
      <c r="W223" s="377"/>
      <c r="X223" s="85"/>
      <c r="Y223" s="85"/>
      <c r="Z223" s="85"/>
      <c r="AA223" s="85"/>
      <c r="AB223" s="85"/>
      <c r="AC223" s="85"/>
    </row>
    <row r="224" spans="1:29" ht="27">
      <c r="A224" s="85" t="s">
        <v>1125</v>
      </c>
      <c r="B224" s="87" t="s">
        <v>820</v>
      </c>
      <c r="C224" s="80" t="s">
        <v>1138</v>
      </c>
      <c r="D224" s="81" t="s">
        <v>1139</v>
      </c>
      <c r="E224" s="245" t="s">
        <v>27</v>
      </c>
      <c r="F224" s="87" t="s">
        <v>317</v>
      </c>
      <c r="G224" s="259"/>
      <c r="H224" s="256"/>
      <c r="I224" s="247" t="s">
        <v>317</v>
      </c>
      <c r="J224" s="247" t="s">
        <v>317</v>
      </c>
      <c r="K224" s="247" t="s">
        <v>317</v>
      </c>
      <c r="L224" s="248"/>
      <c r="M224" s="249"/>
      <c r="N224" s="225"/>
      <c r="O224" s="225"/>
      <c r="P224" s="225"/>
      <c r="Q224" s="250"/>
      <c r="R224" s="215" t="s">
        <v>27</v>
      </c>
      <c r="S224" s="215" t="s">
        <v>27</v>
      </c>
      <c r="T224" s="215" t="s">
        <v>27</v>
      </c>
      <c r="U224" s="225"/>
      <c r="V224" s="251"/>
      <c r="W224" s="377"/>
      <c r="X224" s="85"/>
      <c r="Y224" s="85"/>
      <c r="Z224" s="85"/>
      <c r="AA224" s="85"/>
      <c r="AB224" s="85"/>
      <c r="AC224" s="85"/>
    </row>
    <row r="225" spans="1:29" ht="27">
      <c r="A225" s="85" t="s">
        <v>1125</v>
      </c>
      <c r="B225" s="87" t="s">
        <v>820</v>
      </c>
      <c r="C225" s="307" t="s">
        <v>1140</v>
      </c>
      <c r="D225" s="81" t="s">
        <v>1141</v>
      </c>
      <c r="E225" s="245" t="s">
        <v>27</v>
      </c>
      <c r="F225" s="87" t="s">
        <v>317</v>
      </c>
      <c r="G225" s="259"/>
      <c r="H225" s="256"/>
      <c r="I225" s="247" t="s">
        <v>317</v>
      </c>
      <c r="J225" s="247" t="s">
        <v>317</v>
      </c>
      <c r="K225" s="247" t="s">
        <v>317</v>
      </c>
      <c r="L225" s="248"/>
      <c r="M225" s="249"/>
      <c r="N225" s="225"/>
      <c r="O225" s="225"/>
      <c r="P225" s="225"/>
      <c r="Q225" s="250"/>
      <c r="R225" s="215" t="s">
        <v>27</v>
      </c>
      <c r="S225" s="215" t="s">
        <v>27</v>
      </c>
      <c r="T225" s="215" t="s">
        <v>27</v>
      </c>
      <c r="U225" s="225"/>
      <c r="V225" s="251"/>
      <c r="W225" s="377"/>
      <c r="X225" s="85"/>
      <c r="Y225" s="85"/>
      <c r="Z225" s="85"/>
      <c r="AA225" s="85"/>
      <c r="AB225" s="85"/>
      <c r="AC225" s="85"/>
    </row>
    <row r="226" spans="1:29" ht="27">
      <c r="A226" s="85" t="s">
        <v>1125</v>
      </c>
      <c r="B226" s="87" t="s">
        <v>820</v>
      </c>
      <c r="C226" s="80" t="s">
        <v>1142</v>
      </c>
      <c r="D226" s="81" t="s">
        <v>1143</v>
      </c>
      <c r="E226" s="245" t="s">
        <v>27</v>
      </c>
      <c r="F226" s="87" t="s">
        <v>317</v>
      </c>
      <c r="G226" s="259"/>
      <c r="H226" s="256"/>
      <c r="I226" s="247" t="s">
        <v>317</v>
      </c>
      <c r="J226" s="247" t="s">
        <v>317</v>
      </c>
      <c r="K226" s="247" t="s">
        <v>317</v>
      </c>
      <c r="L226" s="248"/>
      <c r="M226" s="249"/>
      <c r="N226" s="225"/>
      <c r="O226" s="225"/>
      <c r="P226" s="225"/>
      <c r="Q226" s="250"/>
      <c r="R226" s="215" t="s">
        <v>27</v>
      </c>
      <c r="S226" s="215" t="s">
        <v>27</v>
      </c>
      <c r="T226" s="215" t="s">
        <v>27</v>
      </c>
      <c r="U226" s="225"/>
      <c r="V226" s="251"/>
      <c r="W226" s="377"/>
      <c r="X226" s="85"/>
      <c r="Y226" s="85"/>
      <c r="Z226" s="85"/>
      <c r="AA226" s="85"/>
      <c r="AB226" s="85"/>
      <c r="AC226" s="85"/>
    </row>
    <row r="227" spans="1:29" ht="27">
      <c r="A227" s="85" t="s">
        <v>1125</v>
      </c>
      <c r="B227" s="87" t="s">
        <v>820</v>
      </c>
      <c r="C227" s="80" t="s">
        <v>1144</v>
      </c>
      <c r="D227" s="81" t="s">
        <v>1145</v>
      </c>
      <c r="E227" s="245" t="s">
        <v>27</v>
      </c>
      <c r="F227" s="87" t="s">
        <v>317</v>
      </c>
      <c r="G227" s="259"/>
      <c r="H227" s="256"/>
      <c r="I227" s="247" t="s">
        <v>317</v>
      </c>
      <c r="J227" s="247" t="s">
        <v>317</v>
      </c>
      <c r="K227" s="247" t="s">
        <v>317</v>
      </c>
      <c r="L227" s="248"/>
      <c r="M227" s="249"/>
      <c r="N227" s="225"/>
      <c r="O227" s="225"/>
      <c r="P227" s="225"/>
      <c r="Q227" s="250"/>
      <c r="R227" s="215" t="s">
        <v>27</v>
      </c>
      <c r="S227" s="215" t="s">
        <v>27</v>
      </c>
      <c r="T227" s="215" t="s">
        <v>27</v>
      </c>
      <c r="U227" s="225"/>
      <c r="V227" s="251"/>
      <c r="W227" s="377"/>
      <c r="X227" s="85"/>
      <c r="Y227" s="85"/>
      <c r="Z227" s="85"/>
      <c r="AA227" s="85"/>
      <c r="AB227" s="85"/>
      <c r="AC227" s="85"/>
    </row>
    <row r="228" spans="1:29" ht="27">
      <c r="A228" s="85" t="s">
        <v>1146</v>
      </c>
      <c r="B228" s="87" t="s">
        <v>820</v>
      </c>
      <c r="C228" s="80" t="s">
        <v>1147</v>
      </c>
      <c r="D228" s="86" t="s">
        <v>1148</v>
      </c>
      <c r="E228" s="245" t="s">
        <v>27</v>
      </c>
      <c r="F228" s="87" t="s">
        <v>317</v>
      </c>
      <c r="G228" s="259"/>
      <c r="H228" s="256"/>
      <c r="I228" s="247" t="s">
        <v>317</v>
      </c>
      <c r="J228" s="247" t="s">
        <v>317</v>
      </c>
      <c r="K228" s="247" t="s">
        <v>317</v>
      </c>
      <c r="L228" s="248"/>
      <c r="M228" s="249"/>
      <c r="N228" s="225"/>
      <c r="O228" s="225"/>
      <c r="P228" s="225"/>
      <c r="Q228" s="250"/>
      <c r="R228" s="215" t="s">
        <v>27</v>
      </c>
      <c r="S228" s="215" t="s">
        <v>27</v>
      </c>
      <c r="T228" s="215" t="s">
        <v>27</v>
      </c>
      <c r="U228" s="225"/>
      <c r="V228" s="251"/>
      <c r="W228" s="377"/>
      <c r="X228" s="85"/>
      <c r="Y228" s="85"/>
      <c r="Z228" s="85"/>
      <c r="AA228" s="85"/>
      <c r="AB228" s="85"/>
      <c r="AC228" s="85"/>
    </row>
    <row r="229" spans="1:29" ht="27">
      <c r="A229" s="85" t="s">
        <v>1146</v>
      </c>
      <c r="B229" s="87" t="s">
        <v>820</v>
      </c>
      <c r="C229" s="80" t="s">
        <v>1149</v>
      </c>
      <c r="D229" s="86" t="s">
        <v>1150</v>
      </c>
      <c r="E229" s="245" t="s">
        <v>27</v>
      </c>
      <c r="F229" s="87" t="s">
        <v>317</v>
      </c>
      <c r="G229" s="259"/>
      <c r="H229" s="256"/>
      <c r="I229" s="247" t="s">
        <v>317</v>
      </c>
      <c r="J229" s="247" t="s">
        <v>317</v>
      </c>
      <c r="K229" s="247" t="s">
        <v>317</v>
      </c>
      <c r="L229" s="248"/>
      <c r="M229" s="249"/>
      <c r="N229" s="225"/>
      <c r="O229" s="225"/>
      <c r="P229" s="225"/>
      <c r="Q229" s="250"/>
      <c r="R229" s="215" t="s">
        <v>27</v>
      </c>
      <c r="S229" s="215" t="s">
        <v>27</v>
      </c>
      <c r="T229" s="215" t="s">
        <v>27</v>
      </c>
      <c r="U229" s="225"/>
      <c r="V229" s="251"/>
      <c r="W229" s="377"/>
      <c r="X229" s="85"/>
      <c r="Y229" s="85"/>
      <c r="Z229" s="85"/>
      <c r="AA229" s="85"/>
      <c r="AB229" s="85"/>
      <c r="AC229" s="85"/>
    </row>
    <row r="230" spans="1:29" ht="27">
      <c r="A230" s="85" t="s">
        <v>1146</v>
      </c>
      <c r="B230" s="87" t="s">
        <v>820</v>
      </c>
      <c r="C230" s="80" t="s">
        <v>1151</v>
      </c>
      <c r="D230" s="86" t="s">
        <v>1152</v>
      </c>
      <c r="E230" s="245" t="s">
        <v>27</v>
      </c>
      <c r="F230" s="87" t="s">
        <v>317</v>
      </c>
      <c r="G230" s="259"/>
      <c r="H230" s="256"/>
      <c r="I230" s="247" t="s">
        <v>317</v>
      </c>
      <c r="J230" s="247" t="s">
        <v>317</v>
      </c>
      <c r="K230" s="247" t="s">
        <v>317</v>
      </c>
      <c r="L230" s="248"/>
      <c r="M230" s="249"/>
      <c r="N230" s="225"/>
      <c r="O230" s="225"/>
      <c r="P230" s="225"/>
      <c r="Q230" s="250"/>
      <c r="R230" s="215" t="s">
        <v>27</v>
      </c>
      <c r="S230" s="215" t="s">
        <v>27</v>
      </c>
      <c r="T230" s="215" t="s">
        <v>27</v>
      </c>
      <c r="U230" s="225"/>
      <c r="V230" s="251"/>
      <c r="W230" s="377"/>
      <c r="X230" s="85"/>
      <c r="Y230" s="85"/>
      <c r="Z230" s="85"/>
      <c r="AA230" s="85"/>
      <c r="AB230" s="85"/>
      <c r="AC230" s="85"/>
    </row>
    <row r="231" spans="1:29" ht="27">
      <c r="A231" s="85" t="s">
        <v>1146</v>
      </c>
      <c r="B231" s="87" t="s">
        <v>820</v>
      </c>
      <c r="C231" s="80" t="s">
        <v>1153</v>
      </c>
      <c r="D231" s="86" t="s">
        <v>1154</v>
      </c>
      <c r="E231" s="245" t="s">
        <v>27</v>
      </c>
      <c r="F231" s="87" t="s">
        <v>317</v>
      </c>
      <c r="G231" s="259"/>
      <c r="H231" s="256"/>
      <c r="I231" s="247" t="s">
        <v>317</v>
      </c>
      <c r="J231" s="247" t="s">
        <v>317</v>
      </c>
      <c r="K231" s="247" t="s">
        <v>317</v>
      </c>
      <c r="L231" s="248"/>
      <c r="M231" s="249"/>
      <c r="N231" s="225"/>
      <c r="O231" s="225"/>
      <c r="P231" s="225"/>
      <c r="Q231" s="250"/>
      <c r="R231" s="215" t="s">
        <v>27</v>
      </c>
      <c r="S231" s="215" t="s">
        <v>27</v>
      </c>
      <c r="T231" s="215" t="s">
        <v>27</v>
      </c>
      <c r="U231" s="225"/>
      <c r="V231" s="251"/>
      <c r="W231" s="377"/>
      <c r="X231" s="85"/>
      <c r="Y231" s="85"/>
      <c r="Z231" s="85"/>
      <c r="AA231" s="85"/>
      <c r="AB231" s="85"/>
      <c r="AC231" s="85"/>
    </row>
    <row r="232" spans="1:29" ht="27">
      <c r="A232" s="85" t="s">
        <v>1155</v>
      </c>
      <c r="B232" s="87" t="s">
        <v>820</v>
      </c>
      <c r="C232" s="80" t="s">
        <v>1147</v>
      </c>
      <c r="D232" s="86" t="s">
        <v>1156</v>
      </c>
      <c r="E232" s="245" t="s">
        <v>27</v>
      </c>
      <c r="F232" s="87" t="s">
        <v>317</v>
      </c>
      <c r="G232" s="259"/>
      <c r="H232" s="256"/>
      <c r="I232" s="247" t="s">
        <v>317</v>
      </c>
      <c r="J232" s="247" t="s">
        <v>317</v>
      </c>
      <c r="K232" s="247" t="s">
        <v>317</v>
      </c>
      <c r="L232" s="248"/>
      <c r="M232" s="249"/>
      <c r="N232" s="225"/>
      <c r="O232" s="225"/>
      <c r="P232" s="225"/>
      <c r="Q232" s="250"/>
      <c r="R232" s="215" t="s">
        <v>27</v>
      </c>
      <c r="S232" s="215" t="s">
        <v>27</v>
      </c>
      <c r="T232" s="215" t="s">
        <v>27</v>
      </c>
      <c r="U232" s="225"/>
      <c r="V232" s="251"/>
      <c r="W232" s="377"/>
      <c r="X232" s="85"/>
      <c r="Y232" s="85"/>
      <c r="Z232" s="85"/>
      <c r="AA232" s="85"/>
      <c r="AB232" s="85"/>
      <c r="AC232" s="85"/>
    </row>
    <row r="233" spans="1:29" ht="27">
      <c r="A233" s="85" t="s">
        <v>1155</v>
      </c>
      <c r="B233" s="87" t="s">
        <v>820</v>
      </c>
      <c r="C233" s="80" t="s">
        <v>1149</v>
      </c>
      <c r="D233" s="86" t="s">
        <v>1157</v>
      </c>
      <c r="E233" s="245" t="s">
        <v>27</v>
      </c>
      <c r="F233" s="87" t="s">
        <v>317</v>
      </c>
      <c r="G233" s="259"/>
      <c r="H233" s="256"/>
      <c r="I233" s="247" t="s">
        <v>317</v>
      </c>
      <c r="J233" s="247" t="s">
        <v>317</v>
      </c>
      <c r="K233" s="247" t="s">
        <v>317</v>
      </c>
      <c r="L233" s="248"/>
      <c r="M233" s="249"/>
      <c r="N233" s="225"/>
      <c r="O233" s="225"/>
      <c r="P233" s="225"/>
      <c r="Q233" s="250"/>
      <c r="R233" s="215" t="s">
        <v>27</v>
      </c>
      <c r="S233" s="215" t="s">
        <v>27</v>
      </c>
      <c r="T233" s="215" t="s">
        <v>27</v>
      </c>
      <c r="U233" s="225"/>
      <c r="V233" s="251"/>
      <c r="W233" s="377"/>
      <c r="X233" s="85"/>
      <c r="Y233" s="85"/>
      <c r="Z233" s="85"/>
      <c r="AA233" s="85"/>
      <c r="AB233" s="85"/>
      <c r="AC233" s="85"/>
    </row>
    <row r="234" spans="1:29" ht="27">
      <c r="A234" s="85" t="s">
        <v>1155</v>
      </c>
      <c r="B234" s="87" t="s">
        <v>820</v>
      </c>
      <c r="C234" s="80" t="s">
        <v>1151</v>
      </c>
      <c r="D234" s="86" t="s">
        <v>1158</v>
      </c>
      <c r="E234" s="245" t="s">
        <v>27</v>
      </c>
      <c r="F234" s="87" t="s">
        <v>317</v>
      </c>
      <c r="G234" s="259"/>
      <c r="H234" s="256"/>
      <c r="I234" s="247" t="s">
        <v>317</v>
      </c>
      <c r="J234" s="247" t="s">
        <v>317</v>
      </c>
      <c r="K234" s="247" t="s">
        <v>317</v>
      </c>
      <c r="L234" s="248"/>
      <c r="M234" s="249"/>
      <c r="N234" s="225"/>
      <c r="O234" s="225"/>
      <c r="P234" s="225"/>
      <c r="Q234" s="250"/>
      <c r="R234" s="215" t="s">
        <v>27</v>
      </c>
      <c r="S234" s="215" t="s">
        <v>27</v>
      </c>
      <c r="T234" s="215" t="s">
        <v>27</v>
      </c>
      <c r="U234" s="225"/>
      <c r="V234" s="251"/>
      <c r="W234" s="377"/>
      <c r="X234" s="85"/>
      <c r="Y234" s="85"/>
      <c r="Z234" s="85"/>
      <c r="AA234" s="85"/>
      <c r="AB234" s="85"/>
      <c r="AC234" s="85"/>
    </row>
    <row r="235" spans="1:29" ht="27">
      <c r="A235" s="85" t="s">
        <v>1155</v>
      </c>
      <c r="B235" s="87" t="s">
        <v>820</v>
      </c>
      <c r="C235" s="80" t="s">
        <v>1153</v>
      </c>
      <c r="D235" s="86" t="s">
        <v>1159</v>
      </c>
      <c r="E235" s="245" t="s">
        <v>27</v>
      </c>
      <c r="F235" s="87" t="s">
        <v>317</v>
      </c>
      <c r="G235" s="259"/>
      <c r="H235" s="256"/>
      <c r="I235" s="247" t="s">
        <v>317</v>
      </c>
      <c r="J235" s="247" t="s">
        <v>317</v>
      </c>
      <c r="K235" s="247" t="s">
        <v>317</v>
      </c>
      <c r="L235" s="248"/>
      <c r="M235" s="249"/>
      <c r="N235" s="225"/>
      <c r="O235" s="225"/>
      <c r="P235" s="225"/>
      <c r="Q235" s="250"/>
      <c r="R235" s="215" t="s">
        <v>27</v>
      </c>
      <c r="S235" s="215" t="s">
        <v>27</v>
      </c>
      <c r="T235" s="215" t="s">
        <v>27</v>
      </c>
      <c r="U235" s="225"/>
      <c r="V235" s="251"/>
      <c r="W235" s="377"/>
      <c r="X235" s="85"/>
      <c r="Y235" s="85"/>
      <c r="Z235" s="85"/>
      <c r="AA235" s="85"/>
      <c r="AB235" s="85"/>
      <c r="AC235" s="85"/>
    </row>
    <row r="236" spans="1:29" ht="27">
      <c r="A236" s="85" t="s">
        <v>1160</v>
      </c>
      <c r="B236" s="87" t="s">
        <v>820</v>
      </c>
      <c r="C236" s="80" t="s">
        <v>1147</v>
      </c>
      <c r="D236" s="86" t="s">
        <v>1161</v>
      </c>
      <c r="E236" s="245" t="s">
        <v>27</v>
      </c>
      <c r="F236" s="87" t="s">
        <v>317</v>
      </c>
      <c r="G236" s="259"/>
      <c r="H236" s="256"/>
      <c r="I236" s="247" t="s">
        <v>317</v>
      </c>
      <c r="J236" s="247" t="s">
        <v>317</v>
      </c>
      <c r="K236" s="247" t="s">
        <v>317</v>
      </c>
      <c r="L236" s="248"/>
      <c r="M236" s="249"/>
      <c r="N236" s="225"/>
      <c r="O236" s="225"/>
      <c r="P236" s="225"/>
      <c r="Q236" s="250"/>
      <c r="R236" s="215" t="s">
        <v>27</v>
      </c>
      <c r="S236" s="215" t="s">
        <v>27</v>
      </c>
      <c r="T236" s="215" t="s">
        <v>27</v>
      </c>
      <c r="U236" s="225"/>
      <c r="V236" s="251"/>
      <c r="W236" s="377"/>
      <c r="X236" s="85"/>
      <c r="Y236" s="85"/>
      <c r="Z236" s="85"/>
      <c r="AA236" s="85"/>
      <c r="AB236" s="85"/>
      <c r="AC236" s="85"/>
    </row>
    <row r="237" spans="1:29" ht="27">
      <c r="A237" s="85" t="s">
        <v>1160</v>
      </c>
      <c r="B237" s="87" t="s">
        <v>820</v>
      </c>
      <c r="C237" s="80" t="s">
        <v>1149</v>
      </c>
      <c r="D237" s="86" t="s">
        <v>1162</v>
      </c>
      <c r="E237" s="245" t="s">
        <v>27</v>
      </c>
      <c r="F237" s="87" t="s">
        <v>317</v>
      </c>
      <c r="G237" s="259"/>
      <c r="H237" s="256"/>
      <c r="I237" s="247" t="s">
        <v>317</v>
      </c>
      <c r="J237" s="247" t="s">
        <v>317</v>
      </c>
      <c r="K237" s="247" t="s">
        <v>317</v>
      </c>
      <c r="L237" s="248"/>
      <c r="M237" s="249"/>
      <c r="N237" s="225"/>
      <c r="O237" s="225"/>
      <c r="P237" s="225"/>
      <c r="Q237" s="250"/>
      <c r="R237" s="215" t="s">
        <v>27</v>
      </c>
      <c r="S237" s="215" t="s">
        <v>27</v>
      </c>
      <c r="T237" s="215" t="s">
        <v>27</v>
      </c>
      <c r="U237" s="225"/>
      <c r="V237" s="251"/>
      <c r="W237" s="377"/>
      <c r="X237" s="85"/>
      <c r="Y237" s="85"/>
      <c r="Z237" s="85"/>
      <c r="AA237" s="85"/>
      <c r="AB237" s="85"/>
      <c r="AC237" s="85"/>
    </row>
    <row r="238" spans="1:29" ht="27">
      <c r="A238" s="85" t="s">
        <v>1160</v>
      </c>
      <c r="B238" s="87" t="s">
        <v>820</v>
      </c>
      <c r="C238" s="80" t="s">
        <v>1151</v>
      </c>
      <c r="D238" s="86" t="s">
        <v>1163</v>
      </c>
      <c r="E238" s="245" t="s">
        <v>27</v>
      </c>
      <c r="F238" s="87" t="s">
        <v>317</v>
      </c>
      <c r="G238" s="259"/>
      <c r="H238" s="256"/>
      <c r="I238" s="247" t="s">
        <v>317</v>
      </c>
      <c r="J238" s="247" t="s">
        <v>317</v>
      </c>
      <c r="K238" s="247" t="s">
        <v>317</v>
      </c>
      <c r="L238" s="248"/>
      <c r="M238" s="249"/>
      <c r="N238" s="225"/>
      <c r="O238" s="225"/>
      <c r="P238" s="225"/>
      <c r="Q238" s="250"/>
      <c r="R238" s="215" t="s">
        <v>27</v>
      </c>
      <c r="S238" s="215" t="s">
        <v>27</v>
      </c>
      <c r="T238" s="215" t="s">
        <v>27</v>
      </c>
      <c r="U238" s="225"/>
      <c r="V238" s="251"/>
      <c r="W238" s="377"/>
      <c r="X238" s="85"/>
      <c r="Y238" s="85"/>
      <c r="Z238" s="85"/>
      <c r="AA238" s="85"/>
      <c r="AB238" s="85"/>
      <c r="AC238" s="85"/>
    </row>
    <row r="239" spans="1:29" ht="27">
      <c r="A239" s="85" t="s">
        <v>1160</v>
      </c>
      <c r="B239" s="87" t="s">
        <v>820</v>
      </c>
      <c r="C239" s="80" t="s">
        <v>1153</v>
      </c>
      <c r="D239" s="86" t="s">
        <v>1164</v>
      </c>
      <c r="E239" s="245" t="s">
        <v>27</v>
      </c>
      <c r="F239" s="87" t="s">
        <v>317</v>
      </c>
      <c r="G239" s="259"/>
      <c r="H239" s="256"/>
      <c r="I239" s="247" t="s">
        <v>317</v>
      </c>
      <c r="J239" s="247" t="s">
        <v>317</v>
      </c>
      <c r="K239" s="247" t="s">
        <v>317</v>
      </c>
      <c r="L239" s="248"/>
      <c r="M239" s="249"/>
      <c r="N239" s="225"/>
      <c r="O239" s="225"/>
      <c r="P239" s="225"/>
      <c r="Q239" s="250"/>
      <c r="R239" s="215" t="s">
        <v>27</v>
      </c>
      <c r="S239" s="215" t="s">
        <v>27</v>
      </c>
      <c r="T239" s="215" t="s">
        <v>27</v>
      </c>
      <c r="U239" s="225"/>
      <c r="V239" s="251"/>
      <c r="W239" s="377"/>
      <c r="X239" s="85"/>
      <c r="Y239" s="85"/>
      <c r="Z239" s="85"/>
      <c r="AA239" s="85"/>
      <c r="AB239" s="85"/>
      <c r="AC239" s="85"/>
    </row>
    <row r="240" spans="1:29" ht="27">
      <c r="A240" s="85" t="s">
        <v>1165</v>
      </c>
      <c r="B240" s="87" t="s">
        <v>820</v>
      </c>
      <c r="C240" s="80" t="s">
        <v>1147</v>
      </c>
      <c r="D240" s="86" t="s">
        <v>1166</v>
      </c>
      <c r="E240" s="245" t="s">
        <v>27</v>
      </c>
      <c r="F240" s="87" t="s">
        <v>317</v>
      </c>
      <c r="G240" s="259"/>
      <c r="H240" s="256"/>
      <c r="I240" s="247" t="s">
        <v>317</v>
      </c>
      <c r="J240" s="247" t="s">
        <v>317</v>
      </c>
      <c r="K240" s="247" t="s">
        <v>317</v>
      </c>
      <c r="L240" s="248"/>
      <c r="M240" s="249"/>
      <c r="N240" s="225"/>
      <c r="O240" s="225"/>
      <c r="P240" s="225"/>
      <c r="Q240" s="250"/>
      <c r="R240" s="215" t="s">
        <v>27</v>
      </c>
      <c r="S240" s="215" t="s">
        <v>27</v>
      </c>
      <c r="T240" s="215" t="s">
        <v>27</v>
      </c>
      <c r="U240" s="225"/>
      <c r="V240" s="251"/>
      <c r="W240" s="377"/>
      <c r="X240" s="85"/>
      <c r="Y240" s="85"/>
      <c r="Z240" s="85"/>
      <c r="AA240" s="85"/>
      <c r="AB240" s="85"/>
      <c r="AC240" s="85"/>
    </row>
    <row r="241" spans="1:29" ht="27">
      <c r="A241" s="85" t="s">
        <v>1165</v>
      </c>
      <c r="B241" s="87" t="s">
        <v>820</v>
      </c>
      <c r="C241" s="80" t="s">
        <v>1149</v>
      </c>
      <c r="D241" s="86" t="s">
        <v>1167</v>
      </c>
      <c r="E241" s="245" t="s">
        <v>27</v>
      </c>
      <c r="F241" s="87" t="s">
        <v>317</v>
      </c>
      <c r="G241" s="259"/>
      <c r="H241" s="256"/>
      <c r="I241" s="247" t="s">
        <v>317</v>
      </c>
      <c r="J241" s="247" t="s">
        <v>317</v>
      </c>
      <c r="K241" s="247" t="s">
        <v>317</v>
      </c>
      <c r="L241" s="248"/>
      <c r="M241" s="249"/>
      <c r="N241" s="225"/>
      <c r="O241" s="225"/>
      <c r="P241" s="225"/>
      <c r="Q241" s="250"/>
      <c r="R241" s="215" t="s">
        <v>27</v>
      </c>
      <c r="S241" s="215" t="s">
        <v>27</v>
      </c>
      <c r="T241" s="215" t="s">
        <v>27</v>
      </c>
      <c r="U241" s="225"/>
      <c r="V241" s="251"/>
      <c r="W241" s="377"/>
      <c r="X241" s="85"/>
      <c r="Y241" s="85"/>
      <c r="Z241" s="85"/>
      <c r="AA241" s="85"/>
      <c r="AB241" s="85"/>
      <c r="AC241" s="85"/>
    </row>
    <row r="242" spans="1:29" ht="27">
      <c r="A242" s="85" t="s">
        <v>1165</v>
      </c>
      <c r="B242" s="87" t="s">
        <v>820</v>
      </c>
      <c r="C242" s="80" t="s">
        <v>1151</v>
      </c>
      <c r="D242" s="86" t="s">
        <v>1168</v>
      </c>
      <c r="E242" s="245" t="s">
        <v>27</v>
      </c>
      <c r="F242" s="87" t="s">
        <v>317</v>
      </c>
      <c r="G242" s="259"/>
      <c r="H242" s="256"/>
      <c r="I242" s="247" t="s">
        <v>317</v>
      </c>
      <c r="J242" s="247" t="s">
        <v>317</v>
      </c>
      <c r="K242" s="247" t="s">
        <v>317</v>
      </c>
      <c r="L242" s="248"/>
      <c r="M242" s="249"/>
      <c r="N242" s="225"/>
      <c r="O242" s="225"/>
      <c r="P242" s="225"/>
      <c r="Q242" s="250"/>
      <c r="R242" s="215" t="s">
        <v>27</v>
      </c>
      <c r="S242" s="215" t="s">
        <v>27</v>
      </c>
      <c r="T242" s="215" t="s">
        <v>27</v>
      </c>
      <c r="U242" s="225"/>
      <c r="V242" s="251"/>
      <c r="W242" s="377"/>
      <c r="X242" s="85"/>
      <c r="Y242" s="85"/>
      <c r="Z242" s="85"/>
      <c r="AA242" s="85"/>
      <c r="AB242" s="85"/>
      <c r="AC242" s="85"/>
    </row>
    <row r="243" spans="1:29" ht="27">
      <c r="A243" s="85" t="s">
        <v>1165</v>
      </c>
      <c r="B243" s="87" t="s">
        <v>820</v>
      </c>
      <c r="C243" s="80" t="s">
        <v>1153</v>
      </c>
      <c r="D243" s="86" t="s">
        <v>1169</v>
      </c>
      <c r="E243" s="245" t="s">
        <v>27</v>
      </c>
      <c r="F243" s="87" t="s">
        <v>317</v>
      </c>
      <c r="G243" s="259"/>
      <c r="H243" s="256"/>
      <c r="I243" s="247" t="s">
        <v>317</v>
      </c>
      <c r="J243" s="247" t="s">
        <v>317</v>
      </c>
      <c r="K243" s="247" t="s">
        <v>317</v>
      </c>
      <c r="L243" s="248"/>
      <c r="M243" s="249"/>
      <c r="N243" s="225"/>
      <c r="O243" s="225"/>
      <c r="P243" s="225"/>
      <c r="Q243" s="250"/>
      <c r="R243" s="215" t="s">
        <v>27</v>
      </c>
      <c r="S243" s="215" t="s">
        <v>27</v>
      </c>
      <c r="T243" s="215" t="s">
        <v>27</v>
      </c>
      <c r="U243" s="225"/>
      <c r="V243" s="251"/>
      <c r="W243" s="377"/>
      <c r="X243" s="85"/>
      <c r="Y243" s="85"/>
      <c r="Z243" s="85"/>
      <c r="AA243" s="85"/>
      <c r="AB243" s="85"/>
      <c r="AC243" s="85"/>
    </row>
    <row r="244" spans="1:29" ht="27">
      <c r="A244" s="85" t="s">
        <v>920</v>
      </c>
      <c r="B244" s="87" t="s">
        <v>921</v>
      </c>
      <c r="C244" s="80" t="s">
        <v>84</v>
      </c>
      <c r="D244" s="86" t="s">
        <v>1170</v>
      </c>
      <c r="E244" s="245" t="s">
        <v>27</v>
      </c>
      <c r="F244" s="87" t="s">
        <v>317</v>
      </c>
      <c r="G244" s="246" t="s">
        <v>1171</v>
      </c>
      <c r="H244" s="234" t="s">
        <v>1172</v>
      </c>
      <c r="I244" s="225" t="s">
        <v>24</v>
      </c>
      <c r="J244" s="225" t="s">
        <v>24</v>
      </c>
      <c r="K244" s="248"/>
      <c r="L244" s="248" t="s">
        <v>483</v>
      </c>
      <c r="M244" s="249"/>
      <c r="N244" s="225"/>
      <c r="O244" s="225"/>
      <c r="P244" s="225"/>
      <c r="Q244" s="250"/>
      <c r="R244" s="215" t="s">
        <v>27</v>
      </c>
      <c r="S244" s="215" t="s">
        <v>27</v>
      </c>
      <c r="T244" s="215" t="s">
        <v>27</v>
      </c>
      <c r="U244" s="225"/>
      <c r="V244" s="251"/>
      <c r="W244" s="377"/>
      <c r="X244" s="85"/>
      <c r="Y244" s="85"/>
      <c r="Z244" s="85"/>
      <c r="AA244" s="85"/>
      <c r="AB244" s="85"/>
      <c r="AC244" s="85"/>
    </row>
    <row r="245" spans="1:29" ht="409.6">
      <c r="A245" s="85" t="s">
        <v>920</v>
      </c>
      <c r="B245" s="87" t="s">
        <v>921</v>
      </c>
      <c r="C245" s="80" t="s">
        <v>1173</v>
      </c>
      <c r="D245" s="86" t="s">
        <v>1174</v>
      </c>
      <c r="E245" s="87" t="s">
        <v>325</v>
      </c>
      <c r="F245" s="87" t="s">
        <v>477</v>
      </c>
      <c r="G245" s="246" t="s">
        <v>1175</v>
      </c>
      <c r="H245" s="256"/>
      <c r="I245" s="225" t="s">
        <v>24</v>
      </c>
      <c r="J245" s="225" t="s">
        <v>24</v>
      </c>
      <c r="K245" s="248" t="s">
        <v>24</v>
      </c>
      <c r="L245" s="248" t="s">
        <v>483</v>
      </c>
      <c r="M245" s="232" t="s">
        <v>24</v>
      </c>
      <c r="N245" s="233" t="s">
        <v>24</v>
      </c>
      <c r="O245" s="233" t="s">
        <v>24</v>
      </c>
      <c r="P245" s="225"/>
      <c r="Q245" s="250"/>
      <c r="R245" s="215" t="s">
        <v>24</v>
      </c>
      <c r="S245" s="225" t="s">
        <v>24</v>
      </c>
      <c r="T245" s="225" t="s">
        <v>24</v>
      </c>
      <c r="U245" s="225" t="s">
        <v>483</v>
      </c>
      <c r="V245" s="251"/>
      <c r="W245" s="377"/>
      <c r="X245" s="85"/>
      <c r="Y245" s="85"/>
      <c r="Z245" s="85"/>
      <c r="AA245" s="85"/>
      <c r="AB245" s="85"/>
      <c r="AC245" s="85"/>
    </row>
    <row r="246" spans="1:29" ht="409.6">
      <c r="A246" s="85" t="s">
        <v>920</v>
      </c>
      <c r="B246" s="87" t="s">
        <v>921</v>
      </c>
      <c r="C246" s="80" t="s">
        <v>1176</v>
      </c>
      <c r="D246" s="81" t="s">
        <v>1177</v>
      </c>
      <c r="E246" s="87" t="s">
        <v>325</v>
      </c>
      <c r="F246" s="87" t="s">
        <v>477</v>
      </c>
      <c r="G246" s="246" t="s">
        <v>1178</v>
      </c>
      <c r="H246" s="256"/>
      <c r="I246" s="225" t="s">
        <v>24</v>
      </c>
      <c r="J246" s="225" t="s">
        <v>24</v>
      </c>
      <c r="K246" s="248" t="s">
        <v>24</v>
      </c>
      <c r="L246" s="248" t="s">
        <v>483</v>
      </c>
      <c r="M246" s="232" t="s">
        <v>24</v>
      </c>
      <c r="N246" s="233" t="s">
        <v>24</v>
      </c>
      <c r="O246" s="233" t="s">
        <v>24</v>
      </c>
      <c r="P246" s="107" t="s">
        <v>626</v>
      </c>
      <c r="Q246" s="250"/>
      <c r="R246" s="215" t="s">
        <v>24</v>
      </c>
      <c r="S246" s="225" t="s">
        <v>24</v>
      </c>
      <c r="T246" s="225" t="s">
        <v>24</v>
      </c>
      <c r="U246" s="225" t="s">
        <v>483</v>
      </c>
      <c r="V246" s="251"/>
      <c r="W246" s="377"/>
      <c r="X246" s="85"/>
      <c r="Y246" s="85"/>
      <c r="Z246" s="85"/>
      <c r="AA246" s="85"/>
      <c r="AB246" s="85"/>
      <c r="AC246" s="85"/>
    </row>
    <row r="247" spans="1:29" ht="409.6">
      <c r="A247" s="85" t="s">
        <v>920</v>
      </c>
      <c r="B247" s="87" t="s">
        <v>921</v>
      </c>
      <c r="C247" s="80" t="s">
        <v>1179</v>
      </c>
      <c r="D247" s="86" t="s">
        <v>1180</v>
      </c>
      <c r="E247" s="87" t="s">
        <v>325</v>
      </c>
      <c r="F247" s="87" t="s">
        <v>477</v>
      </c>
      <c r="G247" s="246" t="s">
        <v>1181</v>
      </c>
      <c r="H247" s="256"/>
      <c r="I247" s="225" t="s">
        <v>337</v>
      </c>
      <c r="J247" s="225" t="s">
        <v>337</v>
      </c>
      <c r="K247" s="225" t="s">
        <v>337</v>
      </c>
      <c r="L247" s="248" t="s">
        <v>483</v>
      </c>
      <c r="M247" s="224" t="s">
        <v>24</v>
      </c>
      <c r="N247" s="107" t="s">
        <v>24</v>
      </c>
      <c r="O247" s="107" t="s">
        <v>24</v>
      </c>
      <c r="P247" s="81" t="s">
        <v>1001</v>
      </c>
      <c r="Q247" s="309"/>
      <c r="R247" s="312" t="s">
        <v>24</v>
      </c>
      <c r="S247" s="106" t="s">
        <v>24</v>
      </c>
      <c r="T247" s="106" t="s">
        <v>24</v>
      </c>
      <c r="U247" s="225" t="s">
        <v>329</v>
      </c>
      <c r="V247" s="313" t="s">
        <v>1182</v>
      </c>
      <c r="W247" s="377"/>
      <c r="X247" s="85"/>
      <c r="Y247" s="85"/>
      <c r="Z247" s="85"/>
      <c r="AA247" s="85"/>
      <c r="AB247" s="85"/>
      <c r="AC247" s="85"/>
    </row>
    <row r="248" spans="1:29" ht="409.6">
      <c r="A248" s="85" t="s">
        <v>920</v>
      </c>
      <c r="B248" s="87" t="s">
        <v>921</v>
      </c>
      <c r="C248" s="80" t="s">
        <v>1183</v>
      </c>
      <c r="D248" s="81" t="s">
        <v>1184</v>
      </c>
      <c r="E248" s="87" t="s">
        <v>325</v>
      </c>
      <c r="F248" s="87" t="s">
        <v>326</v>
      </c>
      <c r="G248" s="246" t="s">
        <v>1185</v>
      </c>
      <c r="H248" s="234" t="s">
        <v>1186</v>
      </c>
      <c r="I248" s="245" t="s">
        <v>337</v>
      </c>
      <c r="J248" s="245" t="s">
        <v>337</v>
      </c>
      <c r="K248" s="257" t="s">
        <v>337</v>
      </c>
      <c r="L248" s="248" t="s">
        <v>483</v>
      </c>
      <c r="M248" s="224" t="s">
        <v>24</v>
      </c>
      <c r="N248" s="107" t="s">
        <v>24</v>
      </c>
      <c r="O248" s="107" t="s">
        <v>24</v>
      </c>
      <c r="P248" s="81" t="s">
        <v>1187</v>
      </c>
      <c r="Q248" s="309"/>
      <c r="R248" s="312" t="s">
        <v>24</v>
      </c>
      <c r="S248" s="106" t="s">
        <v>24</v>
      </c>
      <c r="T248" s="106" t="s">
        <v>24</v>
      </c>
      <c r="U248" s="225" t="s">
        <v>329</v>
      </c>
      <c r="V248" s="313" t="s">
        <v>1188</v>
      </c>
      <c r="W248" s="377"/>
      <c r="X248" s="85"/>
      <c r="Y248" s="85"/>
      <c r="Z248" s="85"/>
      <c r="AA248" s="85"/>
      <c r="AB248" s="85"/>
      <c r="AC248" s="85"/>
    </row>
    <row r="249" spans="1:29" ht="409.6">
      <c r="A249" s="85" t="s">
        <v>920</v>
      </c>
      <c r="B249" s="87" t="s">
        <v>921</v>
      </c>
      <c r="C249" s="80" t="s">
        <v>1189</v>
      </c>
      <c r="D249" s="81" t="s">
        <v>1190</v>
      </c>
      <c r="E249" s="87" t="s">
        <v>325</v>
      </c>
      <c r="F249" s="87" t="s">
        <v>477</v>
      </c>
      <c r="G249" s="246" t="s">
        <v>1191</v>
      </c>
      <c r="H249" s="256"/>
      <c r="I249" s="225" t="s">
        <v>24</v>
      </c>
      <c r="J249" s="225" t="s">
        <v>24</v>
      </c>
      <c r="K249" s="248" t="s">
        <v>24</v>
      </c>
      <c r="L249" s="248" t="s">
        <v>483</v>
      </c>
      <c r="M249" s="232" t="s">
        <v>24</v>
      </c>
      <c r="N249" s="233" t="s">
        <v>24</v>
      </c>
      <c r="O249" s="233" t="s">
        <v>24</v>
      </c>
      <c r="P249" s="225"/>
      <c r="Q249" s="250"/>
      <c r="R249" s="215" t="s">
        <v>24</v>
      </c>
      <c r="S249" s="225" t="s">
        <v>24</v>
      </c>
      <c r="T249" s="225" t="s">
        <v>24</v>
      </c>
      <c r="U249" s="225" t="s">
        <v>483</v>
      </c>
      <c r="V249" s="251"/>
      <c r="W249" s="377"/>
      <c r="X249" s="85"/>
      <c r="Y249" s="85"/>
      <c r="Z249" s="85"/>
      <c r="AA249" s="85"/>
      <c r="AB249" s="85"/>
      <c r="AC249" s="85"/>
    </row>
    <row r="250" spans="1:29" ht="409.6">
      <c r="A250" s="85" t="s">
        <v>920</v>
      </c>
      <c r="B250" s="87" t="s">
        <v>921</v>
      </c>
      <c r="C250" s="80" t="s">
        <v>1192</v>
      </c>
      <c r="D250" s="81" t="s">
        <v>1193</v>
      </c>
      <c r="E250" s="87" t="s">
        <v>325</v>
      </c>
      <c r="F250" s="87" t="s">
        <v>326</v>
      </c>
      <c r="G250" s="246" t="s">
        <v>1194</v>
      </c>
      <c r="H250" s="234" t="s">
        <v>1195</v>
      </c>
      <c r="I250" s="225" t="s">
        <v>337</v>
      </c>
      <c r="J250" s="225" t="s">
        <v>337</v>
      </c>
      <c r="K250" s="248" t="s">
        <v>337</v>
      </c>
      <c r="L250" s="248" t="s">
        <v>329</v>
      </c>
      <c r="M250" s="224" t="s">
        <v>24</v>
      </c>
      <c r="N250" s="107" t="s">
        <v>24</v>
      </c>
      <c r="O250" s="267" t="s">
        <v>24</v>
      </c>
      <c r="P250" s="81" t="s">
        <v>1196</v>
      </c>
      <c r="Q250" s="309"/>
      <c r="R250" s="312" t="s">
        <v>24</v>
      </c>
      <c r="S250" s="106" t="s">
        <v>24</v>
      </c>
      <c r="T250" s="106" t="s">
        <v>24</v>
      </c>
      <c r="U250" s="225" t="s">
        <v>329</v>
      </c>
      <c r="V250" s="251" t="s">
        <v>1197</v>
      </c>
      <c r="W250" s="377"/>
      <c r="X250" s="85"/>
      <c r="Y250" s="85"/>
      <c r="Z250" s="85"/>
      <c r="AA250" s="85"/>
      <c r="AB250" s="85"/>
      <c r="AC250" s="85"/>
    </row>
    <row r="251" spans="1:29" ht="409.6">
      <c r="A251" s="85" t="s">
        <v>1198</v>
      </c>
      <c r="B251" s="87" t="s">
        <v>921</v>
      </c>
      <c r="C251" s="80" t="s">
        <v>1106</v>
      </c>
      <c r="D251" s="81" t="s">
        <v>1199</v>
      </c>
      <c r="E251" s="87" t="s">
        <v>325</v>
      </c>
      <c r="F251" s="87" t="s">
        <v>477</v>
      </c>
      <c r="G251" s="246" t="s">
        <v>1200</v>
      </c>
      <c r="H251" s="308" t="s">
        <v>1201</v>
      </c>
      <c r="I251" s="225" t="s">
        <v>337</v>
      </c>
      <c r="J251" s="225" t="s">
        <v>337</v>
      </c>
      <c r="K251" s="248" t="s">
        <v>337</v>
      </c>
      <c r="L251" s="248" t="s">
        <v>483</v>
      </c>
      <c r="M251" s="224" t="s">
        <v>24</v>
      </c>
      <c r="N251" s="107" t="s">
        <v>24</v>
      </c>
      <c r="O251" s="107" t="s">
        <v>24</v>
      </c>
      <c r="P251" s="81" t="s">
        <v>1110</v>
      </c>
      <c r="Q251" s="250"/>
      <c r="R251" s="306" t="s">
        <v>24</v>
      </c>
      <c r="S251" s="321" t="s">
        <v>24</v>
      </c>
      <c r="T251" s="321" t="s">
        <v>24</v>
      </c>
      <c r="U251" s="225" t="s">
        <v>329</v>
      </c>
      <c r="V251" s="251" t="s">
        <v>1202</v>
      </c>
      <c r="W251" s="377"/>
      <c r="X251" s="85"/>
      <c r="Y251" s="85"/>
      <c r="Z251" s="85"/>
      <c r="AA251" s="85"/>
      <c r="AB251" s="85"/>
      <c r="AC251" s="85"/>
    </row>
    <row r="252" spans="1:29" ht="409.6">
      <c r="A252" s="85" t="s">
        <v>1198</v>
      </c>
      <c r="B252" s="87" t="s">
        <v>921</v>
      </c>
      <c r="C252" s="80"/>
      <c r="D252" s="81" t="s">
        <v>1203</v>
      </c>
      <c r="E252" s="245" t="s">
        <v>27</v>
      </c>
      <c r="F252" s="87" t="s">
        <v>317</v>
      </c>
      <c r="G252" s="259"/>
      <c r="H252" s="256"/>
      <c r="I252" s="247" t="s">
        <v>317</v>
      </c>
      <c r="J252" s="247" t="s">
        <v>317</v>
      </c>
      <c r="K252" s="247" t="s">
        <v>317</v>
      </c>
      <c r="L252" s="248"/>
      <c r="M252" s="249"/>
      <c r="N252" s="225"/>
      <c r="O252" s="225"/>
      <c r="P252" s="225"/>
      <c r="Q252" s="250"/>
      <c r="R252" s="215" t="s">
        <v>27</v>
      </c>
      <c r="S252" s="215" t="s">
        <v>27</v>
      </c>
      <c r="T252" s="215" t="s">
        <v>27</v>
      </c>
      <c r="U252" s="225"/>
      <c r="V252" s="251"/>
      <c r="W252" s="377"/>
      <c r="X252" s="85"/>
      <c r="Y252" s="85"/>
      <c r="Z252" s="85"/>
      <c r="AA252" s="85"/>
      <c r="AB252" s="85"/>
      <c r="AC252" s="85"/>
    </row>
    <row r="253" spans="1:29" ht="27">
      <c r="A253" s="85" t="s">
        <v>920</v>
      </c>
      <c r="B253" s="87" t="s">
        <v>921</v>
      </c>
      <c r="C253" s="80" t="s">
        <v>1204</v>
      </c>
      <c r="D253" s="81" t="s">
        <v>1205</v>
      </c>
      <c r="E253" s="245" t="s">
        <v>27</v>
      </c>
      <c r="F253" s="87" t="s">
        <v>317</v>
      </c>
      <c r="G253" s="259"/>
      <c r="H253" s="256" t="s">
        <v>1206</v>
      </c>
      <c r="I253" s="247" t="s">
        <v>317</v>
      </c>
      <c r="J253" s="247" t="s">
        <v>317</v>
      </c>
      <c r="K253" s="247" t="s">
        <v>317</v>
      </c>
      <c r="L253" s="248"/>
      <c r="M253" s="249"/>
      <c r="N253" s="225"/>
      <c r="O253" s="225"/>
      <c r="P253" s="225"/>
      <c r="Q253" s="250"/>
      <c r="R253" s="215" t="s">
        <v>27</v>
      </c>
      <c r="S253" s="215" t="s">
        <v>27</v>
      </c>
      <c r="T253" s="215" t="s">
        <v>27</v>
      </c>
      <c r="U253" s="225"/>
      <c r="V253" s="251"/>
      <c r="W253" s="377"/>
      <c r="X253" s="85"/>
      <c r="Y253" s="85"/>
      <c r="Z253" s="85"/>
      <c r="AA253" s="85"/>
      <c r="AB253" s="85"/>
      <c r="AC253" s="85"/>
    </row>
    <row r="254" spans="1:29" ht="27">
      <c r="A254" s="85" t="s">
        <v>920</v>
      </c>
      <c r="B254" s="87" t="s">
        <v>921</v>
      </c>
      <c r="C254" s="80" t="s">
        <v>1207</v>
      </c>
      <c r="D254" s="86" t="s">
        <v>1208</v>
      </c>
      <c r="E254" s="245" t="s">
        <v>27</v>
      </c>
      <c r="F254" s="87" t="s">
        <v>317</v>
      </c>
      <c r="G254" s="259"/>
      <c r="H254" s="256"/>
      <c r="I254" s="247" t="s">
        <v>317</v>
      </c>
      <c r="J254" s="247" t="s">
        <v>317</v>
      </c>
      <c r="K254" s="247" t="s">
        <v>317</v>
      </c>
      <c r="L254" s="248"/>
      <c r="M254" s="249"/>
      <c r="N254" s="225"/>
      <c r="O254" s="225"/>
      <c r="P254" s="225"/>
      <c r="Q254" s="250"/>
      <c r="R254" s="215" t="s">
        <v>27</v>
      </c>
      <c r="S254" s="215" t="s">
        <v>27</v>
      </c>
      <c r="T254" s="215" t="s">
        <v>27</v>
      </c>
      <c r="U254" s="225"/>
      <c r="V254" s="251"/>
      <c r="W254" s="377"/>
      <c r="X254" s="85"/>
      <c r="Y254" s="85"/>
      <c r="Z254" s="85"/>
      <c r="AA254" s="85"/>
      <c r="AB254" s="85"/>
      <c r="AC254" s="85"/>
    </row>
    <row r="255" spans="1:29" ht="27">
      <c r="A255" s="85" t="s">
        <v>920</v>
      </c>
      <c r="B255" s="87" t="s">
        <v>921</v>
      </c>
      <c r="C255" s="80" t="s">
        <v>1209</v>
      </c>
      <c r="D255" s="86" t="s">
        <v>1210</v>
      </c>
      <c r="E255" s="245" t="s">
        <v>27</v>
      </c>
      <c r="F255" s="87" t="s">
        <v>317</v>
      </c>
      <c r="G255" s="322"/>
      <c r="H255" s="256"/>
      <c r="I255" s="323" t="s">
        <v>317</v>
      </c>
      <c r="J255" s="247" t="s">
        <v>317</v>
      </c>
      <c r="K255" s="247" t="s">
        <v>317</v>
      </c>
      <c r="L255" s="248"/>
      <c r="M255" s="249"/>
      <c r="N255" s="225"/>
      <c r="O255" s="225"/>
      <c r="P255" s="225"/>
      <c r="Q255" s="250"/>
      <c r="R255" s="215" t="s">
        <v>27</v>
      </c>
      <c r="S255" s="215" t="s">
        <v>27</v>
      </c>
      <c r="T255" s="215" t="s">
        <v>27</v>
      </c>
      <c r="U255" s="225"/>
      <c r="V255" s="251"/>
      <c r="W255" s="377"/>
      <c r="X255" s="85"/>
      <c r="Y255" s="85"/>
      <c r="Z255" s="85"/>
      <c r="AA255" s="85"/>
      <c r="AB255" s="85"/>
      <c r="AC255" s="85"/>
    </row>
    <row r="256" spans="1:29" ht="88.5">
      <c r="A256" s="85" t="s">
        <v>920</v>
      </c>
      <c r="B256" s="87" t="s">
        <v>921</v>
      </c>
      <c r="C256" s="80" t="s">
        <v>1211</v>
      </c>
      <c r="D256" s="81" t="s">
        <v>1212</v>
      </c>
      <c r="E256" s="87" t="s">
        <v>325</v>
      </c>
      <c r="F256" s="316" t="s">
        <v>326</v>
      </c>
      <c r="G256" s="423" t="s">
        <v>1213</v>
      </c>
      <c r="H256" s="422" t="s">
        <v>1214</v>
      </c>
      <c r="I256" s="324" t="s">
        <v>337</v>
      </c>
      <c r="J256" s="324" t="s">
        <v>337</v>
      </c>
      <c r="K256" s="324" t="s">
        <v>337</v>
      </c>
      <c r="L256" s="248" t="s">
        <v>483</v>
      </c>
      <c r="M256" s="224" t="s">
        <v>24</v>
      </c>
      <c r="N256" s="107" t="s">
        <v>24</v>
      </c>
      <c r="O256" s="107" t="s">
        <v>24</v>
      </c>
      <c r="P256" s="81" t="s">
        <v>1215</v>
      </c>
      <c r="Q256" s="254" t="s">
        <v>673</v>
      </c>
      <c r="R256" s="306" t="s">
        <v>24</v>
      </c>
      <c r="S256" s="298" t="s">
        <v>24</v>
      </c>
      <c r="T256" s="298" t="s">
        <v>24</v>
      </c>
      <c r="U256" s="225" t="s">
        <v>483</v>
      </c>
      <c r="V256" s="251" t="s">
        <v>1216</v>
      </c>
      <c r="W256" s="377"/>
      <c r="X256" s="85"/>
      <c r="Y256" s="85"/>
      <c r="Z256" s="85"/>
      <c r="AA256" s="85"/>
      <c r="AB256" s="85"/>
      <c r="AC256" s="85"/>
    </row>
    <row r="257" spans="1:29" ht="88.5">
      <c r="A257" s="85" t="s">
        <v>920</v>
      </c>
      <c r="B257" s="87" t="s">
        <v>921</v>
      </c>
      <c r="C257" s="80" t="s">
        <v>1211</v>
      </c>
      <c r="D257" s="81" t="s">
        <v>1217</v>
      </c>
      <c r="E257" s="87" t="s">
        <v>325</v>
      </c>
      <c r="F257" s="316" t="s">
        <v>326</v>
      </c>
      <c r="G257" s="423"/>
      <c r="H257" s="422"/>
      <c r="I257" s="324" t="s">
        <v>337</v>
      </c>
      <c r="J257" s="324" t="s">
        <v>337</v>
      </c>
      <c r="K257" s="324" t="s">
        <v>337</v>
      </c>
      <c r="L257" s="248" t="s">
        <v>483</v>
      </c>
      <c r="M257" s="224" t="s">
        <v>24</v>
      </c>
      <c r="N257" s="107" t="s">
        <v>24</v>
      </c>
      <c r="O257" s="107" t="s">
        <v>24</v>
      </c>
      <c r="P257" s="81" t="s">
        <v>1215</v>
      </c>
      <c r="Q257" s="254" t="s">
        <v>673</v>
      </c>
      <c r="R257" s="306" t="s">
        <v>24</v>
      </c>
      <c r="S257" s="298" t="s">
        <v>24</v>
      </c>
      <c r="T257" s="298" t="s">
        <v>24</v>
      </c>
      <c r="U257" s="225" t="s">
        <v>483</v>
      </c>
      <c r="V257" s="251" t="s">
        <v>1216</v>
      </c>
      <c r="W257" s="377"/>
      <c r="X257" s="85"/>
      <c r="Y257" s="85"/>
      <c r="Z257" s="85"/>
      <c r="AA257" s="85"/>
      <c r="AB257" s="85"/>
      <c r="AC257" s="85"/>
    </row>
    <row r="258" spans="1:29" ht="88.5">
      <c r="A258" s="85" t="s">
        <v>920</v>
      </c>
      <c r="B258" s="87" t="s">
        <v>921</v>
      </c>
      <c r="C258" s="80" t="s">
        <v>1211</v>
      </c>
      <c r="D258" s="81" t="s">
        <v>1218</v>
      </c>
      <c r="E258" s="87" t="s">
        <v>325</v>
      </c>
      <c r="F258" s="316" t="s">
        <v>326</v>
      </c>
      <c r="G258" s="423"/>
      <c r="H258" s="422"/>
      <c r="I258" s="324" t="s">
        <v>337</v>
      </c>
      <c r="J258" s="324" t="s">
        <v>337</v>
      </c>
      <c r="K258" s="324" t="s">
        <v>337</v>
      </c>
      <c r="L258" s="248" t="s">
        <v>483</v>
      </c>
      <c r="M258" s="224" t="s">
        <v>24</v>
      </c>
      <c r="N258" s="107" t="s">
        <v>24</v>
      </c>
      <c r="O258" s="107" t="s">
        <v>24</v>
      </c>
      <c r="P258" s="81" t="s">
        <v>1215</v>
      </c>
      <c r="Q258" s="254" t="s">
        <v>673</v>
      </c>
      <c r="R258" s="306" t="s">
        <v>24</v>
      </c>
      <c r="S258" s="298" t="s">
        <v>24</v>
      </c>
      <c r="T258" s="298" t="s">
        <v>24</v>
      </c>
      <c r="U258" s="225" t="s">
        <v>483</v>
      </c>
      <c r="V258" s="251" t="s">
        <v>1216</v>
      </c>
      <c r="W258" s="377"/>
      <c r="X258" s="85"/>
      <c r="Y258" s="85"/>
      <c r="Z258" s="85"/>
      <c r="AA258" s="85"/>
      <c r="AB258" s="85"/>
      <c r="AC258" s="85"/>
    </row>
    <row r="259" spans="1:29" ht="100.5">
      <c r="A259" s="85" t="s">
        <v>920</v>
      </c>
      <c r="B259" s="87" t="s">
        <v>921</v>
      </c>
      <c r="C259" s="80" t="s">
        <v>1211</v>
      </c>
      <c r="D259" s="81" t="s">
        <v>1219</v>
      </c>
      <c r="E259" s="87" t="s">
        <v>325</v>
      </c>
      <c r="F259" s="316" t="s">
        <v>326</v>
      </c>
      <c r="G259" s="423"/>
      <c r="H259" s="422"/>
      <c r="I259" s="324" t="s">
        <v>337</v>
      </c>
      <c r="J259" s="324" t="s">
        <v>337</v>
      </c>
      <c r="K259" s="324" t="s">
        <v>337</v>
      </c>
      <c r="L259" s="248" t="s">
        <v>483</v>
      </c>
      <c r="M259" s="224" t="s">
        <v>24</v>
      </c>
      <c r="N259" s="107" t="s">
        <v>24</v>
      </c>
      <c r="O259" s="107" t="s">
        <v>24</v>
      </c>
      <c r="P259" s="81" t="s">
        <v>1215</v>
      </c>
      <c r="Q259" s="254" t="s">
        <v>673</v>
      </c>
      <c r="R259" s="285" t="s">
        <v>25</v>
      </c>
      <c r="S259" s="245" t="s">
        <v>25</v>
      </c>
      <c r="T259" s="245" t="s">
        <v>25</v>
      </c>
      <c r="U259" s="225" t="s">
        <v>483</v>
      </c>
      <c r="V259" s="289" t="s">
        <v>1220</v>
      </c>
      <c r="W259" s="377"/>
      <c r="X259" s="87"/>
      <c r="Y259" s="87"/>
      <c r="Z259" s="87"/>
      <c r="AA259" s="87" t="s">
        <v>377</v>
      </c>
      <c r="AB259" s="87"/>
      <c r="AC259" s="87"/>
    </row>
    <row r="260" spans="1:29" ht="88.5">
      <c r="A260" s="85" t="s">
        <v>920</v>
      </c>
      <c r="B260" s="87" t="s">
        <v>921</v>
      </c>
      <c r="C260" s="80" t="s">
        <v>1211</v>
      </c>
      <c r="D260" s="81" t="s">
        <v>1221</v>
      </c>
      <c r="E260" s="87" t="s">
        <v>325</v>
      </c>
      <c r="F260" s="316" t="s">
        <v>326</v>
      </c>
      <c r="G260" s="423"/>
      <c r="H260" s="422"/>
      <c r="I260" s="324" t="s">
        <v>337</v>
      </c>
      <c r="J260" s="324" t="s">
        <v>337</v>
      </c>
      <c r="K260" s="324" t="s">
        <v>337</v>
      </c>
      <c r="L260" s="248" t="s">
        <v>483</v>
      </c>
      <c r="M260" s="224" t="s">
        <v>24</v>
      </c>
      <c r="N260" s="107" t="s">
        <v>24</v>
      </c>
      <c r="O260" s="107" t="s">
        <v>24</v>
      </c>
      <c r="P260" s="81" t="s">
        <v>1215</v>
      </c>
      <c r="Q260" s="254" t="s">
        <v>673</v>
      </c>
      <c r="R260" s="306" t="s">
        <v>24</v>
      </c>
      <c r="S260" s="298" t="s">
        <v>24</v>
      </c>
      <c r="T260" s="298" t="s">
        <v>24</v>
      </c>
      <c r="U260" s="225" t="s">
        <v>483</v>
      </c>
      <c r="V260" s="251" t="s">
        <v>1216</v>
      </c>
      <c r="W260" s="377"/>
      <c r="X260" s="85"/>
      <c r="Y260" s="85"/>
      <c r="Z260" s="85"/>
      <c r="AA260" s="85"/>
      <c r="AB260" s="85"/>
      <c r="AC260" s="85"/>
    </row>
    <row r="261" spans="1:29" ht="175.5">
      <c r="A261" s="85" t="s">
        <v>920</v>
      </c>
      <c r="B261" s="87" t="s">
        <v>921</v>
      </c>
      <c r="C261" s="80" t="s">
        <v>1211</v>
      </c>
      <c r="D261" s="81" t="s">
        <v>1222</v>
      </c>
      <c r="E261" s="87" t="s">
        <v>325</v>
      </c>
      <c r="F261" s="316" t="s">
        <v>326</v>
      </c>
      <c r="G261" s="423"/>
      <c r="H261" s="422"/>
      <c r="I261" s="271" t="s">
        <v>337</v>
      </c>
      <c r="J261" s="324" t="s">
        <v>337</v>
      </c>
      <c r="K261" s="324" t="s">
        <v>337</v>
      </c>
      <c r="L261" s="248" t="s">
        <v>483</v>
      </c>
      <c r="M261" s="224" t="s">
        <v>24</v>
      </c>
      <c r="N261" s="107" t="s">
        <v>24</v>
      </c>
      <c r="O261" s="107" t="s">
        <v>24</v>
      </c>
      <c r="P261" s="81" t="s">
        <v>1215</v>
      </c>
      <c r="Q261" s="254" t="s">
        <v>673</v>
      </c>
      <c r="R261" s="285" t="s">
        <v>25</v>
      </c>
      <c r="S261" s="245" t="s">
        <v>25</v>
      </c>
      <c r="T261" s="245" t="s">
        <v>25</v>
      </c>
      <c r="U261" s="225" t="s">
        <v>483</v>
      </c>
      <c r="V261" s="289" t="s">
        <v>1223</v>
      </c>
      <c r="W261" s="377"/>
      <c r="X261" s="87"/>
      <c r="Y261" s="87"/>
      <c r="Z261" s="87"/>
      <c r="AA261" s="87" t="s">
        <v>377</v>
      </c>
      <c r="AB261" s="87"/>
      <c r="AC261" s="87"/>
    </row>
    <row r="262" spans="1:29" ht="88.5">
      <c r="A262" s="85" t="s">
        <v>920</v>
      </c>
      <c r="B262" s="87" t="s">
        <v>921</v>
      </c>
      <c r="C262" s="80" t="s">
        <v>1211</v>
      </c>
      <c r="D262" s="81" t="s">
        <v>1224</v>
      </c>
      <c r="E262" s="87" t="s">
        <v>325</v>
      </c>
      <c r="F262" s="316" t="s">
        <v>326</v>
      </c>
      <c r="G262" s="423"/>
      <c r="H262" s="422"/>
      <c r="I262" s="225" t="s">
        <v>24</v>
      </c>
      <c r="J262" s="225" t="s">
        <v>24</v>
      </c>
      <c r="K262" s="248" t="s">
        <v>24</v>
      </c>
      <c r="L262" s="248" t="s">
        <v>483</v>
      </c>
      <c r="M262" s="224" t="s">
        <v>24</v>
      </c>
      <c r="N262" s="107" t="s">
        <v>24</v>
      </c>
      <c r="O262" s="107" t="s">
        <v>24</v>
      </c>
      <c r="P262" s="81" t="s">
        <v>1215</v>
      </c>
      <c r="Q262" s="254" t="s">
        <v>673</v>
      </c>
      <c r="R262" s="267" t="s">
        <v>24</v>
      </c>
      <c r="S262" s="107" t="s">
        <v>24</v>
      </c>
      <c r="T262" s="107" t="s">
        <v>24</v>
      </c>
      <c r="U262" s="225" t="s">
        <v>483</v>
      </c>
      <c r="V262" s="251" t="s">
        <v>1216</v>
      </c>
      <c r="W262" s="377"/>
      <c r="X262" s="85"/>
      <c r="Y262" s="85"/>
      <c r="Z262" s="85"/>
      <c r="AA262" s="85"/>
      <c r="AB262" s="85"/>
      <c r="AC262" s="85"/>
    </row>
    <row r="263" spans="1:29" s="54" customFormat="1" ht="409.6">
      <c r="A263" s="72" t="s">
        <v>920</v>
      </c>
      <c r="B263" s="73" t="s">
        <v>820</v>
      </c>
      <c r="C263" s="388" t="s">
        <v>1225</v>
      </c>
      <c r="D263" s="389" t="s">
        <v>1226</v>
      </c>
      <c r="E263" s="87" t="s">
        <v>325</v>
      </c>
      <c r="F263" s="316" t="s">
        <v>477</v>
      </c>
      <c r="G263" s="399" t="s">
        <v>1227</v>
      </c>
      <c r="H263" s="400" t="s">
        <v>1228</v>
      </c>
      <c r="I263" s="271" t="s">
        <v>337</v>
      </c>
      <c r="J263" s="271" t="s">
        <v>337</v>
      </c>
      <c r="K263" s="271" t="s">
        <v>337</v>
      </c>
      <c r="L263" s="248" t="s">
        <v>483</v>
      </c>
      <c r="M263" s="401" t="s">
        <v>24</v>
      </c>
      <c r="N263" s="39" t="s">
        <v>24</v>
      </c>
      <c r="O263" s="39" t="s">
        <v>24</v>
      </c>
      <c r="P263" s="389" t="s">
        <v>1001</v>
      </c>
      <c r="Q263" s="402"/>
      <c r="R263" s="403" t="s">
        <v>25</v>
      </c>
      <c r="S263" s="43" t="s">
        <v>25</v>
      </c>
      <c r="T263" s="43" t="s">
        <v>25</v>
      </c>
      <c r="U263" s="76" t="s">
        <v>329</v>
      </c>
      <c r="V263" s="417" t="s">
        <v>1229</v>
      </c>
      <c r="W263" s="412" t="s">
        <v>1230</v>
      </c>
      <c r="X263" s="73"/>
      <c r="Y263" s="73"/>
      <c r="Z263" s="73"/>
      <c r="AA263" s="73" t="s">
        <v>377</v>
      </c>
      <c r="AB263" s="73"/>
      <c r="AC263" s="73"/>
    </row>
    <row r="264" spans="1:29" s="54" customFormat="1" ht="409.6">
      <c r="A264" s="72" t="s">
        <v>920</v>
      </c>
      <c r="B264" s="73" t="s">
        <v>820</v>
      </c>
      <c r="C264" s="388" t="s">
        <v>1225</v>
      </c>
      <c r="D264" s="389" t="s">
        <v>1231</v>
      </c>
      <c r="E264" s="87" t="s">
        <v>325</v>
      </c>
      <c r="F264" s="316" t="s">
        <v>477</v>
      </c>
      <c r="G264" s="399" t="s">
        <v>1232</v>
      </c>
      <c r="H264" s="400" t="s">
        <v>1228</v>
      </c>
      <c r="I264" s="271" t="s">
        <v>337</v>
      </c>
      <c r="J264" s="271" t="s">
        <v>337</v>
      </c>
      <c r="K264" s="271" t="s">
        <v>337</v>
      </c>
      <c r="L264" s="248" t="s">
        <v>483</v>
      </c>
      <c r="M264" s="401" t="s">
        <v>24</v>
      </c>
      <c r="N264" s="39" t="s">
        <v>24</v>
      </c>
      <c r="O264" s="39" t="s">
        <v>24</v>
      </c>
      <c r="P264" s="389" t="s">
        <v>1233</v>
      </c>
      <c r="Q264" s="402"/>
      <c r="R264" s="403" t="s">
        <v>25</v>
      </c>
      <c r="S264" s="43" t="s">
        <v>25</v>
      </c>
      <c r="T264" s="43" t="s">
        <v>25</v>
      </c>
      <c r="U264" s="76" t="s">
        <v>329</v>
      </c>
      <c r="V264" s="417" t="s">
        <v>1234</v>
      </c>
      <c r="W264" s="403" t="s">
        <v>1230</v>
      </c>
      <c r="X264" s="73"/>
      <c r="Y264" s="73"/>
      <c r="Z264" s="73"/>
      <c r="AA264" s="73" t="s">
        <v>377</v>
      </c>
      <c r="AB264" s="73"/>
      <c r="AC264" s="73"/>
    </row>
    <row r="265" spans="1:29" ht="73.5" customHeight="1">
      <c r="A265" s="85" t="s">
        <v>920</v>
      </c>
      <c r="B265" s="87" t="s">
        <v>820</v>
      </c>
      <c r="C265" s="80" t="s">
        <v>1225</v>
      </c>
      <c r="D265" s="81" t="s">
        <v>1235</v>
      </c>
      <c r="E265" s="87" t="s">
        <v>325</v>
      </c>
      <c r="F265" s="316" t="s">
        <v>477</v>
      </c>
      <c r="G265" s="255" t="s">
        <v>1236</v>
      </c>
      <c r="H265" s="317" t="s">
        <v>1237</v>
      </c>
      <c r="I265" s="225" t="s">
        <v>24</v>
      </c>
      <c r="J265" s="225" t="s">
        <v>24</v>
      </c>
      <c r="K265" s="248" t="s">
        <v>24</v>
      </c>
      <c r="L265" s="248" t="s">
        <v>483</v>
      </c>
      <c r="M265" s="283" t="s">
        <v>24</v>
      </c>
      <c r="N265" s="106" t="s">
        <v>24</v>
      </c>
      <c r="O265" s="106" t="s">
        <v>24</v>
      </c>
      <c r="P265" s="106"/>
      <c r="Q265" s="309"/>
      <c r="R265" s="312" t="s">
        <v>24</v>
      </c>
      <c r="S265" s="106" t="s">
        <v>24</v>
      </c>
      <c r="T265" s="106" t="s">
        <v>24</v>
      </c>
      <c r="U265" s="225" t="s">
        <v>329</v>
      </c>
      <c r="V265" s="289" t="s">
        <v>1238</v>
      </c>
      <c r="W265" s="377"/>
      <c r="X265" s="85"/>
      <c r="Y265" s="85"/>
      <c r="Z265" s="85"/>
      <c r="AA265" s="85"/>
      <c r="AB265" s="85"/>
      <c r="AC265" s="85"/>
    </row>
    <row r="266" spans="1:29" ht="183" customHeight="1">
      <c r="A266" s="85" t="s">
        <v>920</v>
      </c>
      <c r="B266" s="87" t="s">
        <v>820</v>
      </c>
      <c r="C266" s="80" t="s">
        <v>1225</v>
      </c>
      <c r="D266" s="81" t="s">
        <v>1239</v>
      </c>
      <c r="E266" s="87" t="s">
        <v>325</v>
      </c>
      <c r="F266" s="316" t="s">
        <v>477</v>
      </c>
      <c r="G266" s="255" t="s">
        <v>1240</v>
      </c>
      <c r="H266" s="326" t="s">
        <v>1241</v>
      </c>
      <c r="I266" s="245" t="s">
        <v>337</v>
      </c>
      <c r="J266" s="245" t="s">
        <v>337</v>
      </c>
      <c r="K266" s="248" t="s">
        <v>24</v>
      </c>
      <c r="L266" s="248" t="s">
        <v>483</v>
      </c>
      <c r="M266" s="283" t="s">
        <v>24</v>
      </c>
      <c r="N266" s="106" t="s">
        <v>24</v>
      </c>
      <c r="O266" s="106" t="s">
        <v>24</v>
      </c>
      <c r="P266" s="81" t="s">
        <v>1001</v>
      </c>
      <c r="Q266" s="309"/>
      <c r="R266" s="267" t="s">
        <v>24</v>
      </c>
      <c r="S266" s="107" t="s">
        <v>24</v>
      </c>
      <c r="T266" s="107" t="s">
        <v>24</v>
      </c>
      <c r="U266" s="225" t="s">
        <v>329</v>
      </c>
      <c r="V266" s="313" t="s">
        <v>1242</v>
      </c>
      <c r="W266" s="377"/>
      <c r="X266" s="85"/>
      <c r="Y266" s="85"/>
      <c r="Z266" s="85"/>
      <c r="AA266" s="85"/>
      <c r="AB266" s="85"/>
      <c r="AC266" s="85"/>
    </row>
    <row r="267" spans="1:29" ht="183" customHeight="1">
      <c r="A267" s="85" t="s">
        <v>920</v>
      </c>
      <c r="B267" s="87" t="s">
        <v>820</v>
      </c>
      <c r="C267" s="80" t="s">
        <v>1225</v>
      </c>
      <c r="D267" s="81" t="s">
        <v>1243</v>
      </c>
      <c r="E267" s="87" t="s">
        <v>325</v>
      </c>
      <c r="F267" s="316" t="s">
        <v>477</v>
      </c>
      <c r="G267" s="246" t="s">
        <v>1244</v>
      </c>
      <c r="H267" s="326" t="s">
        <v>1245</v>
      </c>
      <c r="I267" s="225" t="s">
        <v>24</v>
      </c>
      <c r="J267" s="225" t="s">
        <v>24</v>
      </c>
      <c r="K267" s="248" t="s">
        <v>24</v>
      </c>
      <c r="L267" s="248" t="s">
        <v>483</v>
      </c>
      <c r="M267" s="283" t="s">
        <v>24</v>
      </c>
      <c r="N267" s="106" t="s">
        <v>24</v>
      </c>
      <c r="O267" s="106" t="s">
        <v>24</v>
      </c>
      <c r="P267" s="81" t="s">
        <v>1001</v>
      </c>
      <c r="Q267" s="309"/>
      <c r="R267" s="312" t="s">
        <v>24</v>
      </c>
      <c r="S267" s="106" t="s">
        <v>24</v>
      </c>
      <c r="T267" s="106" t="s">
        <v>24</v>
      </c>
      <c r="U267" s="106" t="s">
        <v>329</v>
      </c>
      <c r="V267" s="251" t="s">
        <v>1246</v>
      </c>
      <c r="W267" s="377"/>
      <c r="X267" s="85"/>
      <c r="Y267" s="85"/>
      <c r="Z267" s="85"/>
      <c r="AA267" s="85"/>
      <c r="AB267" s="85"/>
      <c r="AC267" s="85"/>
    </row>
    <row r="268" spans="1:29" s="54" customFormat="1" ht="409.6">
      <c r="A268" s="72" t="s">
        <v>920</v>
      </c>
      <c r="B268" s="73" t="s">
        <v>820</v>
      </c>
      <c r="C268" s="388" t="s">
        <v>1225</v>
      </c>
      <c r="D268" s="389" t="s">
        <v>1247</v>
      </c>
      <c r="E268" s="87" t="s">
        <v>325</v>
      </c>
      <c r="F268" s="316" t="s">
        <v>477</v>
      </c>
      <c r="G268" s="62" t="s">
        <v>1248</v>
      </c>
      <c r="H268" s="404" t="s">
        <v>1249</v>
      </c>
      <c r="I268" s="225" t="s">
        <v>24</v>
      </c>
      <c r="J268" s="225" t="s">
        <v>24</v>
      </c>
      <c r="K268" s="248" t="s">
        <v>24</v>
      </c>
      <c r="L268" s="248" t="s">
        <v>483</v>
      </c>
      <c r="M268" s="401" t="s">
        <v>24</v>
      </c>
      <c r="N268" s="39" t="s">
        <v>24</v>
      </c>
      <c r="O268" s="39" t="s">
        <v>24</v>
      </c>
      <c r="P268" s="389" t="s">
        <v>1001</v>
      </c>
      <c r="Q268" s="402"/>
      <c r="R268" s="403" t="s">
        <v>25</v>
      </c>
      <c r="S268" s="43" t="s">
        <v>25</v>
      </c>
      <c r="T268" s="43" t="s">
        <v>25</v>
      </c>
      <c r="U268" s="76" t="s">
        <v>329</v>
      </c>
      <c r="V268" s="416" t="s">
        <v>1250</v>
      </c>
      <c r="W268" s="413" t="s">
        <v>1251</v>
      </c>
      <c r="X268" s="73"/>
      <c r="Y268" s="73"/>
      <c r="Z268" s="73"/>
      <c r="AA268" s="73" t="s">
        <v>377</v>
      </c>
      <c r="AB268" s="73"/>
      <c r="AC268" s="73"/>
    </row>
    <row r="269" spans="1:29" ht="409.6">
      <c r="A269" s="85" t="s">
        <v>920</v>
      </c>
      <c r="B269" s="87" t="s">
        <v>820</v>
      </c>
      <c r="C269" s="80" t="s">
        <v>1225</v>
      </c>
      <c r="D269" s="81" t="s">
        <v>1252</v>
      </c>
      <c r="E269" s="87" t="s">
        <v>325</v>
      </c>
      <c r="F269" s="316" t="s">
        <v>477</v>
      </c>
      <c r="G269" s="246" t="s">
        <v>1253</v>
      </c>
      <c r="H269" s="317" t="s">
        <v>1254</v>
      </c>
      <c r="I269" s="225" t="s">
        <v>28</v>
      </c>
      <c r="J269" s="225" t="s">
        <v>28</v>
      </c>
      <c r="K269" s="248" t="s">
        <v>28</v>
      </c>
      <c r="L269" s="248" t="s">
        <v>483</v>
      </c>
      <c r="M269" s="283" t="s">
        <v>24</v>
      </c>
      <c r="N269" s="106" t="s">
        <v>24</v>
      </c>
      <c r="O269" s="106" t="s">
        <v>24</v>
      </c>
      <c r="P269" s="81" t="s">
        <v>1001</v>
      </c>
      <c r="Q269" s="309"/>
      <c r="R269" s="267" t="s">
        <v>24</v>
      </c>
      <c r="S269" s="107" t="s">
        <v>24</v>
      </c>
      <c r="T269" s="107" t="s">
        <v>24</v>
      </c>
      <c r="U269" s="225" t="s">
        <v>329</v>
      </c>
      <c r="V269" s="296" t="s">
        <v>1255</v>
      </c>
      <c r="W269" s="377"/>
      <c r="X269" s="85"/>
      <c r="Y269" s="85"/>
      <c r="Z269" s="85"/>
      <c r="AA269" s="85"/>
      <c r="AB269" s="85"/>
      <c r="AC269" s="85"/>
    </row>
    <row r="270" spans="1:29" ht="315.75">
      <c r="A270" s="85" t="s">
        <v>920</v>
      </c>
      <c r="B270" s="87" t="s">
        <v>820</v>
      </c>
      <c r="C270" s="80" t="s">
        <v>1225</v>
      </c>
      <c r="D270" s="81" t="s">
        <v>1256</v>
      </c>
      <c r="E270" s="87" t="s">
        <v>325</v>
      </c>
      <c r="F270" s="316" t="s">
        <v>477</v>
      </c>
      <c r="G270" s="246" t="s">
        <v>1257</v>
      </c>
      <c r="H270" s="317" t="s">
        <v>1258</v>
      </c>
      <c r="I270" s="225" t="s">
        <v>28</v>
      </c>
      <c r="J270" s="225" t="s">
        <v>28</v>
      </c>
      <c r="K270" s="248" t="s">
        <v>28</v>
      </c>
      <c r="L270" s="248" t="s">
        <v>483</v>
      </c>
      <c r="M270" s="283" t="s">
        <v>24</v>
      </c>
      <c r="N270" s="106" t="s">
        <v>24</v>
      </c>
      <c r="O270" s="106" t="s">
        <v>24</v>
      </c>
      <c r="P270" s="81" t="s">
        <v>1001</v>
      </c>
      <c r="Q270" s="309"/>
      <c r="R270" s="267" t="s">
        <v>24</v>
      </c>
      <c r="S270" s="107" t="s">
        <v>24</v>
      </c>
      <c r="T270" s="107" t="s">
        <v>24</v>
      </c>
      <c r="U270" s="225" t="s">
        <v>329</v>
      </c>
      <c r="V270" s="296" t="s">
        <v>1259</v>
      </c>
      <c r="W270" s="377"/>
      <c r="X270" s="85"/>
      <c r="Y270" s="85"/>
      <c r="Z270" s="85"/>
      <c r="AA270" s="85"/>
      <c r="AB270" s="85"/>
      <c r="AC270" s="85"/>
    </row>
    <row r="271" spans="1:29" ht="302.25">
      <c r="A271" s="85" t="s">
        <v>920</v>
      </c>
      <c r="B271" s="87" t="s">
        <v>820</v>
      </c>
      <c r="C271" s="80" t="s">
        <v>1225</v>
      </c>
      <c r="D271" s="81" t="s">
        <v>1260</v>
      </c>
      <c r="E271" s="87" t="s">
        <v>325</v>
      </c>
      <c r="F271" s="316" t="s">
        <v>477</v>
      </c>
      <c r="G271" s="246" t="s">
        <v>1261</v>
      </c>
      <c r="H271" s="326" t="s">
        <v>1262</v>
      </c>
      <c r="I271" s="225" t="s">
        <v>24</v>
      </c>
      <c r="J271" s="225" t="s">
        <v>24</v>
      </c>
      <c r="K271" s="248" t="s">
        <v>24</v>
      </c>
      <c r="L271" s="248" t="s">
        <v>483</v>
      </c>
      <c r="M271" s="283" t="s">
        <v>24</v>
      </c>
      <c r="N271" s="106" t="s">
        <v>24</v>
      </c>
      <c r="O271" s="106" t="s">
        <v>24</v>
      </c>
      <c r="P271" s="81" t="s">
        <v>1001</v>
      </c>
      <c r="Q271" s="309"/>
      <c r="R271" s="312" t="s">
        <v>24</v>
      </c>
      <c r="S271" s="312" t="s">
        <v>24</v>
      </c>
      <c r="T271" s="107" t="s">
        <v>24</v>
      </c>
      <c r="U271" s="225" t="s">
        <v>329</v>
      </c>
      <c r="V271" s="289" t="s">
        <v>1263</v>
      </c>
      <c r="W271" s="377"/>
      <c r="X271" s="85"/>
      <c r="Y271" s="85"/>
      <c r="Z271" s="85"/>
      <c r="AA271" s="85"/>
      <c r="AB271" s="85"/>
      <c r="AC271" s="85"/>
    </row>
    <row r="272" spans="1:29" ht="409.6">
      <c r="A272" s="85" t="s">
        <v>920</v>
      </c>
      <c r="B272" s="87" t="s">
        <v>820</v>
      </c>
      <c r="C272" s="80" t="s">
        <v>1225</v>
      </c>
      <c r="D272" s="81" t="s">
        <v>1264</v>
      </c>
      <c r="E272" s="87" t="s">
        <v>325</v>
      </c>
      <c r="F272" s="316" t="s">
        <v>477</v>
      </c>
      <c r="G272" s="246" t="s">
        <v>1265</v>
      </c>
      <c r="H272" s="327" t="s">
        <v>1266</v>
      </c>
      <c r="I272" s="245" t="s">
        <v>337</v>
      </c>
      <c r="J272" s="245" t="s">
        <v>337</v>
      </c>
      <c r="K272" s="245" t="s">
        <v>337</v>
      </c>
      <c r="L272" s="248" t="s">
        <v>483</v>
      </c>
      <c r="M272" s="283" t="s">
        <v>24</v>
      </c>
      <c r="N272" s="106" t="s">
        <v>24</v>
      </c>
      <c r="O272" s="106" t="s">
        <v>24</v>
      </c>
      <c r="P272" s="106"/>
      <c r="Q272" s="309"/>
      <c r="R272" s="267" t="s">
        <v>24</v>
      </c>
      <c r="S272" s="107" t="s">
        <v>24</v>
      </c>
      <c r="T272" s="107" t="s">
        <v>24</v>
      </c>
      <c r="U272" s="225" t="s">
        <v>329</v>
      </c>
      <c r="V272" s="328" t="s">
        <v>1267</v>
      </c>
      <c r="W272" s="377"/>
      <c r="X272" s="85"/>
      <c r="Y272" s="85"/>
      <c r="Z272" s="85"/>
      <c r="AA272" s="85"/>
      <c r="AB272" s="85"/>
      <c r="AC272" s="85"/>
    </row>
    <row r="273" spans="1:29" ht="409.6">
      <c r="A273" s="85" t="s">
        <v>920</v>
      </c>
      <c r="B273" s="87" t="s">
        <v>820</v>
      </c>
      <c r="C273" s="80" t="s">
        <v>1225</v>
      </c>
      <c r="D273" s="81" t="s">
        <v>1268</v>
      </c>
      <c r="E273" s="87" t="s">
        <v>325</v>
      </c>
      <c r="F273" s="316" t="s">
        <v>477</v>
      </c>
      <c r="G273" s="325" t="s">
        <v>1269</v>
      </c>
      <c r="H273" s="326" t="s">
        <v>1270</v>
      </c>
      <c r="I273" s="225" t="s">
        <v>24</v>
      </c>
      <c r="J273" s="225" t="s">
        <v>24</v>
      </c>
      <c r="K273" s="248" t="s">
        <v>24</v>
      </c>
      <c r="L273" s="248" t="s">
        <v>483</v>
      </c>
      <c r="M273" s="283" t="s">
        <v>24</v>
      </c>
      <c r="N273" s="106" t="s">
        <v>24</v>
      </c>
      <c r="O273" s="106" t="s">
        <v>24</v>
      </c>
      <c r="P273" s="106"/>
      <c r="Q273" s="309"/>
      <c r="R273" s="312" t="s">
        <v>24</v>
      </c>
      <c r="S273" s="106" t="s">
        <v>24</v>
      </c>
      <c r="T273" s="106" t="s">
        <v>24</v>
      </c>
      <c r="U273" s="225" t="s">
        <v>483</v>
      </c>
      <c r="V273" s="251"/>
      <c r="W273" s="377"/>
      <c r="X273" s="85"/>
      <c r="Y273" s="85"/>
      <c r="Z273" s="85"/>
      <c r="AA273" s="85"/>
      <c r="AB273" s="85"/>
      <c r="AC273" s="85"/>
    </row>
    <row r="274" spans="1:29" ht="92.25" customHeight="1">
      <c r="A274" s="85" t="s">
        <v>920</v>
      </c>
      <c r="B274" s="87" t="s">
        <v>820</v>
      </c>
      <c r="C274" s="80" t="s">
        <v>1225</v>
      </c>
      <c r="D274" s="81" t="s">
        <v>1271</v>
      </c>
      <c r="E274" s="87" t="s">
        <v>325</v>
      </c>
      <c r="F274" s="316" t="s">
        <v>477</v>
      </c>
      <c r="G274" s="325" t="s">
        <v>1269</v>
      </c>
      <c r="H274" s="326" t="s">
        <v>1272</v>
      </c>
      <c r="I274" s="225" t="s">
        <v>24</v>
      </c>
      <c r="J274" s="225" t="s">
        <v>24</v>
      </c>
      <c r="K274" s="248" t="s">
        <v>24</v>
      </c>
      <c r="L274" s="248" t="s">
        <v>483</v>
      </c>
      <c r="M274" s="283" t="s">
        <v>24</v>
      </c>
      <c r="N274" s="106" t="s">
        <v>24</v>
      </c>
      <c r="O274" s="106" t="s">
        <v>24</v>
      </c>
      <c r="P274" s="106"/>
      <c r="Q274" s="309"/>
      <c r="R274" s="312" t="s">
        <v>24</v>
      </c>
      <c r="S274" s="106" t="s">
        <v>24</v>
      </c>
      <c r="T274" s="106" t="s">
        <v>24</v>
      </c>
      <c r="U274" s="225" t="s">
        <v>483</v>
      </c>
      <c r="V274" s="251"/>
      <c r="W274" s="377"/>
      <c r="X274" s="85"/>
      <c r="Y274" s="85"/>
      <c r="Z274" s="85"/>
      <c r="AA274" s="85"/>
      <c r="AB274" s="85"/>
      <c r="AC274" s="85"/>
    </row>
    <row r="275" spans="1:29" ht="409.6">
      <c r="A275" s="85" t="s">
        <v>920</v>
      </c>
      <c r="B275" s="87" t="s">
        <v>820</v>
      </c>
      <c r="C275" s="80" t="s">
        <v>1225</v>
      </c>
      <c r="D275" s="81" t="s">
        <v>1273</v>
      </c>
      <c r="E275" s="87" t="s">
        <v>325</v>
      </c>
      <c r="F275" s="316" t="s">
        <v>477</v>
      </c>
      <c r="G275" s="171" t="s">
        <v>1274</v>
      </c>
      <c r="H275" s="329" t="s">
        <v>1275</v>
      </c>
      <c r="I275" s="271" t="s">
        <v>337</v>
      </c>
      <c r="J275" s="271" t="s">
        <v>337</v>
      </c>
      <c r="K275" s="293" t="s">
        <v>337</v>
      </c>
      <c r="L275" s="248" t="s">
        <v>483</v>
      </c>
      <c r="M275" s="283" t="s">
        <v>24</v>
      </c>
      <c r="N275" s="106" t="s">
        <v>24</v>
      </c>
      <c r="O275" s="106" t="s">
        <v>24</v>
      </c>
      <c r="P275" s="106"/>
      <c r="Q275" s="309"/>
      <c r="R275" s="312" t="s">
        <v>24</v>
      </c>
      <c r="S275" s="106" t="s">
        <v>24</v>
      </c>
      <c r="T275" s="106" t="s">
        <v>24</v>
      </c>
      <c r="U275" s="225" t="s">
        <v>329</v>
      </c>
      <c r="V275" s="313" t="s">
        <v>1276</v>
      </c>
      <c r="W275" s="377"/>
      <c r="X275" s="85"/>
      <c r="Y275" s="85"/>
      <c r="Z275" s="85"/>
      <c r="AA275" s="85"/>
      <c r="AB275" s="85"/>
      <c r="AC275" s="85"/>
    </row>
    <row r="276" spans="1:29" ht="165" customHeight="1">
      <c r="A276" s="85" t="s">
        <v>920</v>
      </c>
      <c r="B276" s="87" t="s">
        <v>820</v>
      </c>
      <c r="C276" s="80" t="s">
        <v>1225</v>
      </c>
      <c r="D276" s="81" t="s">
        <v>1277</v>
      </c>
      <c r="E276" s="87" t="s">
        <v>325</v>
      </c>
      <c r="F276" s="316" t="s">
        <v>477</v>
      </c>
      <c r="G276" s="171" t="s">
        <v>1274</v>
      </c>
      <c r="H276" s="329" t="s">
        <v>1275</v>
      </c>
      <c r="I276" s="271" t="s">
        <v>337</v>
      </c>
      <c r="J276" s="271" t="s">
        <v>337</v>
      </c>
      <c r="K276" s="293" t="s">
        <v>337</v>
      </c>
      <c r="L276" s="248" t="s">
        <v>483</v>
      </c>
      <c r="M276" s="283" t="s">
        <v>24</v>
      </c>
      <c r="N276" s="106" t="s">
        <v>24</v>
      </c>
      <c r="O276" s="106" t="s">
        <v>24</v>
      </c>
      <c r="P276" s="106"/>
      <c r="Q276" s="309"/>
      <c r="R276" s="312" t="s">
        <v>24</v>
      </c>
      <c r="S276" s="106" t="s">
        <v>24</v>
      </c>
      <c r="T276" s="106" t="s">
        <v>24</v>
      </c>
      <c r="U276" s="225" t="s">
        <v>329</v>
      </c>
      <c r="V276" s="313" t="s">
        <v>1278</v>
      </c>
      <c r="W276" s="377"/>
      <c r="X276" s="85"/>
      <c r="Y276" s="85"/>
      <c r="Z276" s="85"/>
      <c r="AA276" s="85"/>
      <c r="AB276" s="85"/>
      <c r="AC276" s="85"/>
    </row>
    <row r="277" spans="1:29" ht="409.6" customHeight="1">
      <c r="A277" s="85" t="s">
        <v>920</v>
      </c>
      <c r="B277" s="87" t="s">
        <v>921</v>
      </c>
      <c r="C277" s="80" t="s">
        <v>1279</v>
      </c>
      <c r="D277" s="81" t="s">
        <v>1280</v>
      </c>
      <c r="E277" s="87" t="s">
        <v>325</v>
      </c>
      <c r="F277" s="87" t="s">
        <v>326</v>
      </c>
      <c r="G277" s="420" t="s">
        <v>1281</v>
      </c>
      <c r="H277" s="425" t="s">
        <v>1282</v>
      </c>
      <c r="I277" s="225" t="s">
        <v>24</v>
      </c>
      <c r="J277" s="225" t="s">
        <v>24</v>
      </c>
      <c r="K277" s="225" t="s">
        <v>24</v>
      </c>
      <c r="L277" s="248" t="s">
        <v>483</v>
      </c>
      <c r="M277" s="283" t="s">
        <v>24</v>
      </c>
      <c r="N277" s="106" t="s">
        <v>24</v>
      </c>
      <c r="O277" s="106" t="s">
        <v>24</v>
      </c>
      <c r="P277" s="106"/>
      <c r="Q277" s="309"/>
      <c r="R277" s="312" t="s">
        <v>24</v>
      </c>
      <c r="S277" s="106" t="s">
        <v>24</v>
      </c>
      <c r="T277" s="106" t="s">
        <v>24</v>
      </c>
      <c r="U277" s="225" t="s">
        <v>483</v>
      </c>
      <c r="V277" s="251"/>
      <c r="W277" s="377"/>
      <c r="X277" s="85"/>
      <c r="Y277" s="85"/>
      <c r="Z277" s="85"/>
      <c r="AA277" s="85"/>
      <c r="AB277" s="85"/>
      <c r="AC277" s="85"/>
    </row>
    <row r="278" spans="1:29" ht="14.25">
      <c r="A278" s="85" t="s">
        <v>920</v>
      </c>
      <c r="B278" s="87" t="s">
        <v>921</v>
      </c>
      <c r="C278" s="80" t="s">
        <v>1279</v>
      </c>
      <c r="D278" s="81" t="s">
        <v>1283</v>
      </c>
      <c r="E278" s="87" t="s">
        <v>325</v>
      </c>
      <c r="F278" s="87" t="s">
        <v>326</v>
      </c>
      <c r="G278" s="420"/>
      <c r="H278" s="425"/>
      <c r="I278" s="225" t="s">
        <v>24</v>
      </c>
      <c r="J278" s="225" t="s">
        <v>24</v>
      </c>
      <c r="K278" s="225" t="s">
        <v>24</v>
      </c>
      <c r="L278" s="248" t="s">
        <v>483</v>
      </c>
      <c r="M278" s="283" t="s">
        <v>24</v>
      </c>
      <c r="N278" s="106" t="s">
        <v>24</v>
      </c>
      <c r="O278" s="106" t="s">
        <v>24</v>
      </c>
      <c r="P278" s="106"/>
      <c r="Q278" s="309"/>
      <c r="R278" s="312" t="s">
        <v>24</v>
      </c>
      <c r="S278" s="106" t="s">
        <v>24</v>
      </c>
      <c r="T278" s="106" t="s">
        <v>24</v>
      </c>
      <c r="U278" s="225" t="s">
        <v>483</v>
      </c>
      <c r="V278" s="251"/>
      <c r="W278" s="377"/>
      <c r="X278" s="85"/>
      <c r="Y278" s="85"/>
      <c r="Z278" s="85"/>
      <c r="AA278" s="85"/>
      <c r="AB278" s="85"/>
      <c r="AC278" s="85"/>
    </row>
    <row r="279" spans="1:29" ht="14.25">
      <c r="A279" s="85" t="s">
        <v>920</v>
      </c>
      <c r="B279" s="87" t="s">
        <v>921</v>
      </c>
      <c r="C279" s="80" t="s">
        <v>1279</v>
      </c>
      <c r="D279" s="81" t="s">
        <v>1284</v>
      </c>
      <c r="E279" s="87" t="s">
        <v>325</v>
      </c>
      <c r="F279" s="87" t="s">
        <v>326</v>
      </c>
      <c r="G279" s="420"/>
      <c r="H279" s="425"/>
      <c r="I279" s="225" t="s">
        <v>24</v>
      </c>
      <c r="J279" s="225" t="s">
        <v>24</v>
      </c>
      <c r="K279" s="225" t="s">
        <v>24</v>
      </c>
      <c r="L279" s="248" t="s">
        <v>483</v>
      </c>
      <c r="M279" s="283" t="s">
        <v>24</v>
      </c>
      <c r="N279" s="106" t="s">
        <v>24</v>
      </c>
      <c r="O279" s="106" t="s">
        <v>24</v>
      </c>
      <c r="P279" s="106"/>
      <c r="Q279" s="309"/>
      <c r="R279" s="312" t="s">
        <v>24</v>
      </c>
      <c r="S279" s="106" t="s">
        <v>24</v>
      </c>
      <c r="T279" s="106" t="s">
        <v>24</v>
      </c>
      <c r="U279" s="225" t="s">
        <v>483</v>
      </c>
      <c r="V279" s="251"/>
      <c r="W279" s="377"/>
      <c r="X279" s="85"/>
      <c r="Y279" s="85"/>
      <c r="Z279" s="85"/>
      <c r="AA279" s="85"/>
      <c r="AB279" s="85"/>
      <c r="AC279" s="85"/>
    </row>
    <row r="280" spans="1:29" ht="14.25">
      <c r="A280" s="85" t="s">
        <v>920</v>
      </c>
      <c r="B280" s="87" t="s">
        <v>921</v>
      </c>
      <c r="C280" s="80" t="s">
        <v>1279</v>
      </c>
      <c r="D280" s="81" t="s">
        <v>1285</v>
      </c>
      <c r="E280" s="87" t="s">
        <v>325</v>
      </c>
      <c r="F280" s="87" t="s">
        <v>326</v>
      </c>
      <c r="G280" s="420"/>
      <c r="H280" s="425"/>
      <c r="I280" s="225" t="s">
        <v>24</v>
      </c>
      <c r="J280" s="225" t="s">
        <v>24</v>
      </c>
      <c r="K280" s="225" t="s">
        <v>24</v>
      </c>
      <c r="L280" s="248" t="s">
        <v>483</v>
      </c>
      <c r="M280" s="283" t="s">
        <v>24</v>
      </c>
      <c r="N280" s="106" t="s">
        <v>24</v>
      </c>
      <c r="O280" s="106" t="s">
        <v>24</v>
      </c>
      <c r="P280" s="106"/>
      <c r="Q280" s="309"/>
      <c r="R280" s="312" t="s">
        <v>24</v>
      </c>
      <c r="S280" s="106" t="s">
        <v>24</v>
      </c>
      <c r="T280" s="106" t="s">
        <v>24</v>
      </c>
      <c r="U280" s="225" t="s">
        <v>483</v>
      </c>
      <c r="V280" s="251"/>
      <c r="W280" s="377"/>
      <c r="X280" s="85"/>
      <c r="Y280" s="85"/>
      <c r="Z280" s="85"/>
      <c r="AA280" s="85"/>
      <c r="AB280" s="85"/>
      <c r="AC280" s="85"/>
    </row>
    <row r="281" spans="1:29" ht="14.25">
      <c r="A281" s="85" t="s">
        <v>920</v>
      </c>
      <c r="B281" s="87" t="s">
        <v>921</v>
      </c>
      <c r="C281" s="80" t="s">
        <v>1279</v>
      </c>
      <c r="D281" s="86" t="s">
        <v>1286</v>
      </c>
      <c r="E281" s="87" t="s">
        <v>325</v>
      </c>
      <c r="F281" s="87" t="s">
        <v>326</v>
      </c>
      <c r="G281" s="420"/>
      <c r="H281" s="425"/>
      <c r="I281" s="225" t="s">
        <v>24</v>
      </c>
      <c r="J281" s="225" t="s">
        <v>24</v>
      </c>
      <c r="K281" s="225" t="s">
        <v>24</v>
      </c>
      <c r="L281" s="248" t="s">
        <v>483</v>
      </c>
      <c r="M281" s="283" t="s">
        <v>24</v>
      </c>
      <c r="N281" s="106" t="s">
        <v>24</v>
      </c>
      <c r="O281" s="106" t="s">
        <v>24</v>
      </c>
      <c r="P281" s="106"/>
      <c r="Q281" s="309"/>
      <c r="R281" s="312" t="s">
        <v>24</v>
      </c>
      <c r="S281" s="106" t="s">
        <v>24</v>
      </c>
      <c r="T281" s="106" t="s">
        <v>24</v>
      </c>
      <c r="U281" s="225" t="s">
        <v>483</v>
      </c>
      <c r="V281" s="251"/>
      <c r="W281" s="377"/>
      <c r="X281" s="85"/>
      <c r="Y281" s="85"/>
      <c r="Z281" s="85"/>
      <c r="AA281" s="85"/>
      <c r="AB281" s="85"/>
      <c r="AC281" s="85"/>
    </row>
    <row r="282" spans="1:29" ht="14.25">
      <c r="A282" s="85" t="s">
        <v>920</v>
      </c>
      <c r="B282" s="87" t="s">
        <v>921</v>
      </c>
      <c r="C282" s="80" t="s">
        <v>1279</v>
      </c>
      <c r="D282" s="81" t="s">
        <v>1287</v>
      </c>
      <c r="E282" s="87" t="s">
        <v>325</v>
      </c>
      <c r="F282" s="87" t="s">
        <v>326</v>
      </c>
      <c r="G282" s="420"/>
      <c r="H282" s="425"/>
      <c r="I282" s="225" t="s">
        <v>24</v>
      </c>
      <c r="J282" s="225" t="s">
        <v>24</v>
      </c>
      <c r="K282" s="225" t="s">
        <v>24</v>
      </c>
      <c r="L282" s="248" t="s">
        <v>483</v>
      </c>
      <c r="M282" s="283" t="s">
        <v>24</v>
      </c>
      <c r="N282" s="106" t="s">
        <v>24</v>
      </c>
      <c r="O282" s="106" t="s">
        <v>24</v>
      </c>
      <c r="P282" s="106"/>
      <c r="Q282" s="309"/>
      <c r="R282" s="312" t="s">
        <v>24</v>
      </c>
      <c r="S282" s="106" t="s">
        <v>24</v>
      </c>
      <c r="T282" s="106" t="s">
        <v>24</v>
      </c>
      <c r="U282" s="225" t="s">
        <v>483</v>
      </c>
      <c r="V282" s="251"/>
      <c r="W282" s="377"/>
      <c r="X282" s="85"/>
      <c r="Y282" s="85"/>
      <c r="Z282" s="85"/>
      <c r="AA282" s="85"/>
      <c r="AB282" s="85"/>
      <c r="AC282" s="85"/>
    </row>
    <row r="283" spans="1:29" ht="14.25">
      <c r="A283" s="85" t="s">
        <v>920</v>
      </c>
      <c r="B283" s="87" t="s">
        <v>921</v>
      </c>
      <c r="C283" s="80" t="s">
        <v>1279</v>
      </c>
      <c r="D283" s="81" t="s">
        <v>1288</v>
      </c>
      <c r="E283" s="87" t="s">
        <v>325</v>
      </c>
      <c r="F283" s="87" t="s">
        <v>326</v>
      </c>
      <c r="G283" s="420"/>
      <c r="H283" s="425"/>
      <c r="I283" s="225" t="s">
        <v>24</v>
      </c>
      <c r="J283" s="225" t="s">
        <v>24</v>
      </c>
      <c r="K283" s="225" t="s">
        <v>24</v>
      </c>
      <c r="L283" s="248" t="s">
        <v>483</v>
      </c>
      <c r="M283" s="283" t="s">
        <v>24</v>
      </c>
      <c r="N283" s="106" t="s">
        <v>24</v>
      </c>
      <c r="O283" s="106" t="s">
        <v>24</v>
      </c>
      <c r="P283" s="106"/>
      <c r="Q283" s="309"/>
      <c r="R283" s="312" t="s">
        <v>24</v>
      </c>
      <c r="S283" s="106" t="s">
        <v>24</v>
      </c>
      <c r="T283" s="106" t="s">
        <v>24</v>
      </c>
      <c r="U283" s="225" t="s">
        <v>483</v>
      </c>
      <c r="V283" s="251"/>
      <c r="W283" s="377"/>
      <c r="X283" s="85"/>
      <c r="Y283" s="85"/>
      <c r="Z283" s="85"/>
      <c r="AA283" s="85"/>
      <c r="AB283" s="85"/>
      <c r="AC283" s="85"/>
    </row>
    <row r="284" spans="1:29" ht="14.25">
      <c r="A284" s="85" t="s">
        <v>920</v>
      </c>
      <c r="B284" s="87" t="s">
        <v>921</v>
      </c>
      <c r="C284" s="80" t="s">
        <v>1279</v>
      </c>
      <c r="D284" s="81" t="s">
        <v>1289</v>
      </c>
      <c r="E284" s="87" t="s">
        <v>325</v>
      </c>
      <c r="F284" s="87" t="s">
        <v>326</v>
      </c>
      <c r="G284" s="420"/>
      <c r="H284" s="425"/>
      <c r="I284" s="225" t="s">
        <v>24</v>
      </c>
      <c r="J284" s="225" t="s">
        <v>24</v>
      </c>
      <c r="K284" s="225" t="s">
        <v>24</v>
      </c>
      <c r="L284" s="248" t="s">
        <v>483</v>
      </c>
      <c r="M284" s="283" t="s">
        <v>24</v>
      </c>
      <c r="N284" s="106" t="s">
        <v>24</v>
      </c>
      <c r="O284" s="106" t="s">
        <v>24</v>
      </c>
      <c r="P284" s="106"/>
      <c r="Q284" s="309"/>
      <c r="R284" s="312" t="s">
        <v>24</v>
      </c>
      <c r="S284" s="106" t="s">
        <v>24</v>
      </c>
      <c r="T284" s="106" t="s">
        <v>24</v>
      </c>
      <c r="U284" s="225" t="s">
        <v>483</v>
      </c>
      <c r="V284" s="251"/>
      <c r="W284" s="377"/>
      <c r="X284" s="85"/>
      <c r="Y284" s="85"/>
      <c r="Z284" s="85"/>
      <c r="AA284" s="85"/>
      <c r="AB284" s="85"/>
      <c r="AC284" s="85"/>
    </row>
    <row r="285" spans="1:29" ht="24.75">
      <c r="A285" s="85" t="s">
        <v>920</v>
      </c>
      <c r="B285" s="87" t="s">
        <v>921</v>
      </c>
      <c r="C285" s="80" t="s">
        <v>1279</v>
      </c>
      <c r="D285" s="86" t="s">
        <v>1290</v>
      </c>
      <c r="E285" s="87" t="s">
        <v>325</v>
      </c>
      <c r="F285" s="87" t="s">
        <v>326</v>
      </c>
      <c r="G285" s="420"/>
      <c r="H285" s="425"/>
      <c r="I285" s="225" t="s">
        <v>24</v>
      </c>
      <c r="J285" s="225" t="s">
        <v>24</v>
      </c>
      <c r="K285" s="225" t="s">
        <v>24</v>
      </c>
      <c r="L285" s="248" t="s">
        <v>483</v>
      </c>
      <c r="M285" s="283" t="s">
        <v>24</v>
      </c>
      <c r="N285" s="106" t="s">
        <v>24</v>
      </c>
      <c r="O285" s="106" t="s">
        <v>24</v>
      </c>
      <c r="P285" s="106"/>
      <c r="Q285" s="309"/>
      <c r="R285" s="312" t="s">
        <v>24</v>
      </c>
      <c r="S285" s="106" t="s">
        <v>24</v>
      </c>
      <c r="T285" s="106" t="s">
        <v>24</v>
      </c>
      <c r="U285" s="225" t="s">
        <v>483</v>
      </c>
      <c r="V285" s="251"/>
      <c r="W285" s="377"/>
      <c r="X285" s="85"/>
      <c r="Y285" s="85"/>
      <c r="Z285" s="85"/>
      <c r="AA285" s="85"/>
      <c r="AB285" s="85"/>
      <c r="AC285" s="85"/>
    </row>
    <row r="286" spans="1:29" ht="14.25">
      <c r="A286" s="85" t="s">
        <v>920</v>
      </c>
      <c r="B286" s="87" t="s">
        <v>921</v>
      </c>
      <c r="C286" s="80" t="s">
        <v>1279</v>
      </c>
      <c r="D286" s="81" t="s">
        <v>1291</v>
      </c>
      <c r="E286" s="87" t="s">
        <v>325</v>
      </c>
      <c r="F286" s="87" t="s">
        <v>326</v>
      </c>
      <c r="G286" s="420"/>
      <c r="H286" s="425"/>
      <c r="I286" s="225" t="s">
        <v>24</v>
      </c>
      <c r="J286" s="225" t="s">
        <v>24</v>
      </c>
      <c r="K286" s="225" t="s">
        <v>24</v>
      </c>
      <c r="L286" s="248" t="s">
        <v>483</v>
      </c>
      <c r="M286" s="283" t="s">
        <v>24</v>
      </c>
      <c r="N286" s="106" t="s">
        <v>24</v>
      </c>
      <c r="O286" s="106" t="s">
        <v>24</v>
      </c>
      <c r="P286" s="106"/>
      <c r="Q286" s="309"/>
      <c r="R286" s="312" t="s">
        <v>24</v>
      </c>
      <c r="S286" s="106" t="s">
        <v>24</v>
      </c>
      <c r="T286" s="106" t="s">
        <v>24</v>
      </c>
      <c r="U286" s="225" t="s">
        <v>483</v>
      </c>
      <c r="V286" s="251"/>
      <c r="W286" s="377"/>
      <c r="X286" s="85"/>
      <c r="Y286" s="85"/>
      <c r="Z286" s="85"/>
      <c r="AA286" s="85"/>
      <c r="AB286" s="85"/>
      <c r="AC286" s="85"/>
    </row>
    <row r="287" spans="1:29" ht="150.75">
      <c r="A287" s="85" t="s">
        <v>920</v>
      </c>
      <c r="B287" s="87" t="s">
        <v>921</v>
      </c>
      <c r="C287" s="80" t="s">
        <v>1279</v>
      </c>
      <c r="D287" s="81" t="s">
        <v>1292</v>
      </c>
      <c r="E287" s="87" t="s">
        <v>325</v>
      </c>
      <c r="F287" s="87" t="s">
        <v>326</v>
      </c>
      <c r="G287" s="420"/>
      <c r="H287" s="425"/>
      <c r="I287" s="225" t="s">
        <v>24</v>
      </c>
      <c r="J287" s="225" t="s">
        <v>24</v>
      </c>
      <c r="K287" s="257" t="s">
        <v>337</v>
      </c>
      <c r="L287" s="248" t="s">
        <v>483</v>
      </c>
      <c r="M287" s="262" t="s">
        <v>24</v>
      </c>
      <c r="N287" s="262" t="s">
        <v>24</v>
      </c>
      <c r="O287" s="262" t="s">
        <v>1293</v>
      </c>
      <c r="P287" s="258" t="s">
        <v>1294</v>
      </c>
      <c r="Q287" s="309"/>
      <c r="R287" s="312" t="s">
        <v>24</v>
      </c>
      <c r="S287" s="106" t="s">
        <v>24</v>
      </c>
      <c r="T287" s="106" t="s">
        <v>24</v>
      </c>
      <c r="U287" s="225" t="s">
        <v>329</v>
      </c>
      <c r="V287" s="251" t="s">
        <v>1295</v>
      </c>
      <c r="W287" s="377"/>
      <c r="X287" s="85"/>
      <c r="Y287" s="85"/>
      <c r="Z287" s="85"/>
      <c r="AA287" s="85"/>
      <c r="AB287" s="85"/>
      <c r="AC287" s="85"/>
    </row>
    <row r="288" spans="1:29" ht="150.75">
      <c r="A288" s="85" t="s">
        <v>920</v>
      </c>
      <c r="B288" s="87" t="s">
        <v>921</v>
      </c>
      <c r="C288" s="80" t="s">
        <v>1279</v>
      </c>
      <c r="D288" s="81" t="s">
        <v>1296</v>
      </c>
      <c r="E288" s="87" t="s">
        <v>325</v>
      </c>
      <c r="F288" s="87" t="s">
        <v>326</v>
      </c>
      <c r="G288" s="420"/>
      <c r="H288" s="425"/>
      <c r="I288" s="225" t="s">
        <v>24</v>
      </c>
      <c r="J288" s="225" t="s">
        <v>24</v>
      </c>
      <c r="K288" s="225" t="s">
        <v>24</v>
      </c>
      <c r="L288" s="248" t="s">
        <v>483</v>
      </c>
      <c r="M288" s="283" t="s">
        <v>24</v>
      </c>
      <c r="N288" s="106" t="s">
        <v>24</v>
      </c>
      <c r="O288" s="106" t="s">
        <v>24</v>
      </c>
      <c r="P288" s="106"/>
      <c r="Q288" s="309"/>
      <c r="R288" s="312" t="s">
        <v>24</v>
      </c>
      <c r="S288" s="106" t="s">
        <v>24</v>
      </c>
      <c r="T288" s="106" t="s">
        <v>24</v>
      </c>
      <c r="U288" s="225" t="s">
        <v>483</v>
      </c>
      <c r="V288" s="251"/>
      <c r="W288" s="377"/>
      <c r="X288" s="85"/>
      <c r="Y288" s="85"/>
      <c r="Z288" s="85"/>
      <c r="AA288" s="85"/>
      <c r="AB288" s="85"/>
      <c r="AC288" s="85"/>
    </row>
    <row r="289" spans="1:29" ht="14.25">
      <c r="A289" s="85" t="s">
        <v>920</v>
      </c>
      <c r="B289" s="87" t="s">
        <v>921</v>
      </c>
      <c r="C289" s="80" t="s">
        <v>1279</v>
      </c>
      <c r="D289" s="81" t="s">
        <v>1297</v>
      </c>
      <c r="E289" s="87" t="s">
        <v>325</v>
      </c>
      <c r="F289" s="87" t="s">
        <v>326</v>
      </c>
      <c r="G289" s="420"/>
      <c r="H289" s="425"/>
      <c r="I289" s="225" t="s">
        <v>24</v>
      </c>
      <c r="J289" s="225" t="s">
        <v>24</v>
      </c>
      <c r="K289" s="225" t="s">
        <v>24</v>
      </c>
      <c r="L289" s="248" t="s">
        <v>483</v>
      </c>
      <c r="M289" s="283" t="s">
        <v>24</v>
      </c>
      <c r="N289" s="106" t="s">
        <v>24</v>
      </c>
      <c r="O289" s="106" t="s">
        <v>24</v>
      </c>
      <c r="P289" s="106"/>
      <c r="Q289" s="309"/>
      <c r="R289" s="312" t="s">
        <v>24</v>
      </c>
      <c r="S289" s="106" t="s">
        <v>24</v>
      </c>
      <c r="T289" s="106" t="s">
        <v>24</v>
      </c>
      <c r="U289" s="225" t="s">
        <v>483</v>
      </c>
      <c r="V289" s="251"/>
      <c r="W289" s="377"/>
      <c r="X289" s="85"/>
      <c r="Y289" s="85"/>
      <c r="Z289" s="85"/>
      <c r="AA289" s="85"/>
      <c r="AB289" s="85"/>
      <c r="AC289" s="85"/>
    </row>
    <row r="290" spans="1:29" ht="14.25">
      <c r="A290" s="85" t="s">
        <v>920</v>
      </c>
      <c r="B290" s="87" t="s">
        <v>921</v>
      </c>
      <c r="C290" s="80" t="s">
        <v>1279</v>
      </c>
      <c r="D290" s="81" t="s">
        <v>1298</v>
      </c>
      <c r="E290" s="87" t="s">
        <v>325</v>
      </c>
      <c r="F290" s="87" t="s">
        <v>326</v>
      </c>
      <c r="G290" s="420"/>
      <c r="H290" s="425"/>
      <c r="I290" s="225" t="s">
        <v>24</v>
      </c>
      <c r="J290" s="225" t="s">
        <v>24</v>
      </c>
      <c r="K290" s="225" t="s">
        <v>24</v>
      </c>
      <c r="L290" s="248" t="s">
        <v>483</v>
      </c>
      <c r="M290" s="283" t="s">
        <v>24</v>
      </c>
      <c r="N290" s="106" t="s">
        <v>24</v>
      </c>
      <c r="O290" s="106" t="s">
        <v>24</v>
      </c>
      <c r="P290" s="106"/>
      <c r="Q290" s="309"/>
      <c r="R290" s="225" t="s">
        <v>24</v>
      </c>
      <c r="S290" s="225" t="s">
        <v>24</v>
      </c>
      <c r="T290" s="225" t="s">
        <v>24</v>
      </c>
      <c r="U290" s="248" t="s">
        <v>483</v>
      </c>
      <c r="V290" s="251"/>
      <c r="W290" s="377"/>
      <c r="X290" s="85"/>
      <c r="Y290" s="85"/>
      <c r="Z290" s="85"/>
      <c r="AA290" s="85"/>
      <c r="AB290" s="85"/>
      <c r="AC290" s="85"/>
    </row>
    <row r="291" spans="1:29" ht="27">
      <c r="A291" s="85" t="s">
        <v>1073</v>
      </c>
      <c r="B291" s="87" t="s">
        <v>350</v>
      </c>
      <c r="C291" s="80" t="s">
        <v>1299</v>
      </c>
      <c r="D291" s="86" t="s">
        <v>1300</v>
      </c>
      <c r="E291" s="245" t="s">
        <v>27</v>
      </c>
      <c r="F291" s="87" t="s">
        <v>317</v>
      </c>
      <c r="G291" s="259"/>
      <c r="H291" s="256"/>
      <c r="I291" s="247" t="s">
        <v>317</v>
      </c>
      <c r="J291" s="247" t="s">
        <v>317</v>
      </c>
      <c r="K291" s="247" t="s">
        <v>317</v>
      </c>
      <c r="L291" s="248"/>
      <c r="M291" s="262" t="s">
        <v>28</v>
      </c>
      <c r="N291" s="262" t="s">
        <v>28</v>
      </c>
      <c r="O291" s="262" t="s">
        <v>28</v>
      </c>
      <c r="P291" s="225"/>
      <c r="Q291" s="250"/>
      <c r="R291" s="215" t="s">
        <v>28</v>
      </c>
      <c r="S291" s="215" t="s">
        <v>28</v>
      </c>
      <c r="T291" s="215" t="s">
        <v>28</v>
      </c>
      <c r="U291" s="225"/>
      <c r="V291" s="251"/>
      <c r="W291" s="377"/>
      <c r="X291" s="85"/>
      <c r="Y291" s="85"/>
      <c r="Z291" s="85"/>
      <c r="AA291" s="85"/>
      <c r="AB291" s="85"/>
      <c r="AC291" s="85"/>
    </row>
    <row r="292" spans="1:29" ht="27">
      <c r="A292" s="85" t="s">
        <v>1073</v>
      </c>
      <c r="B292" s="87" t="s">
        <v>350</v>
      </c>
      <c r="C292" s="80" t="s">
        <v>1301</v>
      </c>
      <c r="D292" s="86" t="s">
        <v>1302</v>
      </c>
      <c r="E292" s="245" t="s">
        <v>27</v>
      </c>
      <c r="F292" s="87" t="s">
        <v>317</v>
      </c>
      <c r="G292" s="259"/>
      <c r="H292" s="256"/>
      <c r="I292" s="247" t="s">
        <v>317</v>
      </c>
      <c r="J292" s="247" t="s">
        <v>317</v>
      </c>
      <c r="K292" s="247" t="s">
        <v>317</v>
      </c>
      <c r="L292" s="248"/>
      <c r="M292" s="249"/>
      <c r="N292" s="225"/>
      <c r="O292" s="225"/>
      <c r="P292" s="225"/>
      <c r="Q292" s="250"/>
      <c r="R292" s="215" t="s">
        <v>27</v>
      </c>
      <c r="S292" s="215" t="s">
        <v>27</v>
      </c>
      <c r="T292" s="215" t="s">
        <v>27</v>
      </c>
      <c r="U292" s="225"/>
      <c r="V292" s="251"/>
      <c r="W292" s="377"/>
      <c r="X292" s="85"/>
      <c r="Y292" s="85"/>
      <c r="Z292" s="85"/>
      <c r="AA292" s="85"/>
      <c r="AB292" s="85"/>
      <c r="AC292" s="85"/>
    </row>
    <row r="293" spans="1:29" ht="27">
      <c r="A293" s="85" t="s">
        <v>1073</v>
      </c>
      <c r="B293" s="87" t="s">
        <v>350</v>
      </c>
      <c r="C293" s="80" t="s">
        <v>1303</v>
      </c>
      <c r="D293" s="86" t="s">
        <v>1304</v>
      </c>
      <c r="E293" s="245" t="s">
        <v>27</v>
      </c>
      <c r="F293" s="87" t="s">
        <v>317</v>
      </c>
      <c r="G293" s="259"/>
      <c r="H293" s="256"/>
      <c r="I293" s="247" t="s">
        <v>317</v>
      </c>
      <c r="J293" s="247" t="s">
        <v>317</v>
      </c>
      <c r="K293" s="247" t="s">
        <v>317</v>
      </c>
      <c r="L293" s="248"/>
      <c r="M293" s="249"/>
      <c r="N293" s="225"/>
      <c r="O293" s="225"/>
      <c r="P293" s="225"/>
      <c r="Q293" s="250"/>
      <c r="R293" s="215" t="s">
        <v>27</v>
      </c>
      <c r="S293" s="215" t="s">
        <v>27</v>
      </c>
      <c r="T293" s="215" t="s">
        <v>27</v>
      </c>
      <c r="U293" s="225"/>
      <c r="V293" s="251"/>
      <c r="W293" s="377"/>
      <c r="X293" s="85"/>
      <c r="Y293" s="85"/>
      <c r="Z293" s="85"/>
      <c r="AA293" s="85"/>
      <c r="AB293" s="85"/>
      <c r="AC293" s="85"/>
    </row>
    <row r="294" spans="1:29" ht="27">
      <c r="A294" s="85" t="s">
        <v>1073</v>
      </c>
      <c r="B294" s="87" t="s">
        <v>350</v>
      </c>
      <c r="C294" s="80" t="s">
        <v>1305</v>
      </c>
      <c r="D294" s="86" t="s">
        <v>1306</v>
      </c>
      <c r="E294" s="87" t="s">
        <v>325</v>
      </c>
      <c r="F294" s="87" t="s">
        <v>477</v>
      </c>
      <c r="G294" s="259"/>
      <c r="H294" s="256"/>
      <c r="I294" s="225" t="s">
        <v>28</v>
      </c>
      <c r="J294" s="225" t="s">
        <v>28</v>
      </c>
      <c r="K294" s="248" t="s">
        <v>28</v>
      </c>
      <c r="L294" s="248" t="s">
        <v>483</v>
      </c>
      <c r="M294" s="283" t="s">
        <v>28</v>
      </c>
      <c r="N294" s="106" t="s">
        <v>28</v>
      </c>
      <c r="O294" s="106" t="s">
        <v>28</v>
      </c>
      <c r="P294" s="106"/>
      <c r="Q294" s="309" t="s">
        <v>851</v>
      </c>
      <c r="R294" s="312" t="s">
        <v>28</v>
      </c>
      <c r="S294" s="106" t="s">
        <v>28</v>
      </c>
      <c r="T294" s="106" t="s">
        <v>28</v>
      </c>
      <c r="U294" s="225" t="s">
        <v>329</v>
      </c>
      <c r="V294" s="251" t="s">
        <v>1307</v>
      </c>
      <c r="W294" s="377"/>
      <c r="X294" s="85"/>
      <c r="Y294" s="85"/>
      <c r="Z294" s="85"/>
      <c r="AA294" s="85"/>
      <c r="AB294" s="85"/>
      <c r="AC294" s="85"/>
    </row>
    <row r="295" spans="1:29" ht="409.6">
      <c r="A295" s="85" t="s">
        <v>920</v>
      </c>
      <c r="B295" s="87" t="s">
        <v>921</v>
      </c>
      <c r="C295" s="80" t="s">
        <v>1308</v>
      </c>
      <c r="D295" s="81" t="s">
        <v>1309</v>
      </c>
      <c r="E295" s="87" t="s">
        <v>325</v>
      </c>
      <c r="F295" s="87" t="s">
        <v>326</v>
      </c>
      <c r="G295" s="246" t="s">
        <v>1310</v>
      </c>
      <c r="H295" s="256"/>
      <c r="I295" s="245" t="s">
        <v>337</v>
      </c>
      <c r="J295" s="245" t="s">
        <v>337</v>
      </c>
      <c r="K295" s="245" t="s">
        <v>337</v>
      </c>
      <c r="L295" s="248" t="s">
        <v>483</v>
      </c>
      <c r="M295" s="262" t="s">
        <v>24</v>
      </c>
      <c r="N295" s="262" t="s">
        <v>24</v>
      </c>
      <c r="O295" s="262" t="s">
        <v>24</v>
      </c>
      <c r="P295" s="258" t="s">
        <v>1311</v>
      </c>
      <c r="Q295" s="254" t="s">
        <v>364</v>
      </c>
      <c r="R295" s="215" t="s">
        <v>24</v>
      </c>
      <c r="S295" s="225" t="s">
        <v>24</v>
      </c>
      <c r="T295" s="225" t="s">
        <v>24</v>
      </c>
      <c r="U295" s="225" t="s">
        <v>483</v>
      </c>
      <c r="V295" s="251" t="s">
        <v>1312</v>
      </c>
      <c r="W295" s="377"/>
      <c r="X295" s="85"/>
      <c r="Y295" s="85"/>
      <c r="Z295" s="85"/>
      <c r="AA295" s="85"/>
      <c r="AB295" s="85"/>
      <c r="AC295" s="85"/>
    </row>
    <row r="296" spans="1:29" ht="409.6">
      <c r="A296" s="85" t="s">
        <v>920</v>
      </c>
      <c r="B296" s="87" t="s">
        <v>921</v>
      </c>
      <c r="C296" s="80" t="s">
        <v>1313</v>
      </c>
      <c r="D296" s="81" t="s">
        <v>1314</v>
      </c>
      <c r="E296" s="87" t="s">
        <v>325</v>
      </c>
      <c r="F296" s="87" t="s">
        <v>477</v>
      </c>
      <c r="G296" s="246" t="s">
        <v>1315</v>
      </c>
      <c r="H296" s="234" t="s">
        <v>1316</v>
      </c>
      <c r="I296" s="271" t="s">
        <v>337</v>
      </c>
      <c r="J296" s="271" t="s">
        <v>337</v>
      </c>
      <c r="K296" s="271" t="s">
        <v>337</v>
      </c>
      <c r="L296" s="248" t="s">
        <v>483</v>
      </c>
      <c r="M296" s="262" t="s">
        <v>24</v>
      </c>
      <c r="N296" s="262" t="s">
        <v>24</v>
      </c>
      <c r="O296" s="262" t="s">
        <v>24</v>
      </c>
      <c r="P296" s="258" t="s">
        <v>1317</v>
      </c>
      <c r="Q296" s="254"/>
      <c r="R296" s="312" t="s">
        <v>24</v>
      </c>
      <c r="S296" s="106" t="s">
        <v>24</v>
      </c>
      <c r="T296" s="106" t="s">
        <v>24</v>
      </c>
      <c r="U296" s="225" t="s">
        <v>329</v>
      </c>
      <c r="V296" s="296" t="s">
        <v>1318</v>
      </c>
      <c r="W296" s="377"/>
      <c r="X296" s="85"/>
      <c r="Y296" s="85"/>
      <c r="Z296" s="85"/>
      <c r="AA296" s="85"/>
      <c r="AB296" s="85"/>
      <c r="AC296" s="85"/>
    </row>
    <row r="297" spans="1:29" ht="409.6">
      <c r="A297" s="85" t="s">
        <v>920</v>
      </c>
      <c r="B297" s="87" t="s">
        <v>921</v>
      </c>
      <c r="C297" s="80" t="s">
        <v>1319</v>
      </c>
      <c r="D297" s="81" t="s">
        <v>1320</v>
      </c>
      <c r="E297" s="87" t="s">
        <v>325</v>
      </c>
      <c r="F297" s="87" t="s">
        <v>477</v>
      </c>
      <c r="G297" s="246" t="s">
        <v>1321</v>
      </c>
      <c r="H297" s="234" t="s">
        <v>1322</v>
      </c>
      <c r="I297" s="271" t="s">
        <v>337</v>
      </c>
      <c r="J297" s="271" t="s">
        <v>337</v>
      </c>
      <c r="K297" s="293" t="s">
        <v>337</v>
      </c>
      <c r="L297" s="248" t="s">
        <v>483</v>
      </c>
      <c r="M297" s="262" t="s">
        <v>24</v>
      </c>
      <c r="N297" s="262" t="s">
        <v>24</v>
      </c>
      <c r="O297" s="262" t="s">
        <v>24</v>
      </c>
      <c r="P297" s="258" t="s">
        <v>1317</v>
      </c>
      <c r="Q297" s="254"/>
      <c r="R297" s="312" t="s">
        <v>24</v>
      </c>
      <c r="S297" s="106" t="s">
        <v>24</v>
      </c>
      <c r="T297" s="106" t="s">
        <v>24</v>
      </c>
      <c r="U297" s="225" t="s">
        <v>329</v>
      </c>
      <c r="V297" s="296" t="s">
        <v>1323</v>
      </c>
      <c r="W297" s="377"/>
      <c r="X297" s="85"/>
      <c r="Y297" s="85"/>
      <c r="Z297" s="85"/>
      <c r="AA297" s="85"/>
      <c r="AB297" s="85"/>
      <c r="AC297" s="85"/>
    </row>
    <row r="298" spans="1:29" ht="409.6">
      <c r="A298" s="85" t="s">
        <v>920</v>
      </c>
      <c r="B298" s="87" t="s">
        <v>921</v>
      </c>
      <c r="C298" s="80" t="s">
        <v>1324</v>
      </c>
      <c r="D298" s="81" t="s">
        <v>1325</v>
      </c>
      <c r="E298" s="87" t="s">
        <v>325</v>
      </c>
      <c r="F298" s="87" t="s">
        <v>326</v>
      </c>
      <c r="G298" s="246" t="s">
        <v>1326</v>
      </c>
      <c r="H298" s="256"/>
      <c r="I298" s="225" t="s">
        <v>337</v>
      </c>
      <c r="J298" s="225" t="s">
        <v>337</v>
      </c>
      <c r="K298" s="225" t="s">
        <v>337</v>
      </c>
      <c r="L298" s="248" t="s">
        <v>483</v>
      </c>
      <c r="M298" s="224" t="s">
        <v>24</v>
      </c>
      <c r="N298" s="107" t="s">
        <v>24</v>
      </c>
      <c r="O298" s="107" t="s">
        <v>24</v>
      </c>
      <c r="P298" s="81"/>
      <c r="Q298" s="254" t="s">
        <v>364</v>
      </c>
      <c r="R298" s="215" t="s">
        <v>24</v>
      </c>
      <c r="S298" s="225" t="s">
        <v>24</v>
      </c>
      <c r="T298" s="225" t="s">
        <v>24</v>
      </c>
      <c r="U298" s="225" t="s">
        <v>483</v>
      </c>
      <c r="V298" s="313" t="s">
        <v>1327</v>
      </c>
      <c r="W298" s="377"/>
      <c r="X298" s="85"/>
      <c r="Y298" s="85"/>
      <c r="Z298" s="85"/>
      <c r="AA298" s="85"/>
      <c r="AB298" s="85"/>
      <c r="AC298" s="85"/>
    </row>
    <row r="299" spans="1:29" ht="409.6">
      <c r="A299" s="85" t="s">
        <v>920</v>
      </c>
      <c r="B299" s="87" t="s">
        <v>921</v>
      </c>
      <c r="C299" s="80" t="s">
        <v>1328</v>
      </c>
      <c r="D299" s="81" t="s">
        <v>1329</v>
      </c>
      <c r="E299" s="87" t="s">
        <v>325</v>
      </c>
      <c r="F299" s="87" t="s">
        <v>326</v>
      </c>
      <c r="G299" s="246" t="s">
        <v>1330</v>
      </c>
      <c r="H299" s="330"/>
      <c r="I299" s="225" t="s">
        <v>24</v>
      </c>
      <c r="J299" s="225" t="s">
        <v>24</v>
      </c>
      <c r="K299" s="248" t="s">
        <v>24</v>
      </c>
      <c r="L299" s="248" t="s">
        <v>483</v>
      </c>
      <c r="M299" s="224" t="s">
        <v>24</v>
      </c>
      <c r="N299" s="107" t="s">
        <v>24</v>
      </c>
      <c r="O299" s="107" t="s">
        <v>24</v>
      </c>
      <c r="P299" s="107" t="s">
        <v>626</v>
      </c>
      <c r="Q299" s="250"/>
      <c r="R299" s="215" t="s">
        <v>24</v>
      </c>
      <c r="S299" s="225" t="s">
        <v>24</v>
      </c>
      <c r="T299" s="225" t="s">
        <v>24</v>
      </c>
      <c r="U299" s="225" t="s">
        <v>483</v>
      </c>
      <c r="V299" s="251"/>
      <c r="W299" s="377"/>
      <c r="X299" s="85"/>
      <c r="Y299" s="85"/>
      <c r="Z299" s="85"/>
      <c r="AA299" s="85"/>
      <c r="AB299" s="85"/>
      <c r="AC299" s="85"/>
    </row>
    <row r="300" spans="1:29" ht="409.6">
      <c r="A300" s="85" t="s">
        <v>1331</v>
      </c>
      <c r="B300" s="87" t="s">
        <v>820</v>
      </c>
      <c r="C300" s="80" t="s">
        <v>1332</v>
      </c>
      <c r="D300" s="235" t="s">
        <v>1333</v>
      </c>
      <c r="E300" s="87" t="s">
        <v>325</v>
      </c>
      <c r="F300" s="87" t="s">
        <v>326</v>
      </c>
      <c r="G300" s="331" t="s">
        <v>1334</v>
      </c>
      <c r="H300" s="81" t="s">
        <v>1335</v>
      </c>
      <c r="I300" s="245" t="s">
        <v>337</v>
      </c>
      <c r="J300" s="245" t="s">
        <v>337</v>
      </c>
      <c r="K300" s="257" t="s">
        <v>337</v>
      </c>
      <c r="L300" s="248" t="s">
        <v>329</v>
      </c>
      <c r="M300" s="283" t="s">
        <v>24</v>
      </c>
      <c r="N300" s="106" t="s">
        <v>24</v>
      </c>
      <c r="O300" s="106" t="s">
        <v>24</v>
      </c>
      <c r="P300" s="106"/>
      <c r="Q300" s="309"/>
      <c r="R300" s="312" t="s">
        <v>24</v>
      </c>
      <c r="S300" s="106" t="s">
        <v>24</v>
      </c>
      <c r="T300" s="106" t="s">
        <v>24</v>
      </c>
      <c r="U300" s="225" t="s">
        <v>329</v>
      </c>
      <c r="V300" s="289" t="s">
        <v>1336</v>
      </c>
      <c r="W300" s="377"/>
      <c r="X300" s="85"/>
      <c r="Y300" s="85"/>
      <c r="Z300" s="85"/>
      <c r="AA300" s="85"/>
      <c r="AB300" s="85"/>
      <c r="AC300" s="85"/>
    </row>
    <row r="301" spans="1:29" ht="409.6">
      <c r="A301" s="85" t="s">
        <v>1331</v>
      </c>
      <c r="B301" s="87" t="s">
        <v>820</v>
      </c>
      <c r="C301" s="80" t="s">
        <v>1332</v>
      </c>
      <c r="D301" s="81" t="s">
        <v>1337</v>
      </c>
      <c r="E301" s="87" t="s">
        <v>325</v>
      </c>
      <c r="F301" s="87" t="s">
        <v>326</v>
      </c>
      <c r="G301" s="331" t="s">
        <v>1338</v>
      </c>
      <c r="H301" s="297" t="s">
        <v>1339</v>
      </c>
      <c r="I301" s="245" t="s">
        <v>337</v>
      </c>
      <c r="J301" s="245" t="s">
        <v>337</v>
      </c>
      <c r="K301" s="257" t="s">
        <v>337</v>
      </c>
      <c r="L301" s="248" t="s">
        <v>329</v>
      </c>
      <c r="M301" s="283" t="s">
        <v>24</v>
      </c>
      <c r="N301" s="106" t="s">
        <v>24</v>
      </c>
      <c r="O301" s="106" t="s">
        <v>24</v>
      </c>
      <c r="P301" s="106"/>
      <c r="Q301" s="309"/>
      <c r="R301" s="312" t="s">
        <v>24</v>
      </c>
      <c r="S301" s="106" t="s">
        <v>24</v>
      </c>
      <c r="T301" s="106" t="s">
        <v>24</v>
      </c>
      <c r="U301" s="225" t="s">
        <v>329</v>
      </c>
      <c r="V301" s="289" t="s">
        <v>1340</v>
      </c>
      <c r="W301" s="377"/>
      <c r="X301" s="85"/>
      <c r="Y301" s="85"/>
      <c r="Z301" s="85"/>
      <c r="AA301" s="85"/>
      <c r="AB301" s="85"/>
      <c r="AC301" s="85"/>
    </row>
    <row r="302" spans="1:29" ht="409.6">
      <c r="A302" s="85" t="s">
        <v>1331</v>
      </c>
      <c r="B302" s="87" t="s">
        <v>820</v>
      </c>
      <c r="C302" s="80" t="s">
        <v>1332</v>
      </c>
      <c r="D302" s="81" t="s">
        <v>1341</v>
      </c>
      <c r="E302" s="87" t="s">
        <v>325</v>
      </c>
      <c r="F302" s="87" t="s">
        <v>326</v>
      </c>
      <c r="G302" s="331" t="s">
        <v>1342</v>
      </c>
      <c r="H302" s="81" t="s">
        <v>1343</v>
      </c>
      <c r="I302" s="225" t="s">
        <v>24</v>
      </c>
      <c r="J302" s="225" t="s">
        <v>24</v>
      </c>
      <c r="K302" s="248" t="s">
        <v>24</v>
      </c>
      <c r="L302" s="248" t="s">
        <v>329</v>
      </c>
      <c r="M302" s="283" t="s">
        <v>24</v>
      </c>
      <c r="N302" s="106" t="s">
        <v>24</v>
      </c>
      <c r="O302" s="106" t="s">
        <v>24</v>
      </c>
      <c r="P302" s="106"/>
      <c r="Q302" s="309"/>
      <c r="R302" s="215" t="s">
        <v>24</v>
      </c>
      <c r="S302" s="225" t="s">
        <v>24</v>
      </c>
      <c r="T302" s="225" t="s">
        <v>24</v>
      </c>
      <c r="U302" s="225" t="s">
        <v>329</v>
      </c>
      <c r="V302" s="251"/>
      <c r="W302" s="377"/>
      <c r="X302" s="85"/>
      <c r="Y302" s="85"/>
      <c r="Z302" s="85"/>
      <c r="AA302" s="85"/>
      <c r="AB302" s="85"/>
      <c r="AC302" s="85"/>
    </row>
    <row r="303" spans="1:29" ht="409.6">
      <c r="A303" s="85" t="s">
        <v>1331</v>
      </c>
      <c r="B303" s="87" t="s">
        <v>820</v>
      </c>
      <c r="C303" s="80" t="s">
        <v>1332</v>
      </c>
      <c r="D303" s="81" t="s">
        <v>1344</v>
      </c>
      <c r="E303" s="87" t="s">
        <v>325</v>
      </c>
      <c r="F303" s="87" t="s">
        <v>326</v>
      </c>
      <c r="G303" s="331" t="s">
        <v>1345</v>
      </c>
      <c r="H303" s="81" t="s">
        <v>1346</v>
      </c>
      <c r="I303" s="225" t="s">
        <v>24</v>
      </c>
      <c r="J303" s="225" t="s">
        <v>24</v>
      </c>
      <c r="K303" s="248" t="s">
        <v>24</v>
      </c>
      <c r="L303" s="248" t="s">
        <v>329</v>
      </c>
      <c r="M303" s="283" t="s">
        <v>24</v>
      </c>
      <c r="N303" s="106" t="s">
        <v>24</v>
      </c>
      <c r="O303" s="106" t="s">
        <v>24</v>
      </c>
      <c r="P303" s="106"/>
      <c r="Q303" s="309"/>
      <c r="R303" s="215" t="s">
        <v>24</v>
      </c>
      <c r="S303" s="225" t="s">
        <v>24</v>
      </c>
      <c r="T303" s="225" t="s">
        <v>24</v>
      </c>
      <c r="U303" s="225" t="s">
        <v>329</v>
      </c>
      <c r="V303" s="251"/>
      <c r="W303" s="377"/>
      <c r="X303" s="85"/>
      <c r="Y303" s="85"/>
      <c r="Z303" s="85"/>
      <c r="AA303" s="85"/>
      <c r="AB303" s="85"/>
      <c r="AC303" s="85"/>
    </row>
    <row r="304" spans="1:29" ht="409.6">
      <c r="A304" s="85" t="s">
        <v>1331</v>
      </c>
      <c r="B304" s="87" t="s">
        <v>820</v>
      </c>
      <c r="C304" s="80" t="s">
        <v>1332</v>
      </c>
      <c r="D304" s="81" t="s">
        <v>1347</v>
      </c>
      <c r="E304" s="87" t="s">
        <v>325</v>
      </c>
      <c r="F304" s="87" t="s">
        <v>326</v>
      </c>
      <c r="G304" s="331" t="s">
        <v>1348</v>
      </c>
      <c r="H304" s="264" t="s">
        <v>1228</v>
      </c>
      <c r="I304" s="225" t="s">
        <v>311</v>
      </c>
      <c r="J304" s="225" t="s">
        <v>311</v>
      </c>
      <c r="K304" s="225" t="s">
        <v>311</v>
      </c>
      <c r="L304" s="248" t="s">
        <v>329</v>
      </c>
      <c r="M304" s="283" t="s">
        <v>24</v>
      </c>
      <c r="N304" s="106" t="s">
        <v>24</v>
      </c>
      <c r="O304" s="106" t="s">
        <v>24</v>
      </c>
      <c r="P304" s="106"/>
      <c r="Q304" s="309"/>
      <c r="R304" s="312" t="s">
        <v>24</v>
      </c>
      <c r="S304" s="106" t="s">
        <v>24</v>
      </c>
      <c r="T304" s="106" t="s">
        <v>24</v>
      </c>
      <c r="U304" s="225" t="s">
        <v>329</v>
      </c>
      <c r="V304" s="289" t="s">
        <v>1349</v>
      </c>
      <c r="W304" s="377"/>
      <c r="X304" s="85"/>
      <c r="Y304" s="85"/>
      <c r="Z304" s="85"/>
      <c r="AA304" s="85"/>
      <c r="AB304" s="85"/>
      <c r="AC304" s="85"/>
    </row>
    <row r="305" spans="1:29" ht="276">
      <c r="A305" s="85" t="s">
        <v>1331</v>
      </c>
      <c r="B305" s="87" t="s">
        <v>820</v>
      </c>
      <c r="C305" s="80" t="s">
        <v>1332</v>
      </c>
      <c r="D305" s="81" t="s">
        <v>1350</v>
      </c>
      <c r="E305" s="87" t="s">
        <v>325</v>
      </c>
      <c r="F305" s="87" t="s">
        <v>326</v>
      </c>
      <c r="G305" s="331" t="s">
        <v>1348</v>
      </c>
      <c r="H305" s="264" t="s">
        <v>1228</v>
      </c>
      <c r="I305" s="225" t="s">
        <v>311</v>
      </c>
      <c r="J305" s="225" t="s">
        <v>311</v>
      </c>
      <c r="K305" s="225" t="s">
        <v>311</v>
      </c>
      <c r="L305" s="248" t="s">
        <v>329</v>
      </c>
      <c r="M305" s="283" t="s">
        <v>24</v>
      </c>
      <c r="N305" s="106" t="s">
        <v>24</v>
      </c>
      <c r="O305" s="106" t="s">
        <v>24</v>
      </c>
      <c r="P305" s="106"/>
      <c r="Q305" s="309"/>
      <c r="R305" s="312" t="s">
        <v>24</v>
      </c>
      <c r="S305" s="106" t="s">
        <v>24</v>
      </c>
      <c r="T305" s="106" t="s">
        <v>24</v>
      </c>
      <c r="U305" s="225" t="s">
        <v>329</v>
      </c>
      <c r="V305" s="289" t="s">
        <v>1351</v>
      </c>
      <c r="W305" s="377"/>
      <c r="X305" s="85"/>
      <c r="Y305" s="85"/>
      <c r="Z305" s="85"/>
      <c r="AA305" s="85"/>
      <c r="AB305" s="85"/>
      <c r="AC305" s="85"/>
    </row>
    <row r="306" spans="1:29" ht="261">
      <c r="A306" s="85" t="s">
        <v>1331</v>
      </c>
      <c r="B306" s="87" t="s">
        <v>820</v>
      </c>
      <c r="C306" s="80" t="s">
        <v>1332</v>
      </c>
      <c r="D306" s="81" t="s">
        <v>1352</v>
      </c>
      <c r="E306" s="87" t="s">
        <v>325</v>
      </c>
      <c r="F306" s="87" t="s">
        <v>326</v>
      </c>
      <c r="G306" s="331" t="s">
        <v>1348</v>
      </c>
      <c r="H306" s="264" t="s">
        <v>1228</v>
      </c>
      <c r="I306" s="225" t="s">
        <v>311</v>
      </c>
      <c r="J306" s="225" t="s">
        <v>311</v>
      </c>
      <c r="K306" s="225" t="s">
        <v>311</v>
      </c>
      <c r="L306" s="248" t="s">
        <v>329</v>
      </c>
      <c r="M306" s="283" t="s">
        <v>24</v>
      </c>
      <c r="N306" s="106" t="s">
        <v>24</v>
      </c>
      <c r="O306" s="106" t="s">
        <v>24</v>
      </c>
      <c r="P306" s="106"/>
      <c r="Q306" s="309"/>
      <c r="R306" s="312" t="s">
        <v>25</v>
      </c>
      <c r="S306" s="106" t="s">
        <v>25</v>
      </c>
      <c r="T306" s="106" t="s">
        <v>25</v>
      </c>
      <c r="U306" s="225" t="s">
        <v>329</v>
      </c>
      <c r="V306" s="251" t="s">
        <v>1353</v>
      </c>
      <c r="W306" s="414" t="s">
        <v>1354</v>
      </c>
      <c r="X306" s="87"/>
      <c r="Y306" s="87"/>
      <c r="Z306" s="87"/>
      <c r="AA306" s="87" t="s">
        <v>377</v>
      </c>
      <c r="AB306" s="87"/>
      <c r="AC306" s="87"/>
    </row>
    <row r="307" spans="1:29" ht="219.75">
      <c r="A307" s="85" t="s">
        <v>1331</v>
      </c>
      <c r="B307" s="87" t="s">
        <v>820</v>
      </c>
      <c r="C307" s="80" t="s">
        <v>1332</v>
      </c>
      <c r="D307" s="81" t="s">
        <v>1355</v>
      </c>
      <c r="E307" s="87" t="s">
        <v>325</v>
      </c>
      <c r="F307" s="87" t="s">
        <v>326</v>
      </c>
      <c r="G307" s="331" t="s">
        <v>1348</v>
      </c>
      <c r="H307" s="256" t="s">
        <v>1228</v>
      </c>
      <c r="I307" s="225" t="s">
        <v>311</v>
      </c>
      <c r="J307" s="225" t="s">
        <v>311</v>
      </c>
      <c r="K307" s="225" t="s">
        <v>311</v>
      </c>
      <c r="L307" s="248" t="s">
        <v>329</v>
      </c>
      <c r="M307" s="283" t="s">
        <v>24</v>
      </c>
      <c r="N307" s="106" t="s">
        <v>24</v>
      </c>
      <c r="O307" s="106" t="s">
        <v>24</v>
      </c>
      <c r="P307" s="106"/>
      <c r="Q307" s="309"/>
      <c r="R307" s="312" t="s">
        <v>25</v>
      </c>
      <c r="S307" s="106" t="s">
        <v>25</v>
      </c>
      <c r="T307" s="106" t="s">
        <v>25</v>
      </c>
      <c r="U307" s="225" t="s">
        <v>329</v>
      </c>
      <c r="V307" s="251" t="s">
        <v>1356</v>
      </c>
      <c r="W307" s="414" t="s">
        <v>1354</v>
      </c>
      <c r="X307" s="87"/>
      <c r="Y307" s="87"/>
      <c r="Z307" s="87"/>
      <c r="AA307" s="87" t="s">
        <v>377</v>
      </c>
      <c r="AB307" s="87"/>
      <c r="AC307" s="87"/>
    </row>
    <row r="308" spans="1:29" ht="178.5">
      <c r="A308" s="85" t="s">
        <v>1331</v>
      </c>
      <c r="B308" s="87" t="s">
        <v>820</v>
      </c>
      <c r="C308" s="80" t="s">
        <v>1332</v>
      </c>
      <c r="D308" s="86" t="s">
        <v>1357</v>
      </c>
      <c r="E308" s="87" t="s">
        <v>325</v>
      </c>
      <c r="F308" s="87" t="s">
        <v>326</v>
      </c>
      <c r="G308" s="331" t="s">
        <v>1358</v>
      </c>
      <c r="H308" s="264" t="s">
        <v>1228</v>
      </c>
      <c r="I308" s="225" t="s">
        <v>311</v>
      </c>
      <c r="J308" s="225" t="s">
        <v>311</v>
      </c>
      <c r="K308" s="225" t="s">
        <v>311</v>
      </c>
      <c r="L308" s="248" t="s">
        <v>329</v>
      </c>
      <c r="M308" s="262" t="s">
        <v>27</v>
      </c>
      <c r="N308" s="263" t="s">
        <v>27</v>
      </c>
      <c r="O308" s="263" t="s">
        <v>27</v>
      </c>
      <c r="P308" s="106"/>
      <c r="Q308" s="309"/>
      <c r="R308" s="312" t="s">
        <v>27</v>
      </c>
      <c r="S308" s="106" t="s">
        <v>27</v>
      </c>
      <c r="T308" s="106" t="s">
        <v>27</v>
      </c>
      <c r="U308" s="225" t="s">
        <v>329</v>
      </c>
      <c r="V308" s="251" t="s">
        <v>1359</v>
      </c>
      <c r="W308" s="377"/>
      <c r="X308" s="87"/>
      <c r="Y308" s="87"/>
      <c r="Z308" s="87"/>
      <c r="AA308" s="87"/>
      <c r="AB308" s="87"/>
      <c r="AC308" s="87"/>
    </row>
    <row r="309" spans="1:29" ht="409.6">
      <c r="A309" s="85" t="s">
        <v>1331</v>
      </c>
      <c r="B309" s="87" t="s">
        <v>820</v>
      </c>
      <c r="C309" s="80" t="s">
        <v>1332</v>
      </c>
      <c r="D309" s="81" t="s">
        <v>1360</v>
      </c>
      <c r="E309" s="87" t="s">
        <v>325</v>
      </c>
      <c r="F309" s="87" t="s">
        <v>326</v>
      </c>
      <c r="G309" s="331" t="s">
        <v>1361</v>
      </c>
      <c r="H309" s="81" t="s">
        <v>1362</v>
      </c>
      <c r="I309" s="225" t="s">
        <v>24</v>
      </c>
      <c r="J309" s="225" t="s">
        <v>24</v>
      </c>
      <c r="K309" s="248" t="s">
        <v>24</v>
      </c>
      <c r="L309" s="248" t="s">
        <v>329</v>
      </c>
      <c r="M309" s="283" t="s">
        <v>24</v>
      </c>
      <c r="N309" s="106" t="s">
        <v>24</v>
      </c>
      <c r="O309" s="106" t="s">
        <v>24</v>
      </c>
      <c r="P309" s="106"/>
      <c r="Q309" s="309"/>
      <c r="R309" s="215" t="s">
        <v>24</v>
      </c>
      <c r="S309" s="225" t="s">
        <v>24</v>
      </c>
      <c r="T309" s="225" t="s">
        <v>24</v>
      </c>
      <c r="U309" s="225" t="s">
        <v>329</v>
      </c>
      <c r="V309" s="251"/>
      <c r="W309" s="377"/>
      <c r="X309" s="85"/>
      <c r="Y309" s="85"/>
      <c r="Z309" s="85"/>
      <c r="AA309" s="85"/>
      <c r="AB309" s="85"/>
      <c r="AC309" s="85"/>
    </row>
    <row r="310" spans="1:29" ht="409.6">
      <c r="A310" s="85" t="s">
        <v>1331</v>
      </c>
      <c r="B310" s="87" t="s">
        <v>820</v>
      </c>
      <c r="C310" s="80" t="s">
        <v>1332</v>
      </c>
      <c r="D310" s="81" t="s">
        <v>1363</v>
      </c>
      <c r="E310" s="87" t="s">
        <v>325</v>
      </c>
      <c r="F310" s="87" t="s">
        <v>326</v>
      </c>
      <c r="G310" s="331" t="s">
        <v>1364</v>
      </c>
      <c r="H310" s="255" t="s">
        <v>1365</v>
      </c>
      <c r="I310" s="245" t="s">
        <v>337</v>
      </c>
      <c r="J310" s="245" t="s">
        <v>337</v>
      </c>
      <c r="K310" s="257" t="s">
        <v>337</v>
      </c>
      <c r="L310" s="248" t="s">
        <v>329</v>
      </c>
      <c r="M310" s="283" t="s">
        <v>24</v>
      </c>
      <c r="N310" s="106" t="s">
        <v>24</v>
      </c>
      <c r="O310" s="106" t="s">
        <v>24</v>
      </c>
      <c r="P310" s="106"/>
      <c r="Q310" s="309"/>
      <c r="R310" s="312" t="s">
        <v>24</v>
      </c>
      <c r="S310" s="106" t="s">
        <v>24</v>
      </c>
      <c r="T310" s="106" t="s">
        <v>24</v>
      </c>
      <c r="U310" s="225" t="s">
        <v>329</v>
      </c>
      <c r="V310" s="251" t="s">
        <v>1366</v>
      </c>
      <c r="W310" s="377"/>
      <c r="X310" s="85"/>
      <c r="Y310" s="85"/>
      <c r="Z310" s="85"/>
      <c r="AA310" s="85"/>
      <c r="AB310" s="85"/>
      <c r="AC310" s="85"/>
    </row>
    <row r="311" spans="1:29" ht="409.6">
      <c r="A311" s="85" t="s">
        <v>1331</v>
      </c>
      <c r="B311" s="87" t="s">
        <v>820</v>
      </c>
      <c r="C311" s="80" t="s">
        <v>1332</v>
      </c>
      <c r="D311" s="81" t="s">
        <v>1367</v>
      </c>
      <c r="E311" s="87" t="s">
        <v>325</v>
      </c>
      <c r="F311" s="87" t="s">
        <v>326</v>
      </c>
      <c r="G311" s="331" t="s">
        <v>1368</v>
      </c>
      <c r="H311" s="255" t="s">
        <v>1369</v>
      </c>
      <c r="I311" s="225" t="s">
        <v>24</v>
      </c>
      <c r="J311" s="225" t="s">
        <v>24</v>
      </c>
      <c r="K311" s="248" t="s">
        <v>24</v>
      </c>
      <c r="L311" s="248" t="s">
        <v>329</v>
      </c>
      <c r="M311" s="283" t="s">
        <v>24</v>
      </c>
      <c r="N311" s="106" t="s">
        <v>24</v>
      </c>
      <c r="O311" s="106" t="s">
        <v>24</v>
      </c>
      <c r="P311" s="106"/>
      <c r="Q311" s="309"/>
      <c r="R311" s="215" t="s">
        <v>24</v>
      </c>
      <c r="S311" s="225" t="s">
        <v>24</v>
      </c>
      <c r="T311" s="225" t="s">
        <v>24</v>
      </c>
      <c r="U311" s="225" t="s">
        <v>329</v>
      </c>
      <c r="V311" s="251"/>
      <c r="W311" s="377"/>
      <c r="X311" s="85"/>
      <c r="Y311" s="85"/>
      <c r="Z311" s="85"/>
      <c r="AA311" s="85"/>
      <c r="AB311" s="85"/>
      <c r="AC311" s="85"/>
    </row>
    <row r="312" spans="1:29" ht="409.6">
      <c r="A312" s="85" t="s">
        <v>1331</v>
      </c>
      <c r="B312" s="87" t="s">
        <v>820</v>
      </c>
      <c r="C312" s="80" t="s">
        <v>1332</v>
      </c>
      <c r="D312" s="81" t="s">
        <v>1370</v>
      </c>
      <c r="E312" s="87" t="s">
        <v>325</v>
      </c>
      <c r="F312" s="87" t="s">
        <v>326</v>
      </c>
      <c r="G312" s="331" t="s">
        <v>1371</v>
      </c>
      <c r="H312" s="255" t="s">
        <v>1372</v>
      </c>
      <c r="I312" s="225" t="s">
        <v>24</v>
      </c>
      <c r="J312" s="225" t="s">
        <v>24</v>
      </c>
      <c r="K312" s="248" t="s">
        <v>24</v>
      </c>
      <c r="L312" s="248" t="s">
        <v>329</v>
      </c>
      <c r="M312" s="283" t="s">
        <v>24</v>
      </c>
      <c r="N312" s="106" t="s">
        <v>24</v>
      </c>
      <c r="O312" s="106" t="s">
        <v>24</v>
      </c>
      <c r="P312" s="106"/>
      <c r="Q312" s="309"/>
      <c r="R312" s="215" t="s">
        <v>24</v>
      </c>
      <c r="S312" s="225" t="s">
        <v>24</v>
      </c>
      <c r="T312" s="225" t="s">
        <v>24</v>
      </c>
      <c r="U312" s="225" t="s">
        <v>329</v>
      </c>
      <c r="V312" s="251"/>
      <c r="W312" s="377"/>
      <c r="X312" s="85"/>
      <c r="Y312" s="85"/>
      <c r="Z312" s="85"/>
      <c r="AA312" s="85"/>
      <c r="AB312" s="85"/>
      <c r="AC312" s="85"/>
    </row>
    <row r="313" spans="1:29" ht="409.6">
      <c r="A313" s="85" t="s">
        <v>1331</v>
      </c>
      <c r="B313" s="87" t="s">
        <v>820</v>
      </c>
      <c r="C313" s="80" t="s">
        <v>1332</v>
      </c>
      <c r="D313" s="86" t="s">
        <v>1373</v>
      </c>
      <c r="E313" s="87" t="s">
        <v>325</v>
      </c>
      <c r="F313" s="87" t="s">
        <v>326</v>
      </c>
      <c r="G313" s="331" t="s">
        <v>1374</v>
      </c>
      <c r="H313" s="234" t="s">
        <v>1375</v>
      </c>
      <c r="I313" s="245" t="s">
        <v>337</v>
      </c>
      <c r="J313" s="245" t="s">
        <v>337</v>
      </c>
      <c r="K313" s="257" t="s">
        <v>337</v>
      </c>
      <c r="L313" s="248" t="s">
        <v>329</v>
      </c>
      <c r="M313" s="224" t="s">
        <v>27</v>
      </c>
      <c r="N313" s="107" t="s">
        <v>27</v>
      </c>
      <c r="O313" s="107" t="s">
        <v>27</v>
      </c>
      <c r="P313" s="81" t="s">
        <v>1376</v>
      </c>
      <c r="Q313" s="254" t="s">
        <v>339</v>
      </c>
      <c r="R313" s="224" t="s">
        <v>27</v>
      </c>
      <c r="S313" s="107" t="s">
        <v>27</v>
      </c>
      <c r="T313" s="107" t="s">
        <v>27</v>
      </c>
      <c r="U313" s="225" t="s">
        <v>341</v>
      </c>
      <c r="V313" s="251" t="s">
        <v>1377</v>
      </c>
      <c r="W313" s="377"/>
      <c r="X313" s="85"/>
      <c r="Y313" s="85"/>
      <c r="Z313" s="85"/>
      <c r="AA313" s="85"/>
      <c r="AB313" s="85"/>
      <c r="AC313" s="85"/>
    </row>
    <row r="314" spans="1:29" ht="409.6">
      <c r="A314" s="85" t="s">
        <v>1331</v>
      </c>
      <c r="B314" s="87" t="s">
        <v>820</v>
      </c>
      <c r="C314" s="80" t="s">
        <v>1332</v>
      </c>
      <c r="D314" s="81" t="s">
        <v>1378</v>
      </c>
      <c r="E314" s="87" t="s">
        <v>325</v>
      </c>
      <c r="F314" s="87" t="s">
        <v>326</v>
      </c>
      <c r="G314" s="331" t="s">
        <v>1379</v>
      </c>
      <c r="H314" s="81" t="s">
        <v>1380</v>
      </c>
      <c r="I314" s="245" t="s">
        <v>337</v>
      </c>
      <c r="J314" s="245" t="s">
        <v>337</v>
      </c>
      <c r="K314" s="257" t="s">
        <v>337</v>
      </c>
      <c r="L314" s="248" t="s">
        <v>329</v>
      </c>
      <c r="M314" s="283" t="s">
        <v>24</v>
      </c>
      <c r="N314" s="106" t="s">
        <v>24</v>
      </c>
      <c r="O314" s="106" t="s">
        <v>24</v>
      </c>
      <c r="P314" s="106"/>
      <c r="Q314" s="309"/>
      <c r="R314" s="106" t="s">
        <v>24</v>
      </c>
      <c r="S314" s="106" t="s">
        <v>24</v>
      </c>
      <c r="T314" s="106" t="s">
        <v>24</v>
      </c>
      <c r="U314" s="225" t="s">
        <v>329</v>
      </c>
      <c r="V314" s="289" t="s">
        <v>1381</v>
      </c>
      <c r="W314" s="377"/>
      <c r="X314" s="85"/>
      <c r="Y314" s="85"/>
      <c r="Z314" s="85"/>
      <c r="AA314" s="85"/>
      <c r="AB314" s="85"/>
      <c r="AC314" s="85"/>
    </row>
    <row r="315" spans="1:29" ht="409.6">
      <c r="A315" s="85" t="s">
        <v>1331</v>
      </c>
      <c r="B315" s="87" t="s">
        <v>820</v>
      </c>
      <c r="C315" s="80" t="s">
        <v>1332</v>
      </c>
      <c r="D315" s="81" t="s">
        <v>1382</v>
      </c>
      <c r="E315" s="87" t="s">
        <v>325</v>
      </c>
      <c r="F315" s="87" t="s">
        <v>326</v>
      </c>
      <c r="G315" s="331" t="s">
        <v>1383</v>
      </c>
      <c r="H315" s="81" t="s">
        <v>1384</v>
      </c>
      <c r="I315" s="245" t="s">
        <v>337</v>
      </c>
      <c r="J315" s="245" t="s">
        <v>337</v>
      </c>
      <c r="K315" s="257" t="s">
        <v>337</v>
      </c>
      <c r="L315" s="248" t="s">
        <v>329</v>
      </c>
      <c r="M315" s="283" t="s">
        <v>24</v>
      </c>
      <c r="N315" s="106" t="s">
        <v>24</v>
      </c>
      <c r="O315" s="106" t="s">
        <v>24</v>
      </c>
      <c r="P315" s="106"/>
      <c r="Q315" s="309"/>
      <c r="R315" s="312" t="s">
        <v>24</v>
      </c>
      <c r="S315" s="106" t="s">
        <v>24</v>
      </c>
      <c r="T315" s="106" t="s">
        <v>24</v>
      </c>
      <c r="U315" s="225" t="s">
        <v>329</v>
      </c>
      <c r="V315" s="289" t="s">
        <v>1385</v>
      </c>
      <c r="W315" s="377"/>
      <c r="X315" s="85"/>
      <c r="Y315" s="85"/>
      <c r="Z315" s="85"/>
      <c r="AA315" s="85"/>
      <c r="AB315" s="85"/>
      <c r="AC315" s="85"/>
    </row>
    <row r="316" spans="1:29" ht="409.6">
      <c r="A316" s="85" t="s">
        <v>1331</v>
      </c>
      <c r="B316" s="87" t="s">
        <v>820</v>
      </c>
      <c r="C316" s="80" t="s">
        <v>1332</v>
      </c>
      <c r="D316" s="81" t="s">
        <v>1386</v>
      </c>
      <c r="E316" s="87" t="s">
        <v>325</v>
      </c>
      <c r="F316" s="87" t="s">
        <v>326</v>
      </c>
      <c r="G316" s="332"/>
      <c r="H316" s="264" t="s">
        <v>1228</v>
      </c>
      <c r="I316" s="225" t="s">
        <v>311</v>
      </c>
      <c r="J316" s="225" t="s">
        <v>311</v>
      </c>
      <c r="K316" s="225" t="s">
        <v>311</v>
      </c>
      <c r="L316" s="248"/>
      <c r="M316" s="224" t="s">
        <v>27</v>
      </c>
      <c r="N316" s="107" t="s">
        <v>27</v>
      </c>
      <c r="O316" s="107" t="s">
        <v>27</v>
      </c>
      <c r="P316" s="81" t="s">
        <v>1376</v>
      </c>
      <c r="Q316" s="254" t="s">
        <v>851</v>
      </c>
      <c r="R316" s="224" t="s">
        <v>27</v>
      </c>
      <c r="S316" s="107" t="s">
        <v>27</v>
      </c>
      <c r="T316" s="107" t="s">
        <v>27</v>
      </c>
      <c r="U316" s="225" t="s">
        <v>341</v>
      </c>
      <c r="V316" s="251" t="s">
        <v>1387</v>
      </c>
      <c r="W316" s="377"/>
      <c r="X316" s="85"/>
      <c r="Y316" s="85"/>
      <c r="Z316" s="85"/>
      <c r="AA316" s="85"/>
      <c r="AB316" s="85"/>
      <c r="AC316" s="85"/>
    </row>
    <row r="317" spans="1:29" ht="55.5">
      <c r="A317" s="85" t="s">
        <v>1331</v>
      </c>
      <c r="B317" s="87" t="s">
        <v>888</v>
      </c>
      <c r="C317" s="80" t="s">
        <v>1388</v>
      </c>
      <c r="D317" s="81" t="s">
        <v>1389</v>
      </c>
      <c r="E317" s="87" t="s">
        <v>325</v>
      </c>
      <c r="F317" s="87" t="s">
        <v>326</v>
      </c>
      <c r="G317" s="246" t="s">
        <v>1390</v>
      </c>
      <c r="H317" s="333" t="s">
        <v>1391</v>
      </c>
      <c r="I317" s="225" t="s">
        <v>24</v>
      </c>
      <c r="J317" s="225" t="s">
        <v>24</v>
      </c>
      <c r="K317" s="248" t="s">
        <v>24</v>
      </c>
      <c r="L317" s="248" t="s">
        <v>329</v>
      </c>
      <c r="M317" s="224" t="s">
        <v>24</v>
      </c>
      <c r="N317" s="107" t="s">
        <v>24</v>
      </c>
      <c r="O317" s="107" t="s">
        <v>24</v>
      </c>
      <c r="P317" s="225"/>
      <c r="Q317" s="250"/>
      <c r="R317" s="215" t="s">
        <v>24</v>
      </c>
      <c r="S317" s="225" t="s">
        <v>24</v>
      </c>
      <c r="T317" s="225" t="s">
        <v>24</v>
      </c>
      <c r="U317" s="225" t="s">
        <v>329</v>
      </c>
      <c r="V317" s="251"/>
      <c r="W317" s="377"/>
      <c r="X317" s="85"/>
      <c r="Y317" s="85"/>
      <c r="Z317" s="85"/>
      <c r="AA317" s="85"/>
      <c r="AB317" s="85"/>
      <c r="AC317" s="85"/>
    </row>
    <row r="318" spans="1:29" ht="288.75">
      <c r="A318" s="85" t="s">
        <v>1331</v>
      </c>
      <c r="B318" s="87" t="s">
        <v>888</v>
      </c>
      <c r="C318" s="80" t="s">
        <v>80</v>
      </c>
      <c r="D318" s="81" t="s">
        <v>1392</v>
      </c>
      <c r="E318" s="245" t="s">
        <v>27</v>
      </c>
      <c r="F318" s="87" t="s">
        <v>317</v>
      </c>
      <c r="G318" s="259"/>
      <c r="H318" s="256" t="s">
        <v>1393</v>
      </c>
      <c r="I318" s="247" t="s">
        <v>317</v>
      </c>
      <c r="J318" s="247" t="s">
        <v>317</v>
      </c>
      <c r="K318" s="247" t="s">
        <v>317</v>
      </c>
      <c r="L318" s="248"/>
      <c r="M318" s="249"/>
      <c r="N318" s="225"/>
      <c r="O318" s="225"/>
      <c r="P318" s="225"/>
      <c r="Q318" s="250"/>
      <c r="R318" s="215" t="s">
        <v>27</v>
      </c>
      <c r="S318" s="215" t="s">
        <v>27</v>
      </c>
      <c r="T318" s="215" t="s">
        <v>27</v>
      </c>
      <c r="U318" s="225"/>
      <c r="V318" s="251"/>
      <c r="W318" s="377"/>
      <c r="X318" s="85"/>
      <c r="Y318" s="85"/>
      <c r="Z318" s="85"/>
      <c r="AA318" s="85"/>
      <c r="AB318" s="85"/>
      <c r="AC318" s="85"/>
    </row>
    <row r="319" spans="1:29" ht="27">
      <c r="A319" s="85" t="s">
        <v>1331</v>
      </c>
      <c r="B319" s="87" t="s">
        <v>888</v>
      </c>
      <c r="C319" s="80" t="s">
        <v>438</v>
      </c>
      <c r="D319" s="81" t="s">
        <v>1394</v>
      </c>
      <c r="E319" s="87" t="s">
        <v>325</v>
      </c>
      <c r="F319" s="87" t="s">
        <v>326</v>
      </c>
      <c r="G319" s="246" t="s">
        <v>1395</v>
      </c>
      <c r="H319" s="234" t="s">
        <v>1396</v>
      </c>
      <c r="I319" s="225" t="s">
        <v>24</v>
      </c>
      <c r="J319" s="225" t="s">
        <v>24</v>
      </c>
      <c r="K319" s="248" t="s">
        <v>24</v>
      </c>
      <c r="L319" s="248" t="s">
        <v>329</v>
      </c>
      <c r="M319" s="224" t="s">
        <v>24</v>
      </c>
      <c r="N319" s="107" t="s">
        <v>24</v>
      </c>
      <c r="O319" s="107" t="s">
        <v>24</v>
      </c>
      <c r="P319" s="225"/>
      <c r="Q319" s="250"/>
      <c r="R319" s="215" t="s">
        <v>24</v>
      </c>
      <c r="S319" s="225" t="s">
        <v>24</v>
      </c>
      <c r="T319" s="225" t="s">
        <v>24</v>
      </c>
      <c r="U319" s="225" t="s">
        <v>329</v>
      </c>
      <c r="V319" s="251"/>
      <c r="W319" s="377"/>
      <c r="X319" s="85"/>
      <c r="Y319" s="85"/>
      <c r="Z319" s="85"/>
      <c r="AA319" s="85"/>
      <c r="AB319" s="85"/>
      <c r="AC319" s="85"/>
    </row>
    <row r="320" spans="1:29" ht="343.5">
      <c r="A320" s="85" t="s">
        <v>1331</v>
      </c>
      <c r="B320" s="87" t="s">
        <v>888</v>
      </c>
      <c r="C320" s="80" t="s">
        <v>888</v>
      </c>
      <c r="D320" s="81" t="s">
        <v>1397</v>
      </c>
      <c r="E320" s="87" t="s">
        <v>325</v>
      </c>
      <c r="F320" s="87" t="s">
        <v>326</v>
      </c>
      <c r="G320" s="246" t="s">
        <v>1398</v>
      </c>
      <c r="H320" s="234" t="s">
        <v>1399</v>
      </c>
      <c r="I320" s="225" t="s">
        <v>24</v>
      </c>
      <c r="J320" s="225" t="s">
        <v>24</v>
      </c>
      <c r="K320" s="248" t="s">
        <v>24</v>
      </c>
      <c r="L320" s="248" t="s">
        <v>329</v>
      </c>
      <c r="M320" s="224" t="s">
        <v>24</v>
      </c>
      <c r="N320" s="107" t="s">
        <v>24</v>
      </c>
      <c r="O320" s="107" t="s">
        <v>24</v>
      </c>
      <c r="P320" s="225"/>
      <c r="Q320" s="250"/>
      <c r="R320" s="215" t="s">
        <v>24</v>
      </c>
      <c r="S320" s="225" t="s">
        <v>24</v>
      </c>
      <c r="T320" s="225" t="s">
        <v>24</v>
      </c>
      <c r="U320" s="225" t="s">
        <v>329</v>
      </c>
      <c r="V320" s="251"/>
      <c r="W320" s="377"/>
      <c r="X320" s="85"/>
      <c r="Y320" s="85"/>
      <c r="Z320" s="85"/>
      <c r="AA320" s="85"/>
      <c r="AB320" s="85"/>
      <c r="AC320" s="85"/>
    </row>
    <row r="321" spans="1:29" ht="315.75">
      <c r="A321" s="85" t="s">
        <v>1400</v>
      </c>
      <c r="B321" s="87" t="s">
        <v>820</v>
      </c>
      <c r="C321" s="80" t="s">
        <v>1126</v>
      </c>
      <c r="D321" s="81" t="s">
        <v>1401</v>
      </c>
      <c r="E321" s="87" t="s">
        <v>325</v>
      </c>
      <c r="F321" s="87" t="s">
        <v>326</v>
      </c>
      <c r="G321" s="246" t="s">
        <v>1402</v>
      </c>
      <c r="H321" s="256"/>
      <c r="I321" s="245" t="s">
        <v>337</v>
      </c>
      <c r="J321" s="245" t="s">
        <v>337</v>
      </c>
      <c r="K321" s="257" t="s">
        <v>337</v>
      </c>
      <c r="L321" s="248" t="s">
        <v>329</v>
      </c>
      <c r="M321" s="224" t="s">
        <v>24</v>
      </c>
      <c r="N321" s="107" t="s">
        <v>24</v>
      </c>
      <c r="O321" s="107" t="s">
        <v>24</v>
      </c>
      <c r="P321" s="107" t="s">
        <v>626</v>
      </c>
      <c r="Q321" s="254" t="s">
        <v>339</v>
      </c>
      <c r="R321" s="215" t="s">
        <v>24</v>
      </c>
      <c r="S321" s="225" t="s">
        <v>24</v>
      </c>
      <c r="T321" s="225" t="s">
        <v>24</v>
      </c>
      <c r="U321" s="225" t="s">
        <v>329</v>
      </c>
      <c r="V321" s="251" t="s">
        <v>1403</v>
      </c>
      <c r="W321" s="377"/>
      <c r="X321" s="85"/>
      <c r="Y321" s="85"/>
      <c r="Z321" s="85"/>
      <c r="AA321" s="85"/>
      <c r="AB321" s="85"/>
      <c r="AC321" s="85"/>
    </row>
    <row r="322" spans="1:29" ht="409.6">
      <c r="A322" s="85" t="s">
        <v>1400</v>
      </c>
      <c r="B322" s="87" t="s">
        <v>820</v>
      </c>
      <c r="C322" s="80" t="s">
        <v>1128</v>
      </c>
      <c r="D322" s="81" t="s">
        <v>1404</v>
      </c>
      <c r="E322" s="87" t="s">
        <v>325</v>
      </c>
      <c r="F322" s="87" t="s">
        <v>326</v>
      </c>
      <c r="G322" s="290" t="s">
        <v>1405</v>
      </c>
      <c r="H322" s="256"/>
      <c r="I322" s="245" t="s">
        <v>337</v>
      </c>
      <c r="J322" s="245" t="s">
        <v>337</v>
      </c>
      <c r="K322" s="257" t="s">
        <v>337</v>
      </c>
      <c r="L322" s="248" t="s">
        <v>329</v>
      </c>
      <c r="M322" s="224" t="s">
        <v>24</v>
      </c>
      <c r="N322" s="107" t="s">
        <v>24</v>
      </c>
      <c r="O322" s="107" t="s">
        <v>24</v>
      </c>
      <c r="P322" s="107" t="s">
        <v>626</v>
      </c>
      <c r="Q322" s="254" t="s">
        <v>339</v>
      </c>
      <c r="R322" s="215" t="s">
        <v>24</v>
      </c>
      <c r="S322" s="225" t="s">
        <v>24</v>
      </c>
      <c r="T322" s="225" t="s">
        <v>24</v>
      </c>
      <c r="U322" s="225" t="s">
        <v>329</v>
      </c>
      <c r="V322" s="251" t="s">
        <v>1406</v>
      </c>
      <c r="W322" s="377"/>
      <c r="X322" s="85"/>
      <c r="Y322" s="85"/>
      <c r="Z322" s="85"/>
      <c r="AA322" s="85"/>
      <c r="AB322" s="85"/>
      <c r="AC322" s="85"/>
    </row>
    <row r="323" spans="1:29" ht="409.6">
      <c r="A323" s="85" t="s">
        <v>1400</v>
      </c>
      <c r="B323" s="87" t="s">
        <v>820</v>
      </c>
      <c r="C323" s="80" t="s">
        <v>1407</v>
      </c>
      <c r="D323" s="81" t="s">
        <v>1408</v>
      </c>
      <c r="E323" s="87" t="s">
        <v>325</v>
      </c>
      <c r="F323" s="87" t="s">
        <v>326</v>
      </c>
      <c r="G323" s="246" t="s">
        <v>1409</v>
      </c>
      <c r="H323" s="234" t="s">
        <v>1410</v>
      </c>
      <c r="I323" s="225" t="s">
        <v>24</v>
      </c>
      <c r="J323" s="225" t="s">
        <v>24</v>
      </c>
      <c r="K323" s="248" t="s">
        <v>24</v>
      </c>
      <c r="L323" s="248" t="s">
        <v>329</v>
      </c>
      <c r="M323" s="224" t="s">
        <v>24</v>
      </c>
      <c r="N323" s="107" t="s">
        <v>24</v>
      </c>
      <c r="O323" s="107" t="s">
        <v>24</v>
      </c>
      <c r="P323" s="107" t="s">
        <v>626</v>
      </c>
      <c r="Q323" s="254"/>
      <c r="R323" s="215" t="s">
        <v>24</v>
      </c>
      <c r="S323" s="225" t="s">
        <v>24</v>
      </c>
      <c r="T323" s="225" t="s">
        <v>24</v>
      </c>
      <c r="U323" s="225" t="s">
        <v>329</v>
      </c>
      <c r="V323" s="251"/>
      <c r="W323" s="377"/>
      <c r="X323" s="85"/>
      <c r="Y323" s="85"/>
      <c r="Z323" s="85"/>
      <c r="AA323" s="85"/>
      <c r="AB323" s="85"/>
      <c r="AC323" s="85"/>
    </row>
    <row r="324" spans="1:29" ht="409.6">
      <c r="A324" s="85" t="s">
        <v>1400</v>
      </c>
      <c r="B324" s="87" t="s">
        <v>820</v>
      </c>
      <c r="C324" s="80" t="s">
        <v>1411</v>
      </c>
      <c r="D324" s="81" t="s">
        <v>1412</v>
      </c>
      <c r="E324" s="87" t="s">
        <v>325</v>
      </c>
      <c r="F324" s="87" t="s">
        <v>326</v>
      </c>
      <c r="G324" s="246" t="s">
        <v>1413</v>
      </c>
      <c r="H324" s="234" t="s">
        <v>1410</v>
      </c>
      <c r="I324" s="225" t="s">
        <v>24</v>
      </c>
      <c r="J324" s="225" t="s">
        <v>24</v>
      </c>
      <c r="K324" s="248" t="s">
        <v>24</v>
      </c>
      <c r="L324" s="248" t="s">
        <v>329</v>
      </c>
      <c r="M324" s="224" t="s">
        <v>24</v>
      </c>
      <c r="N324" s="107" t="s">
        <v>24</v>
      </c>
      <c r="O324" s="107" t="s">
        <v>24</v>
      </c>
      <c r="P324" s="225"/>
      <c r="Q324" s="250"/>
      <c r="R324" s="215" t="s">
        <v>24</v>
      </c>
      <c r="S324" s="225" t="s">
        <v>24</v>
      </c>
      <c r="T324" s="225" t="s">
        <v>24</v>
      </c>
      <c r="U324" s="225" t="s">
        <v>329</v>
      </c>
      <c r="V324" s="251"/>
      <c r="W324" s="377"/>
      <c r="X324" s="85"/>
      <c r="Y324" s="85"/>
      <c r="Z324" s="85"/>
      <c r="AA324" s="85"/>
      <c r="AB324" s="85"/>
      <c r="AC324" s="85"/>
    </row>
    <row r="325" spans="1:29" ht="409.6">
      <c r="A325" s="85" t="s">
        <v>1400</v>
      </c>
      <c r="B325" s="87" t="s">
        <v>820</v>
      </c>
      <c r="C325" s="80" t="s">
        <v>1130</v>
      </c>
      <c r="D325" s="81" t="s">
        <v>1414</v>
      </c>
      <c r="E325" s="87" t="s">
        <v>325</v>
      </c>
      <c r="F325" s="87" t="s">
        <v>326</v>
      </c>
      <c r="G325" s="259"/>
      <c r="H325" s="256" t="s">
        <v>1228</v>
      </c>
      <c r="I325" s="225" t="s">
        <v>311</v>
      </c>
      <c r="J325" s="225" t="s">
        <v>311</v>
      </c>
      <c r="K325" s="225" t="s">
        <v>311</v>
      </c>
      <c r="L325" s="248" t="s">
        <v>329</v>
      </c>
      <c r="M325" s="283" t="s">
        <v>26</v>
      </c>
      <c r="N325" s="283" t="s">
        <v>26</v>
      </c>
      <c r="O325" s="283" t="s">
        <v>26</v>
      </c>
      <c r="P325" s="106"/>
      <c r="Q325" s="254" t="s">
        <v>851</v>
      </c>
      <c r="R325" s="312" t="s">
        <v>24</v>
      </c>
      <c r="S325" s="106" t="s">
        <v>24</v>
      </c>
      <c r="T325" s="106" t="s">
        <v>24</v>
      </c>
      <c r="U325" s="225" t="s">
        <v>329</v>
      </c>
      <c r="V325" s="251" t="s">
        <v>1415</v>
      </c>
      <c r="W325" s="377"/>
      <c r="X325" s="87"/>
      <c r="Y325" s="87"/>
      <c r="Z325" s="87"/>
      <c r="AA325" s="87"/>
      <c r="AB325" s="87"/>
      <c r="AC325" s="87"/>
    </row>
    <row r="326" spans="1:29" ht="14.25" customHeight="1">
      <c r="A326" s="85" t="s">
        <v>1400</v>
      </c>
      <c r="B326" s="87" t="s">
        <v>820</v>
      </c>
      <c r="C326" s="80" t="s">
        <v>1132</v>
      </c>
      <c r="D326" s="81" t="s">
        <v>1416</v>
      </c>
      <c r="E326" s="87" t="s">
        <v>325</v>
      </c>
      <c r="F326" s="87" t="s">
        <v>326</v>
      </c>
      <c r="G326" s="259"/>
      <c r="H326" s="256" t="s">
        <v>1228</v>
      </c>
      <c r="I326" s="225" t="s">
        <v>311</v>
      </c>
      <c r="J326" s="225" t="s">
        <v>311</v>
      </c>
      <c r="K326" s="225" t="s">
        <v>311</v>
      </c>
      <c r="L326" s="248" t="s">
        <v>329</v>
      </c>
      <c r="M326" s="283" t="s">
        <v>26</v>
      </c>
      <c r="N326" s="283" t="s">
        <v>26</v>
      </c>
      <c r="O326" s="283" t="s">
        <v>26</v>
      </c>
      <c r="P326" s="106"/>
      <c r="Q326" s="254" t="s">
        <v>851</v>
      </c>
      <c r="R326" s="312" t="s">
        <v>24</v>
      </c>
      <c r="S326" s="106" t="s">
        <v>24</v>
      </c>
      <c r="T326" s="106" t="s">
        <v>24</v>
      </c>
      <c r="U326" s="225" t="s">
        <v>329</v>
      </c>
      <c r="V326" s="251" t="s">
        <v>1417</v>
      </c>
      <c r="W326" s="377"/>
      <c r="X326" s="87"/>
      <c r="Y326" s="87"/>
      <c r="Z326" s="87"/>
      <c r="AA326" s="87"/>
      <c r="AB326" s="87"/>
      <c r="AC326" s="87"/>
    </row>
    <row r="327" spans="1:29" ht="233.25">
      <c r="A327" s="85" t="s">
        <v>1400</v>
      </c>
      <c r="B327" s="87" t="s">
        <v>820</v>
      </c>
      <c r="C327" s="80" t="s">
        <v>1418</v>
      </c>
      <c r="D327" s="81" t="s">
        <v>1419</v>
      </c>
      <c r="E327" s="87" t="s">
        <v>325</v>
      </c>
      <c r="F327" s="87" t="s">
        <v>326</v>
      </c>
      <c r="G327" s="259"/>
      <c r="H327" s="256" t="s">
        <v>1228</v>
      </c>
      <c r="I327" s="225" t="s">
        <v>311</v>
      </c>
      <c r="J327" s="225" t="s">
        <v>311</v>
      </c>
      <c r="K327" s="225" t="s">
        <v>311</v>
      </c>
      <c r="L327" s="248" t="s">
        <v>329</v>
      </c>
      <c r="M327" s="224" t="s">
        <v>26</v>
      </c>
      <c r="N327" s="107" t="s">
        <v>26</v>
      </c>
      <c r="O327" s="107" t="s">
        <v>26</v>
      </c>
      <c r="P327" s="107" t="s">
        <v>626</v>
      </c>
      <c r="Q327" s="254" t="s">
        <v>851</v>
      </c>
      <c r="R327" s="215" t="s">
        <v>28</v>
      </c>
      <c r="S327" s="225" t="s">
        <v>28</v>
      </c>
      <c r="T327" s="225" t="s">
        <v>28</v>
      </c>
      <c r="U327" s="225" t="s">
        <v>329</v>
      </c>
      <c r="V327" s="251" t="s">
        <v>1420</v>
      </c>
      <c r="W327" s="418" t="s">
        <v>1354</v>
      </c>
      <c r="X327" s="87"/>
      <c r="Y327" s="87"/>
      <c r="Z327" s="87"/>
      <c r="AA327" s="87" t="s">
        <v>377</v>
      </c>
      <c r="AB327" s="87"/>
      <c r="AC327" s="87"/>
    </row>
    <row r="328" spans="1:29" ht="219.75">
      <c r="A328" s="85" t="s">
        <v>1400</v>
      </c>
      <c r="B328" s="87" t="s">
        <v>820</v>
      </c>
      <c r="C328" s="80" t="s">
        <v>1421</v>
      </c>
      <c r="D328" s="81" t="s">
        <v>1422</v>
      </c>
      <c r="E328" s="87" t="s">
        <v>325</v>
      </c>
      <c r="F328" s="87" t="s">
        <v>326</v>
      </c>
      <c r="G328" s="259"/>
      <c r="H328" s="256" t="s">
        <v>1228</v>
      </c>
      <c r="I328" s="225" t="s">
        <v>311</v>
      </c>
      <c r="J328" s="225" t="s">
        <v>311</v>
      </c>
      <c r="K328" s="225" t="s">
        <v>311</v>
      </c>
      <c r="L328" s="248" t="s">
        <v>329</v>
      </c>
      <c r="M328" s="224" t="s">
        <v>26</v>
      </c>
      <c r="N328" s="107" t="s">
        <v>26</v>
      </c>
      <c r="O328" s="107" t="s">
        <v>26</v>
      </c>
      <c r="P328" s="107" t="s">
        <v>626</v>
      </c>
      <c r="Q328" s="254" t="s">
        <v>851</v>
      </c>
      <c r="R328" s="215" t="s">
        <v>25</v>
      </c>
      <c r="S328" s="225" t="s">
        <v>25</v>
      </c>
      <c r="T328" s="225" t="s">
        <v>25</v>
      </c>
      <c r="U328" s="225" t="s">
        <v>329</v>
      </c>
      <c r="V328" s="251" t="s">
        <v>1423</v>
      </c>
      <c r="W328" s="414" t="s">
        <v>1354</v>
      </c>
      <c r="X328" s="87"/>
      <c r="Y328" s="87"/>
      <c r="Z328" s="87"/>
      <c r="AA328" s="87" t="s">
        <v>377</v>
      </c>
      <c r="AB328" s="87"/>
      <c r="AC328" s="87"/>
    </row>
    <row r="329" spans="1:29" ht="409.6">
      <c r="A329" s="85" t="s">
        <v>1400</v>
      </c>
      <c r="B329" s="87" t="s">
        <v>820</v>
      </c>
      <c r="C329" s="80" t="s">
        <v>1424</v>
      </c>
      <c r="D329" s="81" t="s">
        <v>1425</v>
      </c>
      <c r="E329" s="87" t="s">
        <v>325</v>
      </c>
      <c r="F329" s="87" t="s">
        <v>326</v>
      </c>
      <c r="G329" s="259"/>
      <c r="H329" s="256" t="s">
        <v>1228</v>
      </c>
      <c r="I329" s="225" t="s">
        <v>311</v>
      </c>
      <c r="J329" s="225" t="s">
        <v>311</v>
      </c>
      <c r="K329" s="225" t="s">
        <v>311</v>
      </c>
      <c r="L329" s="248" t="s">
        <v>329</v>
      </c>
      <c r="M329" s="224" t="s">
        <v>26</v>
      </c>
      <c r="N329" s="107" t="s">
        <v>26</v>
      </c>
      <c r="O329" s="107" t="s">
        <v>26</v>
      </c>
      <c r="P329" s="107" t="s">
        <v>626</v>
      </c>
      <c r="Q329" s="254" t="s">
        <v>851</v>
      </c>
      <c r="R329" s="285" t="s">
        <v>25</v>
      </c>
      <c r="S329" s="245" t="s">
        <v>25</v>
      </c>
      <c r="T329" s="245" t="s">
        <v>25</v>
      </c>
      <c r="U329" s="225" t="s">
        <v>329</v>
      </c>
      <c r="V329" s="289" t="s">
        <v>1426</v>
      </c>
      <c r="W329" s="377"/>
      <c r="X329" s="87"/>
      <c r="Y329" s="87"/>
      <c r="Z329" s="87"/>
      <c r="AA329" s="87" t="s">
        <v>377</v>
      </c>
      <c r="AB329" s="87"/>
      <c r="AC329" s="87"/>
    </row>
    <row r="330" spans="1:29" ht="315.75">
      <c r="A330" s="85" t="s">
        <v>1400</v>
      </c>
      <c r="B330" s="87" t="s">
        <v>820</v>
      </c>
      <c r="C330" s="80" t="s">
        <v>1134</v>
      </c>
      <c r="D330" s="81" t="s">
        <v>1427</v>
      </c>
      <c r="E330" s="87" t="s">
        <v>325</v>
      </c>
      <c r="F330" s="87" t="s">
        <v>326</v>
      </c>
      <c r="G330" s="246" t="s">
        <v>1428</v>
      </c>
      <c r="H330" s="297" t="s">
        <v>1429</v>
      </c>
      <c r="I330" s="225" t="s">
        <v>24</v>
      </c>
      <c r="J330" s="225" t="s">
        <v>24</v>
      </c>
      <c r="K330" s="248" t="s">
        <v>24</v>
      </c>
      <c r="L330" s="248" t="s">
        <v>329</v>
      </c>
      <c r="M330" s="224" t="s">
        <v>24</v>
      </c>
      <c r="N330" s="107" t="s">
        <v>24</v>
      </c>
      <c r="O330" s="107" t="s">
        <v>24</v>
      </c>
      <c r="P330" s="225"/>
      <c r="Q330" s="250"/>
      <c r="R330" s="215" t="s">
        <v>24</v>
      </c>
      <c r="S330" s="225" t="s">
        <v>24</v>
      </c>
      <c r="T330" s="225" t="s">
        <v>24</v>
      </c>
      <c r="U330" s="225" t="s">
        <v>329</v>
      </c>
      <c r="V330" s="251" t="s">
        <v>1430</v>
      </c>
      <c r="W330" s="377"/>
      <c r="X330" s="85"/>
      <c r="Y330" s="85"/>
      <c r="Z330" s="85"/>
      <c r="AA330" s="85"/>
      <c r="AB330" s="85"/>
      <c r="AC330" s="85"/>
    </row>
    <row r="331" spans="1:29" ht="409.6">
      <c r="A331" s="85" t="s">
        <v>1400</v>
      </c>
      <c r="B331" s="87" t="s">
        <v>820</v>
      </c>
      <c r="C331" s="80" t="s">
        <v>1136</v>
      </c>
      <c r="D331" s="81" t="s">
        <v>1431</v>
      </c>
      <c r="E331" s="87" t="s">
        <v>325</v>
      </c>
      <c r="F331" s="87" t="s">
        <v>326</v>
      </c>
      <c r="G331" s="246" t="s">
        <v>1432</v>
      </c>
      <c r="H331" s="234" t="s">
        <v>1410</v>
      </c>
      <c r="I331" s="245" t="s">
        <v>337</v>
      </c>
      <c r="J331" s="245" t="s">
        <v>337</v>
      </c>
      <c r="K331" s="257" t="s">
        <v>337</v>
      </c>
      <c r="L331" s="248" t="s">
        <v>329</v>
      </c>
      <c r="M331" s="224" t="s">
        <v>24</v>
      </c>
      <c r="N331" s="107" t="s">
        <v>24</v>
      </c>
      <c r="O331" s="107" t="s">
        <v>24</v>
      </c>
      <c r="P331" s="81" t="s">
        <v>1433</v>
      </c>
      <c r="Q331" s="309"/>
      <c r="R331" s="312" t="s">
        <v>24</v>
      </c>
      <c r="S331" s="106" t="s">
        <v>24</v>
      </c>
      <c r="T331" s="106" t="s">
        <v>24</v>
      </c>
      <c r="U331" s="225" t="s">
        <v>329</v>
      </c>
      <c r="V331" s="251" t="s">
        <v>1434</v>
      </c>
      <c r="W331" s="377"/>
      <c r="X331" s="85"/>
      <c r="Y331" s="85"/>
      <c r="Z331" s="85"/>
      <c r="AA331" s="85"/>
      <c r="AB331" s="85"/>
      <c r="AC331" s="85"/>
    </row>
    <row r="332" spans="1:29" ht="409.6">
      <c r="A332" s="85" t="s">
        <v>1400</v>
      </c>
      <c r="B332" s="87" t="s">
        <v>820</v>
      </c>
      <c r="C332" s="80" t="s">
        <v>1138</v>
      </c>
      <c r="D332" s="81" t="s">
        <v>1435</v>
      </c>
      <c r="E332" s="87" t="s">
        <v>325</v>
      </c>
      <c r="F332" s="87" t="s">
        <v>326</v>
      </c>
      <c r="G332" s="246" t="s">
        <v>1436</v>
      </c>
      <c r="H332" s="234" t="s">
        <v>1410</v>
      </c>
      <c r="I332" s="225" t="s">
        <v>24</v>
      </c>
      <c r="J332" s="225" t="s">
        <v>24</v>
      </c>
      <c r="K332" s="248" t="s">
        <v>24</v>
      </c>
      <c r="L332" s="248" t="s">
        <v>329</v>
      </c>
      <c r="M332" s="224" t="s">
        <v>24</v>
      </c>
      <c r="N332" s="107" t="s">
        <v>24</v>
      </c>
      <c r="O332" s="107" t="s">
        <v>24</v>
      </c>
      <c r="P332" s="225"/>
      <c r="Q332" s="250"/>
      <c r="R332" s="215" t="s">
        <v>24</v>
      </c>
      <c r="S332" s="225" t="s">
        <v>24</v>
      </c>
      <c r="T332" s="225" t="s">
        <v>24</v>
      </c>
      <c r="U332" s="225" t="s">
        <v>329</v>
      </c>
      <c r="V332" s="251" t="s">
        <v>1437</v>
      </c>
      <c r="W332" s="377"/>
      <c r="X332" s="85"/>
      <c r="Y332" s="85"/>
      <c r="Z332" s="85"/>
      <c r="AA332" s="85"/>
      <c r="AB332" s="85"/>
      <c r="AC332" s="85"/>
    </row>
    <row r="333" spans="1:29" ht="409.6">
      <c r="A333" s="85" t="s">
        <v>1400</v>
      </c>
      <c r="B333" s="87" t="s">
        <v>820</v>
      </c>
      <c r="C333" s="80" t="s">
        <v>1140</v>
      </c>
      <c r="D333" s="81" t="s">
        <v>1438</v>
      </c>
      <c r="E333" s="87" t="s">
        <v>325</v>
      </c>
      <c r="F333" s="87" t="s">
        <v>326</v>
      </c>
      <c r="G333" s="246" t="s">
        <v>1439</v>
      </c>
      <c r="H333" s="234" t="s">
        <v>1410</v>
      </c>
      <c r="I333" s="225" t="s">
        <v>24</v>
      </c>
      <c r="J333" s="225" t="s">
        <v>24</v>
      </c>
      <c r="K333" s="248" t="s">
        <v>24</v>
      </c>
      <c r="L333" s="248" t="s">
        <v>329</v>
      </c>
      <c r="M333" s="224" t="s">
        <v>24</v>
      </c>
      <c r="N333" s="107" t="s">
        <v>24</v>
      </c>
      <c r="O333" s="107" t="s">
        <v>24</v>
      </c>
      <c r="P333" s="225"/>
      <c r="Q333" s="250"/>
      <c r="R333" s="215" t="s">
        <v>24</v>
      </c>
      <c r="S333" s="225" t="s">
        <v>24</v>
      </c>
      <c r="T333" s="225" t="s">
        <v>24</v>
      </c>
      <c r="U333" s="225" t="s">
        <v>329</v>
      </c>
      <c r="V333" s="251"/>
      <c r="W333" s="377"/>
      <c r="X333" s="85"/>
      <c r="Y333" s="85"/>
      <c r="Z333" s="85"/>
      <c r="AA333" s="85"/>
      <c r="AB333" s="85"/>
      <c r="AC333" s="85"/>
    </row>
    <row r="334" spans="1:29" ht="409.6">
      <c r="A334" s="85" t="s">
        <v>1400</v>
      </c>
      <c r="B334" s="87" t="s">
        <v>820</v>
      </c>
      <c r="C334" s="80" t="s">
        <v>1440</v>
      </c>
      <c r="D334" s="81" t="s">
        <v>1441</v>
      </c>
      <c r="E334" s="87" t="s">
        <v>325</v>
      </c>
      <c r="F334" s="87" t="s">
        <v>326</v>
      </c>
      <c r="G334" s="246" t="s">
        <v>1442</v>
      </c>
      <c r="H334" s="234"/>
      <c r="I334" s="245" t="s">
        <v>337</v>
      </c>
      <c r="J334" s="245" t="s">
        <v>337</v>
      </c>
      <c r="K334" s="257" t="s">
        <v>337</v>
      </c>
      <c r="L334" s="248" t="s">
        <v>329</v>
      </c>
      <c r="M334" s="224" t="s">
        <v>26</v>
      </c>
      <c r="N334" s="107" t="s">
        <v>26</v>
      </c>
      <c r="O334" s="107" t="s">
        <v>26</v>
      </c>
      <c r="P334" s="107" t="s">
        <v>626</v>
      </c>
      <c r="Q334" s="254" t="s">
        <v>339</v>
      </c>
      <c r="R334" s="285" t="s">
        <v>25</v>
      </c>
      <c r="S334" s="245" t="s">
        <v>25</v>
      </c>
      <c r="T334" s="245" t="s">
        <v>25</v>
      </c>
      <c r="U334" s="225" t="s">
        <v>329</v>
      </c>
      <c r="V334" s="289" t="s">
        <v>1443</v>
      </c>
      <c r="W334" s="377"/>
      <c r="X334" s="87"/>
      <c r="Y334" s="87"/>
      <c r="Z334" s="87"/>
      <c r="AA334" s="87" t="s">
        <v>377</v>
      </c>
      <c r="AB334" s="87"/>
      <c r="AC334" s="87"/>
    </row>
    <row r="335" spans="1:29" ht="409.6">
      <c r="A335" s="85" t="s">
        <v>1400</v>
      </c>
      <c r="B335" s="87" t="s">
        <v>820</v>
      </c>
      <c r="C335" s="80" t="s">
        <v>1142</v>
      </c>
      <c r="D335" s="81" t="s">
        <v>1444</v>
      </c>
      <c r="E335" s="87" t="s">
        <v>325</v>
      </c>
      <c r="F335" s="87" t="s">
        <v>326</v>
      </c>
      <c r="G335" s="246" t="s">
        <v>1445</v>
      </c>
      <c r="H335" s="234" t="s">
        <v>1446</v>
      </c>
      <c r="I335" s="245" t="s">
        <v>337</v>
      </c>
      <c r="J335" s="245" t="s">
        <v>337</v>
      </c>
      <c r="K335" s="257" t="s">
        <v>337</v>
      </c>
      <c r="L335" s="248" t="s">
        <v>329</v>
      </c>
      <c r="M335" s="224" t="s">
        <v>24</v>
      </c>
      <c r="N335" s="107" t="s">
        <v>24</v>
      </c>
      <c r="O335" s="107" t="s">
        <v>24</v>
      </c>
      <c r="P335" s="107" t="s">
        <v>626</v>
      </c>
      <c r="Q335" s="254" t="s">
        <v>339</v>
      </c>
      <c r="R335" s="306" t="s">
        <v>24</v>
      </c>
      <c r="S335" s="225" t="s">
        <v>24</v>
      </c>
      <c r="T335" s="225" t="s">
        <v>24</v>
      </c>
      <c r="U335" s="225" t="s">
        <v>329</v>
      </c>
      <c r="V335" s="289" t="s">
        <v>1447</v>
      </c>
      <c r="W335" s="377"/>
      <c r="X335" s="85"/>
      <c r="Y335" s="85"/>
      <c r="Z335" s="85"/>
      <c r="AA335" s="85"/>
      <c r="AB335" s="85"/>
      <c r="AC335" s="85"/>
    </row>
    <row r="336" spans="1:29" ht="409.6">
      <c r="A336" s="85" t="s">
        <v>1400</v>
      </c>
      <c r="B336" s="87" t="s">
        <v>820</v>
      </c>
      <c r="C336" s="80" t="s">
        <v>1144</v>
      </c>
      <c r="D336" s="81" t="s">
        <v>1448</v>
      </c>
      <c r="E336" s="87" t="s">
        <v>325</v>
      </c>
      <c r="F336" s="87" t="s">
        <v>326</v>
      </c>
      <c r="G336" s="246" t="s">
        <v>1449</v>
      </c>
      <c r="H336" s="297" t="s">
        <v>1450</v>
      </c>
      <c r="I336" s="245" t="s">
        <v>337</v>
      </c>
      <c r="J336" s="245" t="s">
        <v>337</v>
      </c>
      <c r="K336" s="257" t="s">
        <v>337</v>
      </c>
      <c r="L336" s="248" t="s">
        <v>329</v>
      </c>
      <c r="M336" s="224" t="s">
        <v>24</v>
      </c>
      <c r="N336" s="107" t="s">
        <v>24</v>
      </c>
      <c r="O336" s="107" t="s">
        <v>24</v>
      </c>
      <c r="P336" s="107" t="s">
        <v>626</v>
      </c>
      <c r="Q336" s="254" t="s">
        <v>339</v>
      </c>
      <c r="R336" s="215" t="s">
        <v>24</v>
      </c>
      <c r="S336" s="215" t="s">
        <v>24</v>
      </c>
      <c r="T336" s="225" t="s">
        <v>24</v>
      </c>
      <c r="U336" s="225" t="s">
        <v>329</v>
      </c>
      <c r="V336" s="289" t="s">
        <v>1451</v>
      </c>
      <c r="W336" s="377"/>
      <c r="X336" s="85"/>
      <c r="Y336" s="85"/>
      <c r="Z336" s="85"/>
      <c r="AA336" s="85"/>
      <c r="AB336" s="85"/>
      <c r="AC336" s="85"/>
    </row>
    <row r="337" spans="1:29" ht="274.5">
      <c r="A337" s="85" t="s">
        <v>1400</v>
      </c>
      <c r="B337" s="87" t="s">
        <v>820</v>
      </c>
      <c r="C337" s="80" t="s">
        <v>1452</v>
      </c>
      <c r="D337" s="81" t="s">
        <v>1453</v>
      </c>
      <c r="E337" s="87" t="s">
        <v>325</v>
      </c>
      <c r="F337" s="87" t="s">
        <v>326</v>
      </c>
      <c r="G337" s="259"/>
      <c r="H337" s="256" t="s">
        <v>1228</v>
      </c>
      <c r="I337" s="334" t="s">
        <v>311</v>
      </c>
      <c r="J337" s="334" t="s">
        <v>311</v>
      </c>
      <c r="K337" s="334" t="s">
        <v>311</v>
      </c>
      <c r="L337" s="248"/>
      <c r="M337" s="224" t="s">
        <v>26</v>
      </c>
      <c r="N337" s="107" t="s">
        <v>26</v>
      </c>
      <c r="O337" s="107" t="s">
        <v>26</v>
      </c>
      <c r="P337" s="107" t="s">
        <v>626</v>
      </c>
      <c r="Q337" s="254" t="s">
        <v>851</v>
      </c>
      <c r="R337" s="215" t="s">
        <v>28</v>
      </c>
      <c r="S337" s="225" t="s">
        <v>28</v>
      </c>
      <c r="T337" s="225" t="s">
        <v>28</v>
      </c>
      <c r="U337" s="225"/>
      <c r="V337" s="251" t="s">
        <v>1454</v>
      </c>
      <c r="W337" s="418" t="s">
        <v>1354</v>
      </c>
      <c r="X337" s="87"/>
      <c r="Y337" s="87"/>
      <c r="Z337" s="87"/>
      <c r="AA337" s="87" t="s">
        <v>377</v>
      </c>
      <c r="AB337" s="87"/>
      <c r="AC337" s="87"/>
    </row>
    <row r="338" spans="1:29" ht="27">
      <c r="A338" s="85" t="s">
        <v>1331</v>
      </c>
      <c r="B338" s="87" t="s">
        <v>921</v>
      </c>
      <c r="C338" s="80" t="s">
        <v>84</v>
      </c>
      <c r="D338" s="86" t="s">
        <v>1455</v>
      </c>
      <c r="E338" s="245" t="s">
        <v>27</v>
      </c>
      <c r="F338" s="87" t="s">
        <v>317</v>
      </c>
      <c r="G338" s="259"/>
      <c r="H338" s="256" t="s">
        <v>1393</v>
      </c>
      <c r="I338" s="335" t="s">
        <v>317</v>
      </c>
      <c r="J338" s="335" t="s">
        <v>317</v>
      </c>
      <c r="K338" s="335" t="s">
        <v>317</v>
      </c>
      <c r="L338" s="248"/>
      <c r="M338" s="249"/>
      <c r="N338" s="225"/>
      <c r="O338" s="225"/>
      <c r="P338" s="225"/>
      <c r="Q338" s="250"/>
      <c r="R338" s="215" t="s">
        <v>27</v>
      </c>
      <c r="S338" s="215" t="s">
        <v>27</v>
      </c>
      <c r="T338" s="215" t="s">
        <v>27</v>
      </c>
      <c r="U338" s="225"/>
      <c r="V338" s="251"/>
      <c r="W338" s="377"/>
      <c r="X338" s="85"/>
      <c r="Y338" s="85"/>
      <c r="Z338" s="85"/>
      <c r="AA338" s="85"/>
      <c r="AB338" s="85"/>
      <c r="AC338" s="85"/>
    </row>
    <row r="339" spans="1:29" ht="27">
      <c r="A339" s="85" t="s">
        <v>1456</v>
      </c>
      <c r="B339" s="87" t="s">
        <v>784</v>
      </c>
      <c r="C339" s="80" t="s">
        <v>1457</v>
      </c>
      <c r="D339" s="81" t="s">
        <v>1458</v>
      </c>
      <c r="E339" s="245" t="s">
        <v>27</v>
      </c>
      <c r="F339" s="87" t="s">
        <v>317</v>
      </c>
      <c r="G339" s="259"/>
      <c r="H339" s="256"/>
      <c r="I339" s="247" t="s">
        <v>317</v>
      </c>
      <c r="J339" s="247" t="s">
        <v>317</v>
      </c>
      <c r="K339" s="247" t="s">
        <v>317</v>
      </c>
      <c r="L339" s="248"/>
      <c r="M339" s="249"/>
      <c r="N339" s="225"/>
      <c r="O339" s="225"/>
      <c r="P339" s="225"/>
      <c r="Q339" s="250"/>
      <c r="R339" s="215" t="s">
        <v>27</v>
      </c>
      <c r="S339" s="225" t="s">
        <v>27</v>
      </c>
      <c r="T339" s="225" t="s">
        <v>27</v>
      </c>
      <c r="U339" s="225"/>
      <c r="V339" s="251"/>
      <c r="W339" s="377"/>
      <c r="X339" s="85"/>
      <c r="Y339" s="85"/>
      <c r="Z339" s="85"/>
      <c r="AA339" s="85"/>
      <c r="AB339" s="85"/>
      <c r="AC339" s="85"/>
    </row>
    <row r="340" spans="1:29" ht="27">
      <c r="A340" s="85" t="s">
        <v>1456</v>
      </c>
      <c r="B340" s="87" t="s">
        <v>784</v>
      </c>
      <c r="C340" s="80" t="s">
        <v>1459</v>
      </c>
      <c r="D340" s="81" t="s">
        <v>1460</v>
      </c>
      <c r="E340" s="245" t="s">
        <v>27</v>
      </c>
      <c r="F340" s="87" t="s">
        <v>317</v>
      </c>
      <c r="G340" s="259"/>
      <c r="H340" s="256"/>
      <c r="I340" s="247" t="s">
        <v>317</v>
      </c>
      <c r="J340" s="247" t="s">
        <v>317</v>
      </c>
      <c r="K340" s="247" t="s">
        <v>317</v>
      </c>
      <c r="L340" s="248"/>
      <c r="M340" s="249"/>
      <c r="N340" s="225"/>
      <c r="O340" s="225"/>
      <c r="P340" s="225"/>
      <c r="Q340" s="250"/>
      <c r="R340" s="215" t="s">
        <v>27</v>
      </c>
      <c r="S340" s="225" t="s">
        <v>27</v>
      </c>
      <c r="T340" s="225" t="s">
        <v>27</v>
      </c>
      <c r="U340" s="225"/>
      <c r="V340" s="251"/>
      <c r="W340" s="377"/>
      <c r="X340" s="85"/>
      <c r="Y340" s="85"/>
      <c r="Z340" s="85"/>
      <c r="AA340" s="85"/>
      <c r="AB340" s="85"/>
      <c r="AC340" s="85"/>
    </row>
    <row r="341" spans="1:29" ht="27">
      <c r="A341" s="85" t="s">
        <v>1456</v>
      </c>
      <c r="B341" s="87" t="s">
        <v>784</v>
      </c>
      <c r="C341" s="80" t="s">
        <v>1461</v>
      </c>
      <c r="D341" s="81" t="s">
        <v>1462</v>
      </c>
      <c r="E341" s="245" t="s">
        <v>27</v>
      </c>
      <c r="F341" s="87" t="s">
        <v>317</v>
      </c>
      <c r="G341" s="259"/>
      <c r="H341" s="256"/>
      <c r="I341" s="247" t="s">
        <v>317</v>
      </c>
      <c r="J341" s="247" t="s">
        <v>317</v>
      </c>
      <c r="K341" s="247" t="s">
        <v>317</v>
      </c>
      <c r="L341" s="248"/>
      <c r="M341" s="249"/>
      <c r="N341" s="225"/>
      <c r="O341" s="225"/>
      <c r="P341" s="225"/>
      <c r="Q341" s="250"/>
      <c r="R341" s="215" t="s">
        <v>27</v>
      </c>
      <c r="S341" s="225" t="s">
        <v>27</v>
      </c>
      <c r="T341" s="225" t="s">
        <v>27</v>
      </c>
      <c r="U341" s="225"/>
      <c r="V341" s="251"/>
      <c r="W341" s="377"/>
      <c r="X341" s="85"/>
      <c r="Y341" s="85"/>
      <c r="Z341" s="85"/>
      <c r="AA341" s="85"/>
      <c r="AB341" s="85"/>
      <c r="AC341" s="85"/>
    </row>
    <row r="342" spans="1:29" ht="27">
      <c r="A342" s="85" t="s">
        <v>1456</v>
      </c>
      <c r="B342" s="87" t="s">
        <v>784</v>
      </c>
      <c r="C342" s="80" t="s">
        <v>1463</v>
      </c>
      <c r="D342" s="81" t="s">
        <v>1464</v>
      </c>
      <c r="E342" s="245" t="s">
        <v>27</v>
      </c>
      <c r="F342" s="87" t="s">
        <v>317</v>
      </c>
      <c r="G342" s="259"/>
      <c r="H342" s="256"/>
      <c r="I342" s="247" t="s">
        <v>317</v>
      </c>
      <c r="J342" s="247" t="s">
        <v>317</v>
      </c>
      <c r="K342" s="247" t="s">
        <v>317</v>
      </c>
      <c r="L342" s="248"/>
      <c r="M342" s="249"/>
      <c r="N342" s="225"/>
      <c r="O342" s="225"/>
      <c r="P342" s="225"/>
      <c r="Q342" s="250"/>
      <c r="R342" s="215" t="s">
        <v>27</v>
      </c>
      <c r="S342" s="225" t="s">
        <v>27</v>
      </c>
      <c r="T342" s="225" t="s">
        <v>27</v>
      </c>
      <c r="U342" s="225"/>
      <c r="V342" s="251"/>
      <c r="W342" s="377"/>
      <c r="X342" s="85"/>
      <c r="Y342" s="85"/>
      <c r="Z342" s="85"/>
      <c r="AA342" s="85"/>
      <c r="AB342" s="85"/>
      <c r="AC342" s="85"/>
    </row>
    <row r="343" spans="1:29" ht="27">
      <c r="A343" s="85" t="s">
        <v>1456</v>
      </c>
      <c r="B343" s="87" t="s">
        <v>784</v>
      </c>
      <c r="C343" s="80" t="s">
        <v>1465</v>
      </c>
      <c r="D343" s="81" t="s">
        <v>1466</v>
      </c>
      <c r="E343" s="245" t="s">
        <v>27</v>
      </c>
      <c r="F343" s="87" t="s">
        <v>317</v>
      </c>
      <c r="G343" s="259"/>
      <c r="H343" s="256"/>
      <c r="I343" s="247" t="s">
        <v>317</v>
      </c>
      <c r="J343" s="247" t="s">
        <v>317</v>
      </c>
      <c r="K343" s="247" t="s">
        <v>317</v>
      </c>
      <c r="L343" s="248"/>
      <c r="M343" s="249"/>
      <c r="N343" s="225"/>
      <c r="O343" s="225"/>
      <c r="P343" s="225"/>
      <c r="Q343" s="250"/>
      <c r="R343" s="215" t="s">
        <v>27</v>
      </c>
      <c r="S343" s="225" t="s">
        <v>27</v>
      </c>
      <c r="T343" s="225" t="s">
        <v>27</v>
      </c>
      <c r="U343" s="225"/>
      <c r="V343" s="251"/>
      <c r="W343" s="377"/>
      <c r="X343" s="85"/>
      <c r="Y343" s="85"/>
      <c r="Z343" s="85"/>
      <c r="AA343" s="85"/>
      <c r="AB343" s="85"/>
      <c r="AC343" s="85"/>
    </row>
    <row r="344" spans="1:29" ht="27">
      <c r="A344" s="85" t="s">
        <v>1456</v>
      </c>
      <c r="B344" s="87" t="s">
        <v>784</v>
      </c>
      <c r="C344" s="80" t="s">
        <v>1467</v>
      </c>
      <c r="D344" s="81" t="s">
        <v>1468</v>
      </c>
      <c r="E344" s="245" t="s">
        <v>27</v>
      </c>
      <c r="F344" s="87" t="s">
        <v>317</v>
      </c>
      <c r="G344" s="259"/>
      <c r="H344" s="256"/>
      <c r="I344" s="247" t="s">
        <v>317</v>
      </c>
      <c r="J344" s="247" t="s">
        <v>317</v>
      </c>
      <c r="K344" s="247" t="s">
        <v>317</v>
      </c>
      <c r="L344" s="248"/>
      <c r="M344" s="249"/>
      <c r="N344" s="225"/>
      <c r="O344" s="225"/>
      <c r="P344" s="225"/>
      <c r="Q344" s="250"/>
      <c r="R344" s="215" t="s">
        <v>27</v>
      </c>
      <c r="S344" s="225" t="s">
        <v>27</v>
      </c>
      <c r="T344" s="225" t="s">
        <v>27</v>
      </c>
      <c r="U344" s="225"/>
      <c r="V344" s="251"/>
      <c r="W344" s="377"/>
      <c r="X344" s="85"/>
      <c r="Y344" s="85"/>
      <c r="Z344" s="85"/>
      <c r="AA344" s="85"/>
      <c r="AB344" s="85"/>
      <c r="AC344" s="85"/>
    </row>
    <row r="345" spans="1:29" ht="27">
      <c r="A345" s="85" t="s">
        <v>1456</v>
      </c>
      <c r="B345" s="87" t="s">
        <v>784</v>
      </c>
      <c r="C345" s="80" t="s">
        <v>1469</v>
      </c>
      <c r="D345" s="81" t="s">
        <v>1470</v>
      </c>
      <c r="E345" s="245" t="s">
        <v>27</v>
      </c>
      <c r="F345" s="87" t="s">
        <v>317</v>
      </c>
      <c r="G345" s="259"/>
      <c r="H345" s="256"/>
      <c r="I345" s="247" t="s">
        <v>317</v>
      </c>
      <c r="J345" s="247" t="s">
        <v>317</v>
      </c>
      <c r="K345" s="247" t="s">
        <v>317</v>
      </c>
      <c r="L345" s="248"/>
      <c r="M345" s="249"/>
      <c r="N345" s="225"/>
      <c r="O345" s="225"/>
      <c r="P345" s="225"/>
      <c r="Q345" s="250"/>
      <c r="R345" s="215" t="s">
        <v>27</v>
      </c>
      <c r="S345" s="225" t="s">
        <v>27</v>
      </c>
      <c r="T345" s="225" t="s">
        <v>27</v>
      </c>
      <c r="U345" s="225"/>
      <c r="V345" s="251"/>
      <c r="W345" s="377"/>
      <c r="X345" s="85"/>
      <c r="Y345" s="85"/>
      <c r="Z345" s="85"/>
      <c r="AA345" s="85"/>
      <c r="AB345" s="85"/>
      <c r="AC345" s="85"/>
    </row>
    <row r="346" spans="1:29" ht="27">
      <c r="A346" s="85" t="s">
        <v>1456</v>
      </c>
      <c r="B346" s="87" t="s">
        <v>784</v>
      </c>
      <c r="C346" s="80" t="s">
        <v>1471</v>
      </c>
      <c r="D346" s="81" t="s">
        <v>1472</v>
      </c>
      <c r="E346" s="245" t="s">
        <v>27</v>
      </c>
      <c r="F346" s="87" t="s">
        <v>317</v>
      </c>
      <c r="G346" s="259"/>
      <c r="H346" s="256"/>
      <c r="I346" s="247" t="s">
        <v>317</v>
      </c>
      <c r="J346" s="247" t="s">
        <v>317</v>
      </c>
      <c r="K346" s="247" t="s">
        <v>317</v>
      </c>
      <c r="L346" s="248"/>
      <c r="M346" s="249"/>
      <c r="N346" s="225"/>
      <c r="O346" s="225"/>
      <c r="P346" s="225"/>
      <c r="Q346" s="250"/>
      <c r="R346" s="215" t="s">
        <v>27</v>
      </c>
      <c r="S346" s="225" t="s">
        <v>27</v>
      </c>
      <c r="T346" s="225" t="s">
        <v>27</v>
      </c>
      <c r="U346" s="225"/>
      <c r="V346" s="251"/>
      <c r="W346" s="377"/>
      <c r="X346" s="85"/>
      <c r="Y346" s="85"/>
      <c r="Z346" s="85"/>
      <c r="AA346" s="85"/>
      <c r="AB346" s="85"/>
      <c r="AC346" s="85"/>
    </row>
    <row r="347" spans="1:29" ht="27">
      <c r="A347" s="85" t="s">
        <v>1456</v>
      </c>
      <c r="B347" s="87" t="s">
        <v>784</v>
      </c>
      <c r="C347" s="80" t="s">
        <v>1473</v>
      </c>
      <c r="D347" s="81" t="s">
        <v>1474</v>
      </c>
      <c r="E347" s="245" t="s">
        <v>27</v>
      </c>
      <c r="F347" s="87" t="s">
        <v>317</v>
      </c>
      <c r="G347" s="259"/>
      <c r="H347" s="256"/>
      <c r="I347" s="247" t="s">
        <v>317</v>
      </c>
      <c r="J347" s="247" t="s">
        <v>317</v>
      </c>
      <c r="K347" s="247" t="s">
        <v>317</v>
      </c>
      <c r="L347" s="248"/>
      <c r="M347" s="249"/>
      <c r="N347" s="225"/>
      <c r="O347" s="225"/>
      <c r="P347" s="225"/>
      <c r="Q347" s="250"/>
      <c r="R347" s="215" t="s">
        <v>27</v>
      </c>
      <c r="S347" s="225" t="s">
        <v>27</v>
      </c>
      <c r="T347" s="225" t="s">
        <v>27</v>
      </c>
      <c r="U347" s="225"/>
      <c r="V347" s="251"/>
      <c r="W347" s="377"/>
      <c r="X347" s="85"/>
      <c r="Y347" s="85"/>
      <c r="Z347" s="85"/>
      <c r="AA347" s="85"/>
      <c r="AB347" s="85"/>
      <c r="AC347" s="85"/>
    </row>
    <row r="348" spans="1:29" ht="27">
      <c r="A348" s="85" t="s">
        <v>1456</v>
      </c>
      <c r="B348" s="87" t="s">
        <v>784</v>
      </c>
      <c r="C348" s="80" t="s">
        <v>1475</v>
      </c>
      <c r="D348" s="81" t="s">
        <v>1476</v>
      </c>
      <c r="E348" s="245" t="s">
        <v>27</v>
      </c>
      <c r="F348" s="87" t="s">
        <v>317</v>
      </c>
      <c r="G348" s="259"/>
      <c r="H348" s="256"/>
      <c r="I348" s="247" t="s">
        <v>317</v>
      </c>
      <c r="J348" s="247" t="s">
        <v>317</v>
      </c>
      <c r="K348" s="247" t="s">
        <v>317</v>
      </c>
      <c r="L348" s="248"/>
      <c r="M348" s="249"/>
      <c r="N348" s="225"/>
      <c r="O348" s="225"/>
      <c r="P348" s="225"/>
      <c r="Q348" s="250"/>
      <c r="R348" s="215" t="s">
        <v>27</v>
      </c>
      <c r="S348" s="225" t="s">
        <v>27</v>
      </c>
      <c r="T348" s="225" t="s">
        <v>27</v>
      </c>
      <c r="U348" s="225"/>
      <c r="V348" s="251"/>
      <c r="W348" s="377"/>
      <c r="X348" s="85"/>
      <c r="Y348" s="85"/>
      <c r="Z348" s="85"/>
      <c r="AA348" s="85"/>
      <c r="AB348" s="85"/>
      <c r="AC348" s="85"/>
    </row>
    <row r="349" spans="1:29" ht="27">
      <c r="A349" s="85" t="s">
        <v>1456</v>
      </c>
      <c r="B349" s="87" t="s">
        <v>784</v>
      </c>
      <c r="C349" s="80" t="s">
        <v>1477</v>
      </c>
      <c r="D349" s="81" t="s">
        <v>1478</v>
      </c>
      <c r="E349" s="245" t="s">
        <v>27</v>
      </c>
      <c r="F349" s="87" t="s">
        <v>317</v>
      </c>
      <c r="G349" s="259"/>
      <c r="H349" s="256"/>
      <c r="I349" s="247" t="s">
        <v>317</v>
      </c>
      <c r="J349" s="247" t="s">
        <v>317</v>
      </c>
      <c r="K349" s="247" t="s">
        <v>317</v>
      </c>
      <c r="L349" s="248"/>
      <c r="M349" s="249"/>
      <c r="N349" s="225"/>
      <c r="O349" s="225"/>
      <c r="P349" s="225"/>
      <c r="Q349" s="250"/>
      <c r="R349" s="215" t="s">
        <v>27</v>
      </c>
      <c r="S349" s="225" t="s">
        <v>27</v>
      </c>
      <c r="T349" s="225" t="s">
        <v>27</v>
      </c>
      <c r="U349" s="225"/>
      <c r="V349" s="251"/>
      <c r="W349" s="377"/>
      <c r="X349" s="85"/>
      <c r="Y349" s="85"/>
      <c r="Z349" s="85"/>
      <c r="AA349" s="85"/>
      <c r="AB349" s="85"/>
      <c r="AC349" s="85"/>
    </row>
    <row r="350" spans="1:29" ht="27">
      <c r="A350" s="85" t="s">
        <v>1456</v>
      </c>
      <c r="B350" s="87" t="s">
        <v>784</v>
      </c>
      <c r="C350" s="80" t="s">
        <v>1479</v>
      </c>
      <c r="D350" s="81" t="s">
        <v>1480</v>
      </c>
      <c r="E350" s="245" t="s">
        <v>27</v>
      </c>
      <c r="F350" s="87" t="s">
        <v>317</v>
      </c>
      <c r="G350" s="259"/>
      <c r="H350" s="256"/>
      <c r="I350" s="247" t="s">
        <v>317</v>
      </c>
      <c r="J350" s="247" t="s">
        <v>317</v>
      </c>
      <c r="K350" s="247" t="s">
        <v>317</v>
      </c>
      <c r="L350" s="248"/>
      <c r="M350" s="249"/>
      <c r="N350" s="225"/>
      <c r="O350" s="225"/>
      <c r="P350" s="225"/>
      <c r="Q350" s="250"/>
      <c r="R350" s="215" t="s">
        <v>27</v>
      </c>
      <c r="S350" s="225" t="s">
        <v>27</v>
      </c>
      <c r="T350" s="225" t="s">
        <v>27</v>
      </c>
      <c r="U350" s="225"/>
      <c r="V350" s="251"/>
      <c r="W350" s="377"/>
      <c r="X350" s="85"/>
      <c r="Y350" s="85"/>
      <c r="Z350" s="85"/>
      <c r="AA350" s="85"/>
      <c r="AB350" s="85"/>
      <c r="AC350" s="85"/>
    </row>
    <row r="351" spans="1:29" ht="27">
      <c r="A351" s="85" t="s">
        <v>1456</v>
      </c>
      <c r="B351" s="87" t="s">
        <v>784</v>
      </c>
      <c r="C351" s="80" t="s">
        <v>815</v>
      </c>
      <c r="D351" s="81" t="s">
        <v>1481</v>
      </c>
      <c r="E351" s="245" t="s">
        <v>27</v>
      </c>
      <c r="F351" s="87" t="s">
        <v>317</v>
      </c>
      <c r="G351" s="259"/>
      <c r="H351" s="256"/>
      <c r="I351" s="247" t="s">
        <v>317</v>
      </c>
      <c r="J351" s="247" t="s">
        <v>317</v>
      </c>
      <c r="K351" s="247" t="s">
        <v>317</v>
      </c>
      <c r="L351" s="248"/>
      <c r="M351" s="249"/>
      <c r="N351" s="225"/>
      <c r="O351" s="225"/>
      <c r="P351" s="225"/>
      <c r="Q351" s="250"/>
      <c r="R351" s="215" t="s">
        <v>27</v>
      </c>
      <c r="S351" s="225" t="s">
        <v>27</v>
      </c>
      <c r="T351" s="225" t="s">
        <v>27</v>
      </c>
      <c r="U351" s="225"/>
      <c r="V351" s="251"/>
      <c r="W351" s="377"/>
      <c r="X351" s="85"/>
      <c r="Y351" s="85"/>
      <c r="Z351" s="85"/>
      <c r="AA351" s="85"/>
      <c r="AB351" s="85"/>
      <c r="AC351" s="85"/>
    </row>
    <row r="352" spans="1:29" ht="251.25">
      <c r="A352" s="85" t="s">
        <v>1456</v>
      </c>
      <c r="B352" s="87" t="s">
        <v>784</v>
      </c>
      <c r="C352" s="80" t="s">
        <v>1482</v>
      </c>
      <c r="D352" s="81" t="s">
        <v>1483</v>
      </c>
      <c r="E352" s="87" t="s">
        <v>325</v>
      </c>
      <c r="F352" s="87" t="s">
        <v>477</v>
      </c>
      <c r="G352" s="259"/>
      <c r="H352" s="256"/>
      <c r="I352" s="225" t="s">
        <v>311</v>
      </c>
      <c r="J352" s="225" t="s">
        <v>311</v>
      </c>
      <c r="K352" s="225" t="s">
        <v>311</v>
      </c>
      <c r="L352" s="248"/>
      <c r="M352" s="224" t="s">
        <v>26</v>
      </c>
      <c r="N352" s="107" t="s">
        <v>26</v>
      </c>
      <c r="O352" s="107" t="s">
        <v>26</v>
      </c>
      <c r="P352" s="107" t="s">
        <v>626</v>
      </c>
      <c r="Q352" s="254" t="s">
        <v>851</v>
      </c>
      <c r="R352" s="285" t="s">
        <v>25</v>
      </c>
      <c r="S352" s="245" t="s">
        <v>25</v>
      </c>
      <c r="T352" s="245" t="s">
        <v>25</v>
      </c>
      <c r="U352" s="225" t="s">
        <v>329</v>
      </c>
      <c r="V352" s="289" t="s">
        <v>1484</v>
      </c>
      <c r="W352" s="377"/>
      <c r="X352" s="87"/>
      <c r="Y352" s="87"/>
      <c r="Z352" s="87"/>
      <c r="AA352" s="87" t="s">
        <v>377</v>
      </c>
      <c r="AB352" s="87"/>
      <c r="AC352" s="87"/>
    </row>
    <row r="353" spans="1:29" ht="150.75">
      <c r="A353" s="85" t="s">
        <v>1456</v>
      </c>
      <c r="B353" s="87" t="s">
        <v>784</v>
      </c>
      <c r="C353" s="80" t="s">
        <v>1485</v>
      </c>
      <c r="D353" s="81" t="s">
        <v>1486</v>
      </c>
      <c r="E353" s="87" t="s">
        <v>325</v>
      </c>
      <c r="F353" s="87" t="s">
        <v>477</v>
      </c>
      <c r="G353" s="259"/>
      <c r="H353" s="256"/>
      <c r="I353" s="225" t="s">
        <v>311</v>
      </c>
      <c r="J353" s="225" t="s">
        <v>311</v>
      </c>
      <c r="K353" s="225" t="s">
        <v>311</v>
      </c>
      <c r="L353" s="248"/>
      <c r="M353" s="224" t="s">
        <v>26</v>
      </c>
      <c r="N353" s="107" t="s">
        <v>26</v>
      </c>
      <c r="O353" s="107" t="s">
        <v>26</v>
      </c>
      <c r="P353" s="107" t="s">
        <v>626</v>
      </c>
      <c r="Q353" s="254" t="s">
        <v>851</v>
      </c>
      <c r="R353" s="285" t="s">
        <v>25</v>
      </c>
      <c r="S353" s="245" t="s">
        <v>25</v>
      </c>
      <c r="T353" s="245" t="s">
        <v>25</v>
      </c>
      <c r="U353" s="225"/>
      <c r="V353" s="289" t="s">
        <v>1487</v>
      </c>
      <c r="W353" s="377"/>
      <c r="X353" s="87"/>
      <c r="Y353" s="87"/>
      <c r="Z353" s="87"/>
      <c r="AA353" s="87" t="s">
        <v>377</v>
      </c>
      <c r="AB353" s="87"/>
      <c r="AC353" s="87"/>
    </row>
    <row r="354" spans="1:29" ht="409.6">
      <c r="A354" s="85" t="s">
        <v>1488</v>
      </c>
      <c r="B354" s="87" t="s">
        <v>1489</v>
      </c>
      <c r="C354" s="80" t="s">
        <v>80</v>
      </c>
      <c r="D354" s="81" t="s">
        <v>1490</v>
      </c>
      <c r="E354" s="87" t="s">
        <v>325</v>
      </c>
      <c r="F354" s="87" t="s">
        <v>477</v>
      </c>
      <c r="G354" s="246" t="s">
        <v>1491</v>
      </c>
      <c r="H354" s="256"/>
      <c r="I354" s="225" t="s">
        <v>24</v>
      </c>
      <c r="J354" s="225" t="s">
        <v>24</v>
      </c>
      <c r="K354" s="248" t="s">
        <v>24</v>
      </c>
      <c r="L354" s="248" t="s">
        <v>483</v>
      </c>
      <c r="M354" s="224" t="s">
        <v>24</v>
      </c>
      <c r="N354" s="107" t="s">
        <v>24</v>
      </c>
      <c r="O354" s="107" t="s">
        <v>24</v>
      </c>
      <c r="P354" s="107" t="s">
        <v>626</v>
      </c>
      <c r="Q354" s="254"/>
      <c r="R354" s="215" t="s">
        <v>24</v>
      </c>
      <c r="S354" s="225" t="s">
        <v>24</v>
      </c>
      <c r="T354" s="225" t="s">
        <v>24</v>
      </c>
      <c r="U354" s="225" t="s">
        <v>483</v>
      </c>
      <c r="V354" s="251"/>
      <c r="W354" s="377"/>
      <c r="X354" s="85"/>
      <c r="Y354" s="85"/>
      <c r="Z354" s="85"/>
      <c r="AA354" s="85"/>
      <c r="AB354" s="85"/>
      <c r="AC354" s="85"/>
    </row>
    <row r="355" spans="1:29" ht="409.6">
      <c r="A355" s="85" t="s">
        <v>1488</v>
      </c>
      <c r="B355" s="87" t="s">
        <v>1489</v>
      </c>
      <c r="C355" s="80" t="s">
        <v>1492</v>
      </c>
      <c r="D355" s="81" t="s">
        <v>1493</v>
      </c>
      <c r="E355" s="87" t="s">
        <v>325</v>
      </c>
      <c r="F355" s="87" t="s">
        <v>477</v>
      </c>
      <c r="G355" s="246" t="s">
        <v>1494</v>
      </c>
      <c r="H355" s="256"/>
      <c r="I355" s="271" t="s">
        <v>24</v>
      </c>
      <c r="J355" s="271" t="s">
        <v>24</v>
      </c>
      <c r="K355" s="271" t="s">
        <v>24</v>
      </c>
      <c r="L355" s="248" t="s">
        <v>483</v>
      </c>
      <c r="M355" s="224" t="s">
        <v>24</v>
      </c>
      <c r="N355" s="107" t="s">
        <v>24</v>
      </c>
      <c r="O355" s="107" t="s">
        <v>24</v>
      </c>
      <c r="P355" s="107" t="s">
        <v>626</v>
      </c>
      <c r="Q355" s="254"/>
      <c r="R355" s="215" t="s">
        <v>24</v>
      </c>
      <c r="S355" s="225" t="s">
        <v>24</v>
      </c>
      <c r="T355" s="225" t="s">
        <v>24</v>
      </c>
      <c r="U355" s="225" t="s">
        <v>483</v>
      </c>
      <c r="V355" s="251"/>
      <c r="W355" s="377"/>
      <c r="X355" s="85"/>
      <c r="Y355" s="85"/>
      <c r="Z355" s="85"/>
      <c r="AA355" s="85"/>
      <c r="AB355" s="85"/>
      <c r="AC355" s="85"/>
    </row>
    <row r="356" spans="1:29" ht="409.6">
      <c r="A356" s="85" t="s">
        <v>1488</v>
      </c>
      <c r="B356" s="87" t="s">
        <v>1489</v>
      </c>
      <c r="C356" s="80" t="s">
        <v>1495</v>
      </c>
      <c r="D356" s="81" t="s">
        <v>1496</v>
      </c>
      <c r="E356" s="87" t="s">
        <v>325</v>
      </c>
      <c r="F356" s="87" t="s">
        <v>477</v>
      </c>
      <c r="G356" s="246" t="s">
        <v>1497</v>
      </c>
      <c r="H356" s="256"/>
      <c r="I356" s="225" t="s">
        <v>24</v>
      </c>
      <c r="J356" s="225" t="s">
        <v>24</v>
      </c>
      <c r="K356" s="248" t="s">
        <v>24</v>
      </c>
      <c r="L356" s="248" t="s">
        <v>483</v>
      </c>
      <c r="M356" s="224" t="s">
        <v>24</v>
      </c>
      <c r="N356" s="107" t="s">
        <v>24</v>
      </c>
      <c r="O356" s="107" t="s">
        <v>24</v>
      </c>
      <c r="P356" s="225"/>
      <c r="Q356" s="250"/>
      <c r="R356" s="215" t="s">
        <v>24</v>
      </c>
      <c r="S356" s="225" t="s">
        <v>24</v>
      </c>
      <c r="T356" s="225" t="s">
        <v>24</v>
      </c>
      <c r="U356" s="225" t="s">
        <v>483</v>
      </c>
      <c r="V356" s="313" t="s">
        <v>1498</v>
      </c>
      <c r="W356" s="377"/>
      <c r="X356" s="85"/>
      <c r="Y356" s="85"/>
      <c r="Z356" s="85"/>
      <c r="AA356" s="85"/>
      <c r="AB356" s="85"/>
      <c r="AC356" s="85"/>
    </row>
    <row r="357" spans="1:29" ht="409.6">
      <c r="A357" s="85" t="s">
        <v>1488</v>
      </c>
      <c r="B357" s="87" t="s">
        <v>1489</v>
      </c>
      <c r="C357" s="80" t="s">
        <v>1499</v>
      </c>
      <c r="D357" s="81" t="s">
        <v>1500</v>
      </c>
      <c r="E357" s="87" t="s">
        <v>325</v>
      </c>
      <c r="F357" s="87" t="s">
        <v>477</v>
      </c>
      <c r="G357" s="246" t="s">
        <v>1501</v>
      </c>
      <c r="H357" s="256"/>
      <c r="I357" s="225" t="s">
        <v>337</v>
      </c>
      <c r="J357" s="225" t="s">
        <v>337</v>
      </c>
      <c r="K357" s="248" t="s">
        <v>337</v>
      </c>
      <c r="L357" s="248" t="s">
        <v>483</v>
      </c>
      <c r="M357" s="283" t="s">
        <v>24</v>
      </c>
      <c r="N357" s="106" t="s">
        <v>24</v>
      </c>
      <c r="O357" s="106" t="s">
        <v>24</v>
      </c>
      <c r="P357" s="106"/>
      <c r="Q357" s="309"/>
      <c r="R357" s="312" t="s">
        <v>24</v>
      </c>
      <c r="S357" s="106" t="s">
        <v>24</v>
      </c>
      <c r="T357" s="106" t="s">
        <v>24</v>
      </c>
      <c r="U357" s="225" t="s">
        <v>329</v>
      </c>
      <c r="V357" s="251" t="s">
        <v>1502</v>
      </c>
      <c r="W357" s="377"/>
      <c r="X357" s="85"/>
      <c r="Y357" s="85"/>
      <c r="Z357" s="85"/>
      <c r="AA357" s="85"/>
      <c r="AB357" s="85"/>
      <c r="AC357" s="85"/>
    </row>
    <row r="358" spans="1:29" ht="409.6">
      <c r="A358" s="85" t="s">
        <v>1488</v>
      </c>
      <c r="B358" s="87" t="s">
        <v>1489</v>
      </c>
      <c r="C358" s="80" t="s">
        <v>1503</v>
      </c>
      <c r="D358" s="81" t="s">
        <v>1504</v>
      </c>
      <c r="E358" s="245" t="s">
        <v>27</v>
      </c>
      <c r="F358" s="87" t="s">
        <v>317</v>
      </c>
      <c r="G358" s="259"/>
      <c r="H358" s="256"/>
      <c r="I358" s="335" t="s">
        <v>317</v>
      </c>
      <c r="J358" s="335" t="s">
        <v>317</v>
      </c>
      <c r="K358" s="335" t="s">
        <v>317</v>
      </c>
      <c r="L358" s="248"/>
      <c r="M358" s="249"/>
      <c r="N358" s="225"/>
      <c r="O358" s="225"/>
      <c r="P358" s="225"/>
      <c r="Q358" s="250"/>
      <c r="R358" s="215" t="s">
        <v>27</v>
      </c>
      <c r="S358" s="215" t="s">
        <v>27</v>
      </c>
      <c r="T358" s="215" t="s">
        <v>27</v>
      </c>
      <c r="U358" s="225"/>
      <c r="V358" s="251"/>
      <c r="W358" s="377"/>
      <c r="X358" s="85"/>
      <c r="Y358" s="85"/>
      <c r="Z358" s="85"/>
      <c r="AA358" s="85"/>
      <c r="AB358" s="85"/>
      <c r="AC358" s="85"/>
    </row>
    <row r="359" spans="1:29" ht="409.6">
      <c r="A359" s="85" t="s">
        <v>313</v>
      </c>
      <c r="B359" s="87" t="s">
        <v>921</v>
      </c>
      <c r="C359" s="80" t="s">
        <v>1505</v>
      </c>
      <c r="D359" s="107" t="s">
        <v>1506</v>
      </c>
      <c r="E359" s="87" t="s">
        <v>325</v>
      </c>
      <c r="F359" s="87" t="s">
        <v>477</v>
      </c>
      <c r="G359" s="246" t="s">
        <v>1507</v>
      </c>
      <c r="H359" s="256"/>
      <c r="I359" s="225" t="s">
        <v>24</v>
      </c>
      <c r="J359" s="248" t="s">
        <v>24</v>
      </c>
      <c r="K359" s="248" t="s">
        <v>24</v>
      </c>
      <c r="L359" s="248" t="s">
        <v>329</v>
      </c>
      <c r="M359" s="249" t="s">
        <v>24</v>
      </c>
      <c r="N359" s="225" t="s">
        <v>24</v>
      </c>
      <c r="O359" s="225" t="s">
        <v>24</v>
      </c>
      <c r="P359" s="225"/>
      <c r="Q359" s="250"/>
      <c r="R359" s="215" t="s">
        <v>24</v>
      </c>
      <c r="S359" s="225" t="s">
        <v>24</v>
      </c>
      <c r="T359" s="225" t="s">
        <v>24</v>
      </c>
      <c r="U359" s="225" t="s">
        <v>329</v>
      </c>
      <c r="V359" s="251"/>
      <c r="W359" s="377"/>
      <c r="X359" s="85"/>
      <c r="Y359" s="85"/>
      <c r="Z359" s="85"/>
      <c r="AA359" s="85"/>
      <c r="AB359" s="85"/>
      <c r="AC359" s="85"/>
    </row>
    <row r="360" spans="1:29" ht="409.6">
      <c r="A360" s="85" t="s">
        <v>313</v>
      </c>
      <c r="B360" s="87" t="s">
        <v>921</v>
      </c>
      <c r="C360" s="80" t="s">
        <v>1508</v>
      </c>
      <c r="D360" s="107" t="s">
        <v>1509</v>
      </c>
      <c r="E360" s="87" t="s">
        <v>325</v>
      </c>
      <c r="F360" s="87" t="s">
        <v>326</v>
      </c>
      <c r="G360" s="259"/>
      <c r="H360" s="256"/>
      <c r="I360" s="225"/>
      <c r="J360" s="225"/>
      <c r="K360" s="248"/>
      <c r="L360" s="248"/>
      <c r="M360" s="224" t="s">
        <v>28</v>
      </c>
      <c r="N360" s="107" t="s">
        <v>28</v>
      </c>
      <c r="O360" s="107" t="s">
        <v>28</v>
      </c>
      <c r="P360" s="106"/>
      <c r="Q360" s="254" t="s">
        <v>851</v>
      </c>
      <c r="R360" s="215" t="s">
        <v>28</v>
      </c>
      <c r="S360" s="225" t="s">
        <v>28</v>
      </c>
      <c r="T360" s="225" t="s">
        <v>28</v>
      </c>
      <c r="U360" s="225" t="s">
        <v>341</v>
      </c>
      <c r="V360" s="251" t="s">
        <v>1510</v>
      </c>
      <c r="W360" s="377"/>
      <c r="X360" s="85"/>
      <c r="Y360" s="85"/>
      <c r="Z360" s="85"/>
      <c r="AA360" s="85"/>
      <c r="AB360" s="85"/>
      <c r="AC360" s="85"/>
    </row>
    <row r="361" spans="1:29" ht="27">
      <c r="A361" s="85" t="s">
        <v>313</v>
      </c>
      <c r="B361" s="87" t="s">
        <v>921</v>
      </c>
      <c r="C361" s="80" t="s">
        <v>1511</v>
      </c>
      <c r="D361" s="81" t="s">
        <v>1512</v>
      </c>
      <c r="E361" s="245" t="s">
        <v>27</v>
      </c>
      <c r="F361" s="87" t="s">
        <v>317</v>
      </c>
      <c r="G361" s="259"/>
      <c r="H361" s="256"/>
      <c r="I361" s="335" t="s">
        <v>317</v>
      </c>
      <c r="J361" s="335" t="s">
        <v>317</v>
      </c>
      <c r="K361" s="335" t="s">
        <v>317</v>
      </c>
      <c r="L361" s="248"/>
      <c r="M361" s="249"/>
      <c r="N361" s="225"/>
      <c r="O361" s="225"/>
      <c r="P361" s="225"/>
      <c r="Q361" s="250"/>
      <c r="R361" s="215" t="s">
        <v>27</v>
      </c>
      <c r="S361" s="215" t="s">
        <v>27</v>
      </c>
      <c r="T361" s="215" t="s">
        <v>27</v>
      </c>
      <c r="U361" s="225"/>
      <c r="V361" s="251"/>
      <c r="W361" s="377"/>
      <c r="X361" s="85"/>
      <c r="Y361" s="85"/>
      <c r="Z361" s="85"/>
      <c r="AA361" s="85"/>
      <c r="AB361" s="85"/>
      <c r="AC361" s="85"/>
    </row>
    <row r="362" spans="1:29" ht="27">
      <c r="A362" s="85" t="s">
        <v>920</v>
      </c>
      <c r="B362" s="87" t="s">
        <v>921</v>
      </c>
      <c r="C362" s="80" t="s">
        <v>1513</v>
      </c>
      <c r="D362" s="107" t="s">
        <v>1514</v>
      </c>
      <c r="E362" s="245" t="s">
        <v>27</v>
      </c>
      <c r="F362" s="87" t="s">
        <v>317</v>
      </c>
      <c r="G362" s="259"/>
      <c r="H362" s="256"/>
      <c r="I362" s="335" t="s">
        <v>317</v>
      </c>
      <c r="J362" s="335" t="s">
        <v>317</v>
      </c>
      <c r="K362" s="335" t="s">
        <v>317</v>
      </c>
      <c r="L362" s="248"/>
      <c r="M362" s="249"/>
      <c r="N362" s="225"/>
      <c r="O362" s="225"/>
      <c r="P362" s="225"/>
      <c r="Q362" s="250"/>
      <c r="R362" s="215" t="s">
        <v>27</v>
      </c>
      <c r="S362" s="215" t="s">
        <v>27</v>
      </c>
      <c r="T362" s="215" t="s">
        <v>27</v>
      </c>
      <c r="U362" s="225"/>
      <c r="V362" s="251"/>
      <c r="W362" s="377"/>
      <c r="X362" s="85"/>
      <c r="Y362" s="85"/>
      <c r="Z362" s="85"/>
      <c r="AA362" s="85"/>
      <c r="AB362" s="85"/>
      <c r="AC362" s="85"/>
    </row>
    <row r="363" spans="1:29" ht="27">
      <c r="A363" s="85" t="s">
        <v>1515</v>
      </c>
      <c r="B363" s="87" t="s">
        <v>921</v>
      </c>
      <c r="C363" s="80" t="s">
        <v>1516</v>
      </c>
      <c r="D363" s="81" t="s">
        <v>1517</v>
      </c>
      <c r="E363" s="87" t="s">
        <v>325</v>
      </c>
      <c r="F363" s="87" t="s">
        <v>477</v>
      </c>
      <c r="G363" s="259"/>
      <c r="H363" s="256"/>
      <c r="I363" s="225" t="s">
        <v>311</v>
      </c>
      <c r="J363" s="225" t="s">
        <v>311</v>
      </c>
      <c r="K363" s="225" t="s">
        <v>311</v>
      </c>
      <c r="L363" s="248"/>
      <c r="M363" s="262" t="s">
        <v>26</v>
      </c>
      <c r="N363" s="263" t="s">
        <v>26</v>
      </c>
      <c r="O363" s="263" t="s">
        <v>26</v>
      </c>
      <c r="P363" s="106"/>
      <c r="Q363" s="254" t="s">
        <v>851</v>
      </c>
      <c r="R363" s="312" t="s">
        <v>25</v>
      </c>
      <c r="S363" s="106" t="s">
        <v>25</v>
      </c>
      <c r="T363" s="106" t="s">
        <v>25</v>
      </c>
      <c r="U363" s="225" t="s">
        <v>483</v>
      </c>
      <c r="V363" s="289" t="s">
        <v>1518</v>
      </c>
      <c r="W363" s="377"/>
      <c r="X363" s="87" t="s">
        <v>377</v>
      </c>
      <c r="Y363" s="87"/>
      <c r="Z363" s="87"/>
      <c r="AA363" s="87" t="s">
        <v>377</v>
      </c>
      <c r="AB363" s="87"/>
      <c r="AC363" s="87"/>
    </row>
    <row r="364" spans="1:29" ht="27">
      <c r="A364" s="85" t="s">
        <v>1515</v>
      </c>
      <c r="B364" s="87" t="s">
        <v>921</v>
      </c>
      <c r="C364" s="307" t="s">
        <v>1519</v>
      </c>
      <c r="D364" s="81" t="s">
        <v>1520</v>
      </c>
      <c r="E364" s="87" t="s">
        <v>325</v>
      </c>
      <c r="F364" s="87" t="s">
        <v>477</v>
      </c>
      <c r="G364" s="259"/>
      <c r="H364" s="256" t="s">
        <v>1521</v>
      </c>
      <c r="I364" s="225" t="s">
        <v>311</v>
      </c>
      <c r="J364" s="225" t="s">
        <v>311</v>
      </c>
      <c r="K364" s="225" t="s">
        <v>311</v>
      </c>
      <c r="L364" s="248"/>
      <c r="M364" s="336" t="s">
        <v>26</v>
      </c>
      <c r="N364" s="106" t="s">
        <v>26</v>
      </c>
      <c r="O364" s="106" t="s">
        <v>26</v>
      </c>
      <c r="P364" s="106"/>
      <c r="Q364" s="254" t="s">
        <v>851</v>
      </c>
      <c r="R364" s="312" t="s">
        <v>24</v>
      </c>
      <c r="S364" s="106" t="s">
        <v>24</v>
      </c>
      <c r="T364" s="106" t="s">
        <v>24</v>
      </c>
      <c r="U364" s="225" t="s">
        <v>329</v>
      </c>
      <c r="V364" s="251" t="s">
        <v>1522</v>
      </c>
      <c r="W364" s="377"/>
      <c r="X364" s="87"/>
      <c r="Y364" s="87"/>
      <c r="Z364" s="87"/>
      <c r="AA364" s="87"/>
      <c r="AB364" s="87"/>
      <c r="AC364" s="87"/>
    </row>
    <row r="365" spans="1:29" ht="206.25">
      <c r="A365" s="85" t="s">
        <v>1515</v>
      </c>
      <c r="B365" s="87" t="s">
        <v>921</v>
      </c>
      <c r="C365" s="80" t="s">
        <v>1523</v>
      </c>
      <c r="D365" s="81" t="s">
        <v>1524</v>
      </c>
      <c r="E365" s="87" t="s">
        <v>325</v>
      </c>
      <c r="F365" s="87" t="s">
        <v>477</v>
      </c>
      <c r="G365" s="246" t="s">
        <v>1525</v>
      </c>
      <c r="H365" s="234" t="s">
        <v>1526</v>
      </c>
      <c r="I365" s="225" t="s">
        <v>24</v>
      </c>
      <c r="J365" s="225" t="s">
        <v>1527</v>
      </c>
      <c r="K365" s="248" t="s">
        <v>24</v>
      </c>
      <c r="L365" s="248" t="s">
        <v>483</v>
      </c>
      <c r="M365" s="224" t="s">
        <v>24</v>
      </c>
      <c r="N365" s="107" t="s">
        <v>24</v>
      </c>
      <c r="O365" s="107" t="s">
        <v>24</v>
      </c>
      <c r="P365" s="225"/>
      <c r="Q365" s="250"/>
      <c r="R365" s="215" t="s">
        <v>24</v>
      </c>
      <c r="S365" s="225" t="s">
        <v>24</v>
      </c>
      <c r="T365" s="225" t="s">
        <v>24</v>
      </c>
      <c r="U365" s="225" t="s">
        <v>483</v>
      </c>
      <c r="V365" s="251" t="s">
        <v>1528</v>
      </c>
      <c r="W365" s="377"/>
      <c r="X365" s="85"/>
      <c r="Y365" s="85"/>
      <c r="Z365" s="85"/>
      <c r="AA365" s="85"/>
      <c r="AB365" s="85"/>
      <c r="AC365" s="85"/>
    </row>
    <row r="366" spans="1:29" ht="409.6">
      <c r="A366" s="85" t="s">
        <v>1515</v>
      </c>
      <c r="B366" s="87" t="s">
        <v>921</v>
      </c>
      <c r="C366" s="80" t="s">
        <v>1529</v>
      </c>
      <c r="D366" s="81" t="s">
        <v>1530</v>
      </c>
      <c r="E366" s="87" t="s">
        <v>325</v>
      </c>
      <c r="F366" s="87" t="s">
        <v>477</v>
      </c>
      <c r="G366" s="259"/>
      <c r="H366" s="256"/>
      <c r="I366" s="225" t="s">
        <v>311</v>
      </c>
      <c r="J366" s="225" t="s">
        <v>311</v>
      </c>
      <c r="K366" s="225" t="s">
        <v>311</v>
      </c>
      <c r="L366" s="248"/>
      <c r="M366" s="283" t="s">
        <v>26</v>
      </c>
      <c r="N366" s="106" t="s">
        <v>26</v>
      </c>
      <c r="O366" s="106" t="s">
        <v>26</v>
      </c>
      <c r="P366" s="106"/>
      <c r="Q366" s="309"/>
      <c r="R366" s="288" t="s">
        <v>25</v>
      </c>
      <c r="S366" s="104" t="s">
        <v>25</v>
      </c>
      <c r="T366" s="104" t="s">
        <v>25</v>
      </c>
      <c r="U366" s="225" t="s">
        <v>329</v>
      </c>
      <c r="V366" s="405" t="s">
        <v>1531</v>
      </c>
      <c r="W366" s="377"/>
      <c r="X366" s="87" t="s">
        <v>377</v>
      </c>
      <c r="Y366" s="87"/>
      <c r="Z366" s="87"/>
      <c r="AA366" s="87" t="s">
        <v>377</v>
      </c>
      <c r="AB366" s="87"/>
      <c r="AC366" s="87"/>
    </row>
    <row r="367" spans="1:29" ht="14.25">
      <c r="A367" s="85" t="s">
        <v>1515</v>
      </c>
      <c r="B367" s="87" t="s">
        <v>921</v>
      </c>
      <c r="C367" s="80" t="s">
        <v>1532</v>
      </c>
      <c r="D367" s="81" t="s">
        <v>1533</v>
      </c>
      <c r="E367" s="87" t="s">
        <v>325</v>
      </c>
      <c r="F367" s="87" t="s">
        <v>477</v>
      </c>
      <c r="G367" s="259"/>
      <c r="H367" s="256" t="s">
        <v>1534</v>
      </c>
      <c r="I367" s="225" t="s">
        <v>311</v>
      </c>
      <c r="J367" s="225" t="s">
        <v>311</v>
      </c>
      <c r="K367" s="225" t="s">
        <v>311</v>
      </c>
      <c r="L367" s="248"/>
      <c r="M367" s="283" t="s">
        <v>26</v>
      </c>
      <c r="N367" s="106" t="s">
        <v>26</v>
      </c>
      <c r="O367" s="106" t="s">
        <v>26</v>
      </c>
      <c r="P367" s="106"/>
      <c r="Q367" s="309"/>
      <c r="R367" s="312" t="s">
        <v>24</v>
      </c>
      <c r="S367" s="106" t="s">
        <v>24</v>
      </c>
      <c r="T367" s="106" t="s">
        <v>24</v>
      </c>
      <c r="U367" s="225" t="s">
        <v>329</v>
      </c>
      <c r="V367" s="251" t="s">
        <v>1535</v>
      </c>
      <c r="W367" s="377"/>
      <c r="X367" s="87"/>
      <c r="Y367" s="87"/>
      <c r="Z367" s="87"/>
      <c r="AA367" s="87"/>
      <c r="AB367" s="87"/>
      <c r="AC367" s="87"/>
    </row>
    <row r="368" spans="1:29" ht="165">
      <c r="A368" s="85" t="s">
        <v>1515</v>
      </c>
      <c r="B368" s="87" t="s">
        <v>921</v>
      </c>
      <c r="C368" s="80" t="s">
        <v>1536</v>
      </c>
      <c r="D368" s="81" t="s">
        <v>1537</v>
      </c>
      <c r="E368" s="87" t="s">
        <v>325</v>
      </c>
      <c r="F368" s="87" t="s">
        <v>477</v>
      </c>
      <c r="G368" s="259"/>
      <c r="H368" s="256" t="s">
        <v>1538</v>
      </c>
      <c r="I368" s="225" t="s">
        <v>311</v>
      </c>
      <c r="J368" s="225" t="s">
        <v>311</v>
      </c>
      <c r="K368" s="225" t="s">
        <v>311</v>
      </c>
      <c r="L368" s="248"/>
      <c r="M368" s="283" t="s">
        <v>26</v>
      </c>
      <c r="N368" s="106" t="s">
        <v>26</v>
      </c>
      <c r="O368" s="106" t="s">
        <v>26</v>
      </c>
      <c r="P368" s="106"/>
      <c r="Q368" s="309"/>
      <c r="R368" s="312" t="s">
        <v>24</v>
      </c>
      <c r="S368" s="106" t="s">
        <v>24</v>
      </c>
      <c r="T368" s="106" t="s">
        <v>24</v>
      </c>
      <c r="U368" s="225" t="s">
        <v>329</v>
      </c>
      <c r="V368" s="251" t="s">
        <v>1539</v>
      </c>
      <c r="W368" s="377"/>
      <c r="X368" s="87"/>
      <c r="Y368" s="87"/>
      <c r="Z368" s="87"/>
      <c r="AA368" s="87"/>
      <c r="AB368" s="87"/>
      <c r="AC368" s="87"/>
    </row>
    <row r="369" spans="1:29" ht="288.75">
      <c r="A369" s="85" t="s">
        <v>1515</v>
      </c>
      <c r="B369" s="87" t="s">
        <v>921</v>
      </c>
      <c r="C369" s="80" t="s">
        <v>1540</v>
      </c>
      <c r="D369" s="81" t="s">
        <v>1541</v>
      </c>
      <c r="E369" s="87" t="s">
        <v>325</v>
      </c>
      <c r="F369" s="87" t="s">
        <v>477</v>
      </c>
      <c r="G369" s="259"/>
      <c r="H369" s="256"/>
      <c r="I369" s="225" t="s">
        <v>311</v>
      </c>
      <c r="J369" s="225" t="s">
        <v>311</v>
      </c>
      <c r="K369" s="225" t="s">
        <v>311</v>
      </c>
      <c r="L369" s="248"/>
      <c r="M369" s="283" t="s">
        <v>26</v>
      </c>
      <c r="N369" s="106" t="s">
        <v>26</v>
      </c>
      <c r="O369" s="106" t="s">
        <v>26</v>
      </c>
      <c r="P369" s="106"/>
      <c r="Q369" s="309"/>
      <c r="R369" s="288" t="s">
        <v>25</v>
      </c>
      <c r="S369" s="104" t="s">
        <v>25</v>
      </c>
      <c r="T369" s="104" t="s">
        <v>25</v>
      </c>
      <c r="U369" s="225" t="s">
        <v>329</v>
      </c>
      <c r="V369" s="289" t="s">
        <v>1542</v>
      </c>
      <c r="W369" s="377"/>
      <c r="X369" s="87" t="s">
        <v>377</v>
      </c>
      <c r="Y369" s="87"/>
      <c r="Z369" s="87"/>
      <c r="AA369" s="87" t="s">
        <v>377</v>
      </c>
      <c r="AB369" s="87"/>
      <c r="AC369" s="87"/>
    </row>
    <row r="370" spans="1:29" ht="14.25">
      <c r="A370" s="85" t="s">
        <v>349</v>
      </c>
      <c r="B370" s="87" t="s">
        <v>350</v>
      </c>
      <c r="C370" s="80" t="s">
        <v>1543</v>
      </c>
      <c r="D370" s="81" t="s">
        <v>1544</v>
      </c>
      <c r="E370" s="87" t="s">
        <v>325</v>
      </c>
      <c r="F370" s="87" t="s">
        <v>326</v>
      </c>
      <c r="G370" s="246" t="s">
        <v>1545</v>
      </c>
      <c r="H370" s="234" t="s">
        <v>1546</v>
      </c>
      <c r="I370" s="225" t="s">
        <v>24</v>
      </c>
      <c r="J370" s="225" t="s">
        <v>1527</v>
      </c>
      <c r="K370" s="248" t="s">
        <v>24</v>
      </c>
      <c r="L370" s="248" t="s">
        <v>329</v>
      </c>
      <c r="M370" s="283" t="s">
        <v>24</v>
      </c>
      <c r="N370" s="106" t="s">
        <v>24</v>
      </c>
      <c r="O370" s="106" t="s">
        <v>24</v>
      </c>
      <c r="P370" s="106"/>
      <c r="Q370" s="309"/>
      <c r="R370" s="215" t="s">
        <v>24</v>
      </c>
      <c r="S370" s="225" t="s">
        <v>24</v>
      </c>
      <c r="T370" s="225" t="s">
        <v>24</v>
      </c>
      <c r="U370" s="225" t="s">
        <v>329</v>
      </c>
      <c r="V370" s="251"/>
      <c r="W370" s="377"/>
      <c r="X370" s="85"/>
      <c r="Y370" s="85"/>
      <c r="Z370" s="85"/>
      <c r="AA370" s="85"/>
      <c r="AB370" s="85"/>
      <c r="AC370" s="85"/>
    </row>
    <row r="371" spans="1:29" ht="409.6">
      <c r="A371" s="85" t="s">
        <v>349</v>
      </c>
      <c r="B371" s="337" t="s">
        <v>350</v>
      </c>
      <c r="C371" s="80" t="s">
        <v>1547</v>
      </c>
      <c r="D371" s="86" t="s">
        <v>1548</v>
      </c>
      <c r="E371" s="87" t="s">
        <v>325</v>
      </c>
      <c r="F371" s="87" t="s">
        <v>326</v>
      </c>
      <c r="G371" s="246" t="s">
        <v>1549</v>
      </c>
      <c r="H371" s="234" t="s">
        <v>1550</v>
      </c>
      <c r="I371" s="225" t="s">
        <v>24</v>
      </c>
      <c r="J371" s="225" t="s">
        <v>1527</v>
      </c>
      <c r="K371" s="248" t="s">
        <v>24</v>
      </c>
      <c r="L371" s="248" t="s">
        <v>329</v>
      </c>
      <c r="M371" s="283" t="s">
        <v>24</v>
      </c>
      <c r="N371" s="106" t="s">
        <v>24</v>
      </c>
      <c r="O371" s="106" t="s">
        <v>24</v>
      </c>
      <c r="P371" s="106"/>
      <c r="Q371" s="309"/>
      <c r="R371" s="215" t="s">
        <v>24</v>
      </c>
      <c r="S371" s="225" t="s">
        <v>24</v>
      </c>
      <c r="T371" s="225" t="s">
        <v>24</v>
      </c>
      <c r="U371" s="225" t="s">
        <v>329</v>
      </c>
      <c r="V371" s="251"/>
      <c r="W371" s="377"/>
      <c r="X371" s="85"/>
      <c r="Y371" s="85"/>
      <c r="Z371" s="85"/>
      <c r="AA371" s="85"/>
      <c r="AB371" s="85"/>
      <c r="AC371" s="85"/>
    </row>
    <row r="372" spans="1:29" ht="409.6">
      <c r="A372" s="338" t="s">
        <v>946</v>
      </c>
      <c r="B372" s="87" t="s">
        <v>921</v>
      </c>
      <c r="C372" s="307" t="s">
        <v>1551</v>
      </c>
      <c r="D372" s="81" t="s">
        <v>1552</v>
      </c>
      <c r="E372" s="245" t="s">
        <v>27</v>
      </c>
      <c r="F372" s="87" t="s">
        <v>317</v>
      </c>
      <c r="G372" s="259"/>
      <c r="H372" s="256"/>
      <c r="I372" s="335" t="s">
        <v>317</v>
      </c>
      <c r="J372" s="335" t="s">
        <v>317</v>
      </c>
      <c r="K372" s="335" t="s">
        <v>317</v>
      </c>
      <c r="L372" s="248"/>
      <c r="M372" s="249"/>
      <c r="N372" s="225"/>
      <c r="O372" s="225"/>
      <c r="P372" s="225"/>
      <c r="Q372" s="250"/>
      <c r="R372" s="215" t="s">
        <v>27</v>
      </c>
      <c r="S372" s="215" t="s">
        <v>27</v>
      </c>
      <c r="T372" s="215" t="s">
        <v>27</v>
      </c>
      <c r="U372" s="225"/>
      <c r="V372" s="251"/>
      <c r="W372" s="377"/>
      <c r="X372" s="85"/>
      <c r="Y372" s="85"/>
      <c r="Z372" s="85"/>
      <c r="AA372" s="85"/>
      <c r="AB372" s="85"/>
      <c r="AC372" s="85"/>
    </row>
    <row r="373" spans="1:29" ht="27">
      <c r="A373" s="338" t="s">
        <v>946</v>
      </c>
      <c r="B373" s="87" t="s">
        <v>921</v>
      </c>
      <c r="C373" s="339" t="s">
        <v>1553</v>
      </c>
      <c r="D373" s="81" t="s">
        <v>1554</v>
      </c>
      <c r="E373" s="245" t="s">
        <v>27</v>
      </c>
      <c r="F373" s="87" t="s">
        <v>317</v>
      </c>
      <c r="G373" s="246" t="s">
        <v>1555</v>
      </c>
      <c r="H373" s="234" t="s">
        <v>1556</v>
      </c>
      <c r="I373" s="335" t="s">
        <v>317</v>
      </c>
      <c r="J373" s="335" t="s">
        <v>317</v>
      </c>
      <c r="K373" s="335" t="s">
        <v>317</v>
      </c>
      <c r="L373" s="248" t="s">
        <v>329</v>
      </c>
      <c r="M373" s="249"/>
      <c r="N373" s="225"/>
      <c r="O373" s="225"/>
      <c r="P373" s="225"/>
      <c r="Q373" s="250"/>
      <c r="R373" s="215" t="s">
        <v>27</v>
      </c>
      <c r="S373" s="215" t="s">
        <v>27</v>
      </c>
      <c r="T373" s="215" t="s">
        <v>27</v>
      </c>
      <c r="U373" s="225"/>
      <c r="V373" s="251" t="s">
        <v>1557</v>
      </c>
      <c r="W373" s="377"/>
      <c r="X373" s="85"/>
      <c r="Y373" s="85"/>
      <c r="Z373" s="85"/>
      <c r="AA373" s="85"/>
      <c r="AB373" s="85"/>
      <c r="AC373" s="85"/>
    </row>
    <row r="374" spans="1:29" ht="409.6">
      <c r="A374" s="338" t="s">
        <v>946</v>
      </c>
      <c r="B374" s="87" t="s">
        <v>921</v>
      </c>
      <c r="C374" s="339" t="s">
        <v>1558</v>
      </c>
      <c r="D374" s="81" t="s">
        <v>1559</v>
      </c>
      <c r="E374" s="245" t="s">
        <v>27</v>
      </c>
      <c r="F374" s="87" t="s">
        <v>317</v>
      </c>
      <c r="G374" s="246" t="s">
        <v>1560</v>
      </c>
      <c r="H374" s="234" t="s">
        <v>1561</v>
      </c>
      <c r="I374" s="335" t="s">
        <v>317</v>
      </c>
      <c r="J374" s="335" t="s">
        <v>317</v>
      </c>
      <c r="K374" s="335" t="s">
        <v>317</v>
      </c>
      <c r="L374" s="248" t="s">
        <v>329</v>
      </c>
      <c r="M374" s="249"/>
      <c r="N374" s="225"/>
      <c r="O374" s="225"/>
      <c r="P374" s="225"/>
      <c r="Q374" s="250"/>
      <c r="R374" s="215" t="s">
        <v>27</v>
      </c>
      <c r="S374" s="215" t="s">
        <v>27</v>
      </c>
      <c r="T374" s="215" t="s">
        <v>27</v>
      </c>
      <c r="U374" s="225"/>
      <c r="V374" s="251" t="s">
        <v>1562</v>
      </c>
      <c r="W374" s="377"/>
      <c r="X374" s="85"/>
      <c r="Y374" s="85"/>
      <c r="Z374" s="85"/>
      <c r="AA374" s="85"/>
      <c r="AB374" s="85"/>
      <c r="AC374" s="85"/>
    </row>
    <row r="375" spans="1:29" ht="409.6">
      <c r="A375" s="85" t="s">
        <v>946</v>
      </c>
      <c r="B375" s="87" t="s">
        <v>921</v>
      </c>
      <c r="C375" s="80" t="s">
        <v>1563</v>
      </c>
      <c r="D375" s="81" t="s">
        <v>1564</v>
      </c>
      <c r="E375" s="245" t="s">
        <v>27</v>
      </c>
      <c r="F375" s="87" t="s">
        <v>317</v>
      </c>
      <c r="G375" s="259"/>
      <c r="H375" s="256"/>
      <c r="I375" s="335" t="s">
        <v>317</v>
      </c>
      <c r="J375" s="335" t="s">
        <v>317</v>
      </c>
      <c r="K375" s="335" t="s">
        <v>317</v>
      </c>
      <c r="L375" s="248"/>
      <c r="M375" s="249"/>
      <c r="N375" s="225"/>
      <c r="O375" s="225"/>
      <c r="P375" s="225"/>
      <c r="Q375" s="250"/>
      <c r="R375" s="215" t="s">
        <v>27</v>
      </c>
      <c r="S375" s="215" t="s">
        <v>27</v>
      </c>
      <c r="T375" s="215" t="s">
        <v>27</v>
      </c>
      <c r="U375" s="225"/>
      <c r="V375" s="251"/>
      <c r="W375" s="377"/>
      <c r="X375" s="85"/>
      <c r="Y375" s="85"/>
      <c r="Z375" s="85"/>
      <c r="AA375" s="85"/>
      <c r="AB375" s="85"/>
      <c r="AC375" s="85"/>
    </row>
    <row r="376" spans="1:29" ht="27">
      <c r="A376" s="85" t="s">
        <v>920</v>
      </c>
      <c r="B376" s="87" t="s">
        <v>921</v>
      </c>
      <c r="C376" s="80" t="s">
        <v>1565</v>
      </c>
      <c r="D376" s="81" t="s">
        <v>1566</v>
      </c>
      <c r="E376" s="87" t="s">
        <v>325</v>
      </c>
      <c r="F376" s="87" t="s">
        <v>477</v>
      </c>
      <c r="G376" s="320" t="s">
        <v>1567</v>
      </c>
      <c r="H376" s="340" t="s">
        <v>1568</v>
      </c>
      <c r="I376" s="225" t="s">
        <v>337</v>
      </c>
      <c r="J376" s="225" t="s">
        <v>337</v>
      </c>
      <c r="K376" s="248" t="s">
        <v>337</v>
      </c>
      <c r="L376" s="248" t="s">
        <v>483</v>
      </c>
      <c r="M376" s="224" t="s">
        <v>24</v>
      </c>
      <c r="N376" s="107" t="s">
        <v>24</v>
      </c>
      <c r="O376" s="107" t="s">
        <v>24</v>
      </c>
      <c r="P376" s="81" t="s">
        <v>1569</v>
      </c>
      <c r="Q376" s="250" t="s">
        <v>477</v>
      </c>
      <c r="R376" s="215" t="s">
        <v>24</v>
      </c>
      <c r="S376" s="225" t="s">
        <v>24</v>
      </c>
      <c r="T376" s="225" t="s">
        <v>24</v>
      </c>
      <c r="U376" s="225" t="s">
        <v>483</v>
      </c>
      <c r="V376" s="251" t="s">
        <v>1570</v>
      </c>
      <c r="W376" s="377"/>
      <c r="X376" s="85"/>
      <c r="Y376" s="85"/>
      <c r="Z376" s="85"/>
      <c r="AA376" s="85"/>
      <c r="AB376" s="85"/>
      <c r="AC376" s="85"/>
    </row>
    <row r="377" spans="1:29" ht="409.6">
      <c r="A377" s="85" t="s">
        <v>920</v>
      </c>
      <c r="B377" s="87" t="s">
        <v>921</v>
      </c>
      <c r="C377" s="80" t="s">
        <v>1571</v>
      </c>
      <c r="D377" s="81" t="s">
        <v>1572</v>
      </c>
      <c r="E377" s="87" t="s">
        <v>325</v>
      </c>
      <c r="F377" s="87" t="s">
        <v>477</v>
      </c>
      <c r="G377" s="246" t="s">
        <v>1573</v>
      </c>
      <c r="H377" s="256"/>
      <c r="I377" s="225" t="s">
        <v>337</v>
      </c>
      <c r="J377" s="225" t="s">
        <v>337</v>
      </c>
      <c r="K377" s="248" t="s">
        <v>337</v>
      </c>
      <c r="L377" s="248" t="s">
        <v>483</v>
      </c>
      <c r="M377" s="224" t="s">
        <v>27</v>
      </c>
      <c r="N377" s="107" t="s">
        <v>27</v>
      </c>
      <c r="O377" s="107" t="s">
        <v>27</v>
      </c>
      <c r="P377" s="81" t="s">
        <v>1574</v>
      </c>
      <c r="Q377" s="254" t="s">
        <v>364</v>
      </c>
      <c r="R377" s="224" t="s">
        <v>27</v>
      </c>
      <c r="S377" s="107" t="s">
        <v>27</v>
      </c>
      <c r="T377" s="107" t="s">
        <v>27</v>
      </c>
      <c r="U377" s="225" t="s">
        <v>341</v>
      </c>
      <c r="V377" s="251" t="s">
        <v>1575</v>
      </c>
      <c r="W377" s="377"/>
      <c r="X377" s="85"/>
      <c r="Y377" s="85"/>
      <c r="Z377" s="85"/>
      <c r="AA377" s="85"/>
      <c r="AB377" s="85"/>
      <c r="AC377" s="85"/>
    </row>
    <row r="378" spans="1:29" ht="274.5">
      <c r="A378" s="85" t="s">
        <v>920</v>
      </c>
      <c r="B378" s="87" t="s">
        <v>921</v>
      </c>
      <c r="C378" s="80" t="s">
        <v>1576</v>
      </c>
      <c r="D378" s="81" t="s">
        <v>1577</v>
      </c>
      <c r="E378" s="87" t="s">
        <v>325</v>
      </c>
      <c r="F378" s="87" t="s">
        <v>326</v>
      </c>
      <c r="G378" s="246" t="s">
        <v>1578</v>
      </c>
      <c r="H378" s="256"/>
      <c r="I378" s="225" t="s">
        <v>24</v>
      </c>
      <c r="J378" s="225" t="s">
        <v>24</v>
      </c>
      <c r="K378" s="248" t="s">
        <v>24</v>
      </c>
      <c r="L378" s="248" t="s">
        <v>329</v>
      </c>
      <c r="M378" s="224" t="s">
        <v>24</v>
      </c>
      <c r="N378" s="107" t="s">
        <v>24</v>
      </c>
      <c r="O378" s="107" t="s">
        <v>24</v>
      </c>
      <c r="P378" s="107" t="s">
        <v>626</v>
      </c>
      <c r="Q378" s="254"/>
      <c r="R378" s="215" t="s">
        <v>24</v>
      </c>
      <c r="S378" s="225" t="s">
        <v>24</v>
      </c>
      <c r="T378" s="225" t="s">
        <v>24</v>
      </c>
      <c r="U378" s="225" t="s">
        <v>329</v>
      </c>
      <c r="V378" s="251" t="s">
        <v>1579</v>
      </c>
      <c r="W378" s="377"/>
      <c r="X378" s="85"/>
      <c r="Y378" s="85"/>
      <c r="Z378" s="85"/>
      <c r="AA378" s="85"/>
      <c r="AB378" s="85"/>
      <c r="AC378" s="85"/>
    </row>
    <row r="379" spans="1:29" ht="409.6">
      <c r="A379" s="85" t="s">
        <v>920</v>
      </c>
      <c r="B379" s="87" t="s">
        <v>921</v>
      </c>
      <c r="C379" s="80" t="s">
        <v>1580</v>
      </c>
      <c r="D379" s="81" t="s">
        <v>1581</v>
      </c>
      <c r="E379" s="87" t="s">
        <v>325</v>
      </c>
      <c r="F379" s="87" t="s">
        <v>326</v>
      </c>
      <c r="G379" s="246" t="s">
        <v>1582</v>
      </c>
      <c r="H379" s="234" t="s">
        <v>1583</v>
      </c>
      <c r="I379" s="245" t="s">
        <v>337</v>
      </c>
      <c r="J379" s="245" t="s">
        <v>337</v>
      </c>
      <c r="K379" s="257" t="s">
        <v>337</v>
      </c>
      <c r="L379" s="248" t="s">
        <v>329</v>
      </c>
      <c r="M379" s="224" t="s">
        <v>308</v>
      </c>
      <c r="N379" s="107" t="s">
        <v>308</v>
      </c>
      <c r="O379" s="107" t="s">
        <v>308</v>
      </c>
      <c r="P379" s="81" t="s">
        <v>1584</v>
      </c>
      <c r="Q379" s="254" t="s">
        <v>477</v>
      </c>
      <c r="R379" s="215" t="s">
        <v>28</v>
      </c>
      <c r="S379" s="225" t="s">
        <v>28</v>
      </c>
      <c r="T379" s="225" t="s">
        <v>28</v>
      </c>
      <c r="U379" s="225" t="s">
        <v>341</v>
      </c>
      <c r="V379" s="251" t="s">
        <v>1585</v>
      </c>
      <c r="W379" s="377"/>
      <c r="X379" s="85"/>
      <c r="Y379" s="85"/>
      <c r="Z379" s="85"/>
      <c r="AA379" s="85"/>
      <c r="AB379" s="85"/>
      <c r="AC379" s="85"/>
    </row>
    <row r="380" spans="1:29" ht="409.6">
      <c r="A380" s="85" t="s">
        <v>920</v>
      </c>
      <c r="B380" s="87" t="s">
        <v>921</v>
      </c>
      <c r="C380" s="80" t="s">
        <v>1586</v>
      </c>
      <c r="D380" s="81" t="s">
        <v>1587</v>
      </c>
      <c r="E380" s="87" t="s">
        <v>325</v>
      </c>
      <c r="F380" s="87" t="s">
        <v>326</v>
      </c>
      <c r="G380" s="341" t="s">
        <v>1588</v>
      </c>
      <c r="H380" s="256"/>
      <c r="I380" s="245" t="s">
        <v>337</v>
      </c>
      <c r="J380" s="245" t="s">
        <v>337</v>
      </c>
      <c r="K380" s="257" t="s">
        <v>337</v>
      </c>
      <c r="L380" s="248" t="s">
        <v>329</v>
      </c>
      <c r="M380" s="224" t="s">
        <v>308</v>
      </c>
      <c r="N380" s="107" t="s">
        <v>308</v>
      </c>
      <c r="O380" s="107" t="s">
        <v>308</v>
      </c>
      <c r="P380" s="81" t="s">
        <v>1589</v>
      </c>
      <c r="Q380" s="254" t="s">
        <v>851</v>
      </c>
      <c r="R380" s="224" t="s">
        <v>308</v>
      </c>
      <c r="S380" s="107" t="s">
        <v>308</v>
      </c>
      <c r="T380" s="107" t="s">
        <v>308</v>
      </c>
      <c r="U380" s="225" t="s">
        <v>341</v>
      </c>
      <c r="V380" s="251" t="s">
        <v>1590</v>
      </c>
      <c r="W380" s="377"/>
      <c r="X380" s="85"/>
      <c r="Y380" s="85"/>
      <c r="Z380" s="85"/>
      <c r="AA380" s="85"/>
      <c r="AB380" s="85"/>
      <c r="AC380" s="85"/>
    </row>
    <row r="381" spans="1:29" ht="261">
      <c r="A381" s="85" t="s">
        <v>920</v>
      </c>
      <c r="B381" s="87" t="s">
        <v>921</v>
      </c>
      <c r="C381" s="80" t="s">
        <v>472</v>
      </c>
      <c r="D381" s="81" t="s">
        <v>1591</v>
      </c>
      <c r="E381" s="87" t="s">
        <v>325</v>
      </c>
      <c r="F381" s="87" t="s">
        <v>326</v>
      </c>
      <c r="G381" s="246" t="s">
        <v>1592</v>
      </c>
      <c r="H381" s="234" t="s">
        <v>1593</v>
      </c>
      <c r="I381" s="245" t="s">
        <v>337</v>
      </c>
      <c r="J381" s="245" t="s">
        <v>337</v>
      </c>
      <c r="K381" s="257" t="s">
        <v>337</v>
      </c>
      <c r="L381" s="248" t="s">
        <v>329</v>
      </c>
      <c r="M381" s="224" t="s">
        <v>24</v>
      </c>
      <c r="N381" s="107" t="s">
        <v>24</v>
      </c>
      <c r="O381" s="107" t="s">
        <v>24</v>
      </c>
      <c r="P381" s="107" t="s">
        <v>1594</v>
      </c>
      <c r="Q381" s="254" t="s">
        <v>477</v>
      </c>
      <c r="R381" s="306" t="s">
        <v>24</v>
      </c>
      <c r="S381" s="298" t="s">
        <v>24</v>
      </c>
      <c r="T381" s="298" t="s">
        <v>24</v>
      </c>
      <c r="U381" s="225" t="s">
        <v>329</v>
      </c>
      <c r="V381" s="251" t="s">
        <v>1595</v>
      </c>
      <c r="W381" s="377"/>
      <c r="X381" s="85"/>
      <c r="Y381" s="85"/>
      <c r="Z381" s="85"/>
      <c r="AA381" s="85"/>
      <c r="AB381" s="85"/>
      <c r="AC381" s="85"/>
    </row>
    <row r="382" spans="1:29" ht="261">
      <c r="A382" s="85" t="s">
        <v>920</v>
      </c>
      <c r="B382" s="87" t="s">
        <v>921</v>
      </c>
      <c r="C382" s="80" t="s">
        <v>1596</v>
      </c>
      <c r="D382" s="81" t="s">
        <v>1597</v>
      </c>
      <c r="E382" s="87" t="s">
        <v>325</v>
      </c>
      <c r="F382" s="342" t="s">
        <v>326</v>
      </c>
      <c r="G382" s="246" t="s">
        <v>1598</v>
      </c>
      <c r="H382" s="234" t="s">
        <v>1599</v>
      </c>
      <c r="I382" s="225" t="s">
        <v>24</v>
      </c>
      <c r="J382" s="225" t="s">
        <v>1527</v>
      </c>
      <c r="K382" s="248" t="s">
        <v>24</v>
      </c>
      <c r="L382" s="248" t="s">
        <v>329</v>
      </c>
      <c r="M382" s="224" t="s">
        <v>24</v>
      </c>
      <c r="N382" s="107" t="s">
        <v>24</v>
      </c>
      <c r="O382" s="107" t="s">
        <v>24</v>
      </c>
      <c r="P382" s="107" t="s">
        <v>626</v>
      </c>
      <c r="Q382" s="254"/>
      <c r="R382" s="215" t="s">
        <v>24</v>
      </c>
      <c r="S382" s="225" t="s">
        <v>24</v>
      </c>
      <c r="T382" s="225" t="s">
        <v>24</v>
      </c>
      <c r="U382" s="225" t="s">
        <v>329</v>
      </c>
      <c r="V382" s="251"/>
      <c r="W382" s="377"/>
      <c r="X382" s="85"/>
      <c r="Y382" s="85"/>
      <c r="Z382" s="85"/>
      <c r="AA382" s="85"/>
      <c r="AB382" s="85"/>
      <c r="AC382" s="85"/>
    </row>
    <row r="383" spans="1:29" ht="330">
      <c r="A383" s="85" t="s">
        <v>920</v>
      </c>
      <c r="B383" s="87" t="s">
        <v>921</v>
      </c>
      <c r="C383" s="80" t="s">
        <v>1600</v>
      </c>
      <c r="D383" s="81" t="s">
        <v>1601</v>
      </c>
      <c r="E383" s="87" t="s">
        <v>325</v>
      </c>
      <c r="F383" s="87" t="s">
        <v>326</v>
      </c>
      <c r="G383" s="246" t="s">
        <v>1602</v>
      </c>
      <c r="H383" s="256"/>
      <c r="I383" s="225" t="s">
        <v>24</v>
      </c>
      <c r="J383" s="225" t="s">
        <v>1527</v>
      </c>
      <c r="K383" s="248" t="s">
        <v>24</v>
      </c>
      <c r="L383" s="248" t="s">
        <v>329</v>
      </c>
      <c r="M383" s="224" t="s">
        <v>24</v>
      </c>
      <c r="N383" s="107" t="s">
        <v>24</v>
      </c>
      <c r="O383" s="107" t="s">
        <v>24</v>
      </c>
      <c r="P383" s="107" t="s">
        <v>626</v>
      </c>
      <c r="Q383" s="254"/>
      <c r="R383" s="215" t="s">
        <v>24</v>
      </c>
      <c r="S383" s="225" t="s">
        <v>24</v>
      </c>
      <c r="T383" s="225" t="s">
        <v>24</v>
      </c>
      <c r="U383" s="225" t="s">
        <v>329</v>
      </c>
      <c r="V383" s="251"/>
      <c r="W383" s="377"/>
      <c r="X383" s="85"/>
      <c r="Y383" s="85"/>
      <c r="Z383" s="85"/>
      <c r="AA383" s="85"/>
      <c r="AB383" s="85"/>
      <c r="AC383" s="85"/>
    </row>
    <row r="384" spans="1:29" ht="409.6">
      <c r="A384" s="85" t="s">
        <v>920</v>
      </c>
      <c r="B384" s="87" t="s">
        <v>921</v>
      </c>
      <c r="C384" s="80" t="s">
        <v>1603</v>
      </c>
      <c r="D384" s="81" t="s">
        <v>1604</v>
      </c>
      <c r="E384" s="87" t="s">
        <v>325</v>
      </c>
      <c r="F384" s="87" t="s">
        <v>326</v>
      </c>
      <c r="G384" s="246" t="s">
        <v>1605</v>
      </c>
      <c r="H384" s="256"/>
      <c r="I384" s="225" t="s">
        <v>24</v>
      </c>
      <c r="J384" s="225" t="s">
        <v>317</v>
      </c>
      <c r="K384" s="248" t="s">
        <v>24</v>
      </c>
      <c r="L384" s="248" t="s">
        <v>329</v>
      </c>
      <c r="M384" s="224" t="s">
        <v>24</v>
      </c>
      <c r="N384" s="107" t="s">
        <v>24</v>
      </c>
      <c r="O384" s="107" t="s">
        <v>24</v>
      </c>
      <c r="P384" s="81" t="s">
        <v>1606</v>
      </c>
      <c r="Q384" s="254"/>
      <c r="R384" s="215" t="s">
        <v>24</v>
      </c>
      <c r="S384" s="225" t="s">
        <v>27</v>
      </c>
      <c r="T384" s="225" t="s">
        <v>24</v>
      </c>
      <c r="U384" s="225" t="s">
        <v>329</v>
      </c>
      <c r="V384" s="251" t="s">
        <v>1607</v>
      </c>
      <c r="W384" s="377"/>
      <c r="X384" s="85"/>
      <c r="Y384" s="85"/>
      <c r="Z384" s="85"/>
      <c r="AA384" s="85"/>
      <c r="AB384" s="85"/>
      <c r="AC384" s="85"/>
    </row>
    <row r="385" spans="1:29" ht="409.6">
      <c r="A385" s="85" t="s">
        <v>920</v>
      </c>
      <c r="B385" s="87" t="s">
        <v>921</v>
      </c>
      <c r="C385" s="80" t="s">
        <v>1608</v>
      </c>
      <c r="D385" s="81" t="s">
        <v>1609</v>
      </c>
      <c r="E385" s="87" t="s">
        <v>325</v>
      </c>
      <c r="F385" s="87" t="s">
        <v>326</v>
      </c>
      <c r="G385" s="246" t="s">
        <v>1610</v>
      </c>
      <c r="H385" s="256"/>
      <c r="I385" s="225" t="s">
        <v>24</v>
      </c>
      <c r="J385" s="225" t="s">
        <v>317</v>
      </c>
      <c r="K385" s="225" t="s">
        <v>317</v>
      </c>
      <c r="L385" s="248" t="s">
        <v>329</v>
      </c>
      <c r="M385" s="283" t="s">
        <v>24</v>
      </c>
      <c r="N385" s="106" t="s">
        <v>24</v>
      </c>
      <c r="O385" s="106" t="s">
        <v>24</v>
      </c>
      <c r="P385" s="81" t="s">
        <v>1611</v>
      </c>
      <c r="Q385" s="254" t="s">
        <v>364</v>
      </c>
      <c r="R385" s="312" t="s">
        <v>24</v>
      </c>
      <c r="S385" s="225" t="s">
        <v>27</v>
      </c>
      <c r="T385" s="225" t="s">
        <v>27</v>
      </c>
      <c r="U385" s="225" t="s">
        <v>329</v>
      </c>
      <c r="V385" s="251" t="s">
        <v>1612</v>
      </c>
      <c r="W385" s="377"/>
      <c r="X385" s="85"/>
      <c r="Y385" s="85"/>
      <c r="Z385" s="85"/>
      <c r="AA385" s="85"/>
      <c r="AB385" s="85"/>
      <c r="AC385" s="85"/>
    </row>
    <row r="386" spans="1:29" ht="409.6">
      <c r="A386" s="85" t="s">
        <v>1613</v>
      </c>
      <c r="B386" s="87" t="s">
        <v>921</v>
      </c>
      <c r="C386" s="80" t="s">
        <v>1614</v>
      </c>
      <c r="D386" s="81" t="s">
        <v>1615</v>
      </c>
      <c r="E386" s="245" t="s">
        <v>27</v>
      </c>
      <c r="F386" s="87" t="s">
        <v>317</v>
      </c>
      <c r="G386" s="259"/>
      <c r="H386" s="256"/>
      <c r="I386" s="335" t="s">
        <v>317</v>
      </c>
      <c r="J386" s="335" t="s">
        <v>317</v>
      </c>
      <c r="K386" s="335" t="s">
        <v>317</v>
      </c>
      <c r="L386" s="248"/>
      <c r="M386" s="249"/>
      <c r="N386" s="225"/>
      <c r="O386" s="225"/>
      <c r="P386" s="225"/>
      <c r="Q386" s="250"/>
      <c r="R386" s="215" t="s">
        <v>27</v>
      </c>
      <c r="S386" s="215" t="s">
        <v>27</v>
      </c>
      <c r="T386" s="215" t="s">
        <v>27</v>
      </c>
      <c r="U386" s="225"/>
      <c r="V386" s="251"/>
      <c r="W386" s="377"/>
      <c r="X386" s="85"/>
      <c r="Y386" s="85"/>
      <c r="Z386" s="85"/>
      <c r="AA386" s="85"/>
      <c r="AB386" s="85"/>
      <c r="AC386" s="85"/>
    </row>
    <row r="387" spans="1:29" ht="27">
      <c r="A387" s="85" t="s">
        <v>1613</v>
      </c>
      <c r="B387" s="87" t="s">
        <v>921</v>
      </c>
      <c r="C387" s="80" t="s">
        <v>1616</v>
      </c>
      <c r="D387" s="81" t="s">
        <v>1617</v>
      </c>
      <c r="E387" s="245" t="s">
        <v>27</v>
      </c>
      <c r="F387" s="87" t="s">
        <v>317</v>
      </c>
      <c r="G387" s="259"/>
      <c r="H387" s="256"/>
      <c r="I387" s="335" t="s">
        <v>317</v>
      </c>
      <c r="J387" s="335" t="s">
        <v>317</v>
      </c>
      <c r="K387" s="335" t="s">
        <v>317</v>
      </c>
      <c r="L387" s="248"/>
      <c r="M387" s="249"/>
      <c r="N387" s="225"/>
      <c r="O387" s="225"/>
      <c r="P387" s="225"/>
      <c r="Q387" s="250"/>
      <c r="R387" s="215" t="s">
        <v>27</v>
      </c>
      <c r="S387" s="215" t="s">
        <v>27</v>
      </c>
      <c r="T387" s="215" t="s">
        <v>27</v>
      </c>
      <c r="U387" s="225"/>
      <c r="V387" s="251"/>
      <c r="W387" s="377"/>
      <c r="X387" s="85"/>
      <c r="Y387" s="85"/>
      <c r="Z387" s="85"/>
      <c r="AA387" s="85"/>
      <c r="AB387" s="85"/>
      <c r="AC387" s="85"/>
    </row>
    <row r="388" spans="1:29" ht="27">
      <c r="A388" s="85" t="s">
        <v>1613</v>
      </c>
      <c r="B388" s="87" t="s">
        <v>921</v>
      </c>
      <c r="C388" s="80" t="s">
        <v>84</v>
      </c>
      <c r="D388" s="81" t="s">
        <v>1618</v>
      </c>
      <c r="E388" s="245" t="s">
        <v>27</v>
      </c>
      <c r="F388" s="87" t="s">
        <v>317</v>
      </c>
      <c r="G388" s="259"/>
      <c r="H388" s="256"/>
      <c r="I388" s="335" t="s">
        <v>317</v>
      </c>
      <c r="J388" s="335" t="s">
        <v>317</v>
      </c>
      <c r="K388" s="335" t="s">
        <v>317</v>
      </c>
      <c r="L388" s="248"/>
      <c r="M388" s="249"/>
      <c r="N388" s="225"/>
      <c r="O388" s="225"/>
      <c r="P388" s="225"/>
      <c r="Q388" s="250"/>
      <c r="R388" s="215" t="s">
        <v>27</v>
      </c>
      <c r="S388" s="215" t="s">
        <v>27</v>
      </c>
      <c r="T388" s="215" t="s">
        <v>27</v>
      </c>
      <c r="U388" s="225"/>
      <c r="V388" s="251"/>
      <c r="W388" s="377"/>
      <c r="X388" s="85"/>
      <c r="Y388" s="85"/>
      <c r="Z388" s="85"/>
      <c r="AA388" s="85"/>
      <c r="AB388" s="85"/>
      <c r="AC388" s="85"/>
    </row>
    <row r="389" spans="1:29" ht="27">
      <c r="A389" s="85" t="s">
        <v>1120</v>
      </c>
      <c r="B389" s="87" t="s">
        <v>921</v>
      </c>
      <c r="C389" s="80" t="s">
        <v>1619</v>
      </c>
      <c r="D389" s="86" t="s">
        <v>1620</v>
      </c>
      <c r="E389" s="245" t="s">
        <v>27</v>
      </c>
      <c r="F389" s="87" t="s">
        <v>317</v>
      </c>
      <c r="G389" s="259"/>
      <c r="H389" s="256"/>
      <c r="I389" s="335" t="s">
        <v>317</v>
      </c>
      <c r="J389" s="335" t="s">
        <v>317</v>
      </c>
      <c r="K389" s="335" t="s">
        <v>317</v>
      </c>
      <c r="L389" s="248"/>
      <c r="M389" s="249"/>
      <c r="N389" s="225"/>
      <c r="O389" s="225"/>
      <c r="P389" s="225"/>
      <c r="Q389" s="250"/>
      <c r="R389" s="215" t="s">
        <v>27</v>
      </c>
      <c r="S389" s="215" t="s">
        <v>27</v>
      </c>
      <c r="T389" s="215" t="s">
        <v>27</v>
      </c>
      <c r="U389" s="225"/>
      <c r="V389" s="251"/>
      <c r="W389" s="377"/>
      <c r="X389" s="85"/>
      <c r="Y389" s="85"/>
      <c r="Z389" s="85"/>
      <c r="AA389" s="85"/>
      <c r="AB389" s="85"/>
      <c r="AC389" s="85"/>
    </row>
    <row r="390" spans="1:29" ht="27">
      <c r="A390" s="85" t="s">
        <v>1120</v>
      </c>
      <c r="B390" s="87" t="s">
        <v>921</v>
      </c>
      <c r="C390" s="80" t="s">
        <v>1621</v>
      </c>
      <c r="D390" s="107" t="s">
        <v>1622</v>
      </c>
      <c r="E390" s="245" t="s">
        <v>27</v>
      </c>
      <c r="F390" s="87" t="s">
        <v>317</v>
      </c>
      <c r="G390" s="259"/>
      <c r="H390" s="256"/>
      <c r="I390" s="335" t="s">
        <v>317</v>
      </c>
      <c r="J390" s="335" t="s">
        <v>317</v>
      </c>
      <c r="K390" s="335" t="s">
        <v>317</v>
      </c>
      <c r="L390" s="248"/>
      <c r="M390" s="249"/>
      <c r="N390" s="225"/>
      <c r="O390" s="225"/>
      <c r="P390" s="225"/>
      <c r="Q390" s="250"/>
      <c r="R390" s="215" t="s">
        <v>27</v>
      </c>
      <c r="S390" s="215" t="s">
        <v>27</v>
      </c>
      <c r="T390" s="215" t="s">
        <v>27</v>
      </c>
      <c r="U390" s="225"/>
      <c r="V390" s="251"/>
      <c r="W390" s="377"/>
      <c r="X390" s="85"/>
      <c r="Y390" s="85"/>
      <c r="Z390" s="85"/>
      <c r="AA390" s="85"/>
      <c r="AB390" s="85"/>
      <c r="AC390" s="85"/>
    </row>
    <row r="391" spans="1:29" ht="27">
      <c r="A391" s="85" t="s">
        <v>1120</v>
      </c>
      <c r="B391" s="87" t="s">
        <v>921</v>
      </c>
      <c r="C391" s="80" t="s">
        <v>1623</v>
      </c>
      <c r="D391" s="107" t="s">
        <v>1624</v>
      </c>
      <c r="E391" s="245" t="s">
        <v>27</v>
      </c>
      <c r="F391" s="87" t="s">
        <v>317</v>
      </c>
      <c r="G391" s="259"/>
      <c r="H391" s="256"/>
      <c r="I391" s="335" t="s">
        <v>317</v>
      </c>
      <c r="J391" s="335" t="s">
        <v>317</v>
      </c>
      <c r="K391" s="335" t="s">
        <v>317</v>
      </c>
      <c r="L391" s="248"/>
      <c r="M391" s="249"/>
      <c r="N391" s="225"/>
      <c r="O391" s="225"/>
      <c r="P391" s="225"/>
      <c r="Q391" s="250"/>
      <c r="R391" s="215" t="s">
        <v>27</v>
      </c>
      <c r="S391" s="215" t="s">
        <v>27</v>
      </c>
      <c r="T391" s="215" t="s">
        <v>27</v>
      </c>
      <c r="U391" s="225"/>
      <c r="V391" s="251"/>
      <c r="W391" s="377"/>
      <c r="X391" s="85"/>
      <c r="Y391" s="85"/>
      <c r="Z391" s="85"/>
      <c r="AA391" s="85"/>
      <c r="AB391" s="85"/>
      <c r="AC391" s="85"/>
    </row>
    <row r="392" spans="1:29" ht="27">
      <c r="A392" s="85" t="s">
        <v>1120</v>
      </c>
      <c r="B392" s="87" t="s">
        <v>921</v>
      </c>
      <c r="C392" s="80" t="s">
        <v>1625</v>
      </c>
      <c r="D392" s="86" t="s">
        <v>1626</v>
      </c>
      <c r="E392" s="245" t="s">
        <v>27</v>
      </c>
      <c r="F392" s="87" t="s">
        <v>317</v>
      </c>
      <c r="G392" s="259"/>
      <c r="H392" s="256"/>
      <c r="I392" s="335" t="s">
        <v>317</v>
      </c>
      <c r="J392" s="335" t="s">
        <v>317</v>
      </c>
      <c r="K392" s="335" t="s">
        <v>317</v>
      </c>
      <c r="L392" s="248"/>
      <c r="M392" s="249"/>
      <c r="N392" s="225"/>
      <c r="O392" s="225"/>
      <c r="P392" s="225"/>
      <c r="Q392" s="250"/>
      <c r="R392" s="215" t="s">
        <v>27</v>
      </c>
      <c r="S392" s="215" t="s">
        <v>27</v>
      </c>
      <c r="T392" s="215" t="s">
        <v>27</v>
      </c>
      <c r="U392" s="225"/>
      <c r="V392" s="251"/>
      <c r="W392" s="377"/>
      <c r="X392" s="85"/>
      <c r="Y392" s="85"/>
      <c r="Z392" s="85"/>
      <c r="AA392" s="85"/>
      <c r="AB392" s="85"/>
      <c r="AC392" s="85"/>
    </row>
    <row r="393" spans="1:29" ht="27">
      <c r="A393" s="85" t="s">
        <v>1120</v>
      </c>
      <c r="B393" s="87" t="s">
        <v>921</v>
      </c>
      <c r="C393" s="80" t="s">
        <v>1627</v>
      </c>
      <c r="D393" s="86" t="s">
        <v>1628</v>
      </c>
      <c r="E393" s="245" t="s">
        <v>27</v>
      </c>
      <c r="F393" s="87" t="s">
        <v>317</v>
      </c>
      <c r="G393" s="259"/>
      <c r="H393" s="256"/>
      <c r="I393" s="335" t="s">
        <v>317</v>
      </c>
      <c r="J393" s="335" t="s">
        <v>317</v>
      </c>
      <c r="K393" s="335" t="s">
        <v>317</v>
      </c>
      <c r="L393" s="248"/>
      <c r="M393" s="249"/>
      <c r="N393" s="225"/>
      <c r="O393" s="225"/>
      <c r="P393" s="225"/>
      <c r="Q393" s="250"/>
      <c r="R393" s="215" t="s">
        <v>27</v>
      </c>
      <c r="S393" s="215" t="s">
        <v>27</v>
      </c>
      <c r="T393" s="215" t="s">
        <v>27</v>
      </c>
      <c r="U393" s="225"/>
      <c r="V393" s="251"/>
      <c r="W393" s="377"/>
      <c r="X393" s="85"/>
      <c r="Y393" s="85"/>
      <c r="Z393" s="85"/>
      <c r="AA393" s="85"/>
      <c r="AB393" s="85"/>
      <c r="AC393" s="85"/>
    </row>
    <row r="394" spans="1:29" ht="27">
      <c r="A394" s="85" t="s">
        <v>1125</v>
      </c>
      <c r="B394" s="87" t="s">
        <v>820</v>
      </c>
      <c r="C394" s="80" t="s">
        <v>1407</v>
      </c>
      <c r="D394" s="107" t="s">
        <v>1629</v>
      </c>
      <c r="E394" s="87" t="s">
        <v>325</v>
      </c>
      <c r="F394" s="87" t="s">
        <v>477</v>
      </c>
      <c r="G394" s="420" t="s">
        <v>1630</v>
      </c>
      <c r="H394" s="256" t="s">
        <v>1631</v>
      </c>
      <c r="I394" s="225" t="s">
        <v>24</v>
      </c>
      <c r="J394" s="225" t="s">
        <v>24</v>
      </c>
      <c r="K394" s="225" t="s">
        <v>24</v>
      </c>
      <c r="L394" s="248" t="s">
        <v>483</v>
      </c>
      <c r="M394" s="224" t="s">
        <v>24</v>
      </c>
      <c r="N394" s="107" t="s">
        <v>24</v>
      </c>
      <c r="O394" s="107" t="s">
        <v>24</v>
      </c>
      <c r="P394" s="107" t="s">
        <v>626</v>
      </c>
      <c r="Q394" s="254" t="s">
        <v>477</v>
      </c>
      <c r="R394" s="215" t="s">
        <v>24</v>
      </c>
      <c r="S394" s="225" t="s">
        <v>24</v>
      </c>
      <c r="T394" s="225" t="s">
        <v>24</v>
      </c>
      <c r="U394" s="225" t="s">
        <v>329</v>
      </c>
      <c r="V394" s="296" t="s">
        <v>1632</v>
      </c>
      <c r="W394" s="377"/>
      <c r="X394" s="85"/>
      <c r="Y394" s="85"/>
      <c r="Z394" s="85"/>
      <c r="AA394" s="85"/>
      <c r="AB394" s="85"/>
      <c r="AC394" s="85"/>
    </row>
    <row r="395" spans="1:29" ht="15" customHeight="1">
      <c r="A395" s="85" t="s">
        <v>1125</v>
      </c>
      <c r="B395" s="87" t="s">
        <v>820</v>
      </c>
      <c r="C395" s="80" t="s">
        <v>1411</v>
      </c>
      <c r="D395" s="107" t="s">
        <v>1633</v>
      </c>
      <c r="E395" s="87" t="s">
        <v>325</v>
      </c>
      <c r="F395" s="87" t="s">
        <v>477</v>
      </c>
      <c r="G395" s="428"/>
      <c r="H395" s="256" t="s">
        <v>1631</v>
      </c>
      <c r="I395" s="225" t="s">
        <v>24</v>
      </c>
      <c r="J395" s="225" t="s">
        <v>24</v>
      </c>
      <c r="K395" s="225" t="s">
        <v>24</v>
      </c>
      <c r="L395" s="248" t="s">
        <v>483</v>
      </c>
      <c r="M395" s="224" t="s">
        <v>24</v>
      </c>
      <c r="N395" s="107" t="s">
        <v>24</v>
      </c>
      <c r="O395" s="107" t="s">
        <v>24</v>
      </c>
      <c r="P395" s="107" t="s">
        <v>626</v>
      </c>
      <c r="Q395" s="254" t="s">
        <v>477</v>
      </c>
      <c r="R395" s="215" t="s">
        <v>24</v>
      </c>
      <c r="S395" s="225" t="s">
        <v>24</v>
      </c>
      <c r="T395" s="225" t="s">
        <v>24</v>
      </c>
      <c r="U395" s="225" t="s">
        <v>329</v>
      </c>
      <c r="V395" s="296" t="s">
        <v>1634</v>
      </c>
      <c r="W395" s="377"/>
      <c r="X395" s="85"/>
      <c r="Y395" s="85"/>
      <c r="Z395" s="85"/>
      <c r="AA395" s="85"/>
      <c r="AB395" s="85"/>
      <c r="AC395" s="85"/>
    </row>
    <row r="396" spans="1:29" ht="247.5">
      <c r="A396" s="85" t="s">
        <v>1125</v>
      </c>
      <c r="B396" s="87" t="s">
        <v>820</v>
      </c>
      <c r="C396" s="80" t="s">
        <v>1418</v>
      </c>
      <c r="D396" s="107" t="s">
        <v>1635</v>
      </c>
      <c r="E396" s="87" t="s">
        <v>325</v>
      </c>
      <c r="F396" s="87" t="s">
        <v>477</v>
      </c>
      <c r="G396" s="428"/>
      <c r="H396" s="256" t="s">
        <v>1631</v>
      </c>
      <c r="I396" s="225" t="s">
        <v>28</v>
      </c>
      <c r="J396" s="225" t="s">
        <v>28</v>
      </c>
      <c r="K396" s="225" t="s">
        <v>28</v>
      </c>
      <c r="L396" s="248" t="s">
        <v>483</v>
      </c>
      <c r="M396" s="224" t="s">
        <v>24</v>
      </c>
      <c r="N396" s="107" t="s">
        <v>24</v>
      </c>
      <c r="O396" s="107" t="s">
        <v>24</v>
      </c>
      <c r="P396" s="107" t="s">
        <v>626</v>
      </c>
      <c r="Q396" s="254" t="s">
        <v>477</v>
      </c>
      <c r="R396" s="215" t="s">
        <v>24</v>
      </c>
      <c r="S396" s="225" t="s">
        <v>24</v>
      </c>
      <c r="T396" s="225" t="s">
        <v>24</v>
      </c>
      <c r="U396" s="225" t="s">
        <v>329</v>
      </c>
      <c r="V396" s="296" t="s">
        <v>1636</v>
      </c>
      <c r="W396" s="377"/>
      <c r="X396" s="85"/>
      <c r="Y396" s="85"/>
      <c r="Z396" s="85"/>
      <c r="AA396" s="85"/>
      <c r="AB396" s="85"/>
      <c r="AC396" s="85"/>
    </row>
    <row r="397" spans="1:29" ht="247.5">
      <c r="A397" s="85" t="s">
        <v>1125</v>
      </c>
      <c r="B397" s="87" t="s">
        <v>820</v>
      </c>
      <c r="C397" s="80" t="s">
        <v>1421</v>
      </c>
      <c r="D397" s="107" t="s">
        <v>1637</v>
      </c>
      <c r="E397" s="87" t="s">
        <v>325</v>
      </c>
      <c r="F397" s="87" t="s">
        <v>477</v>
      </c>
      <c r="G397" s="428"/>
      <c r="H397" s="256" t="s">
        <v>1631</v>
      </c>
      <c r="I397" s="225" t="s">
        <v>28</v>
      </c>
      <c r="J397" s="225" t="s">
        <v>28</v>
      </c>
      <c r="K397" s="225" t="s">
        <v>28</v>
      </c>
      <c r="L397" s="248" t="s">
        <v>483</v>
      </c>
      <c r="M397" s="224" t="s">
        <v>24</v>
      </c>
      <c r="N397" s="107" t="s">
        <v>24</v>
      </c>
      <c r="O397" s="107" t="s">
        <v>24</v>
      </c>
      <c r="P397" s="107" t="s">
        <v>626</v>
      </c>
      <c r="Q397" s="254" t="s">
        <v>477</v>
      </c>
      <c r="R397" s="215" t="s">
        <v>24</v>
      </c>
      <c r="S397" s="225" t="s">
        <v>24</v>
      </c>
      <c r="T397" s="225" t="s">
        <v>24</v>
      </c>
      <c r="U397" s="225" t="s">
        <v>329</v>
      </c>
      <c r="V397" s="296" t="s">
        <v>1638</v>
      </c>
      <c r="W397" s="377"/>
      <c r="X397" s="85"/>
      <c r="Y397" s="85"/>
      <c r="Z397" s="85"/>
      <c r="AA397" s="85"/>
      <c r="AB397" s="85"/>
      <c r="AC397" s="85"/>
    </row>
    <row r="398" spans="1:29" ht="247.5">
      <c r="A398" s="85" t="s">
        <v>1125</v>
      </c>
      <c r="B398" s="87" t="s">
        <v>820</v>
      </c>
      <c r="C398" s="80" t="s">
        <v>1424</v>
      </c>
      <c r="D398" s="107" t="s">
        <v>1639</v>
      </c>
      <c r="E398" s="87" t="s">
        <v>325</v>
      </c>
      <c r="F398" s="87" t="s">
        <v>477</v>
      </c>
      <c r="G398" s="428"/>
      <c r="H398" s="256" t="s">
        <v>1631</v>
      </c>
      <c r="I398" s="271" t="s">
        <v>28</v>
      </c>
      <c r="J398" s="271" t="s">
        <v>28</v>
      </c>
      <c r="K398" s="271" t="s">
        <v>28</v>
      </c>
      <c r="L398" s="248" t="s">
        <v>483</v>
      </c>
      <c r="M398" s="224" t="s">
        <v>24</v>
      </c>
      <c r="N398" s="107" t="s">
        <v>24</v>
      </c>
      <c r="O398" s="107" t="s">
        <v>24</v>
      </c>
      <c r="P398" s="107" t="s">
        <v>626</v>
      </c>
      <c r="Q398" s="254" t="s">
        <v>477</v>
      </c>
      <c r="R398" s="215" t="s">
        <v>24</v>
      </c>
      <c r="S398" s="225" t="s">
        <v>24</v>
      </c>
      <c r="T398" s="225" t="s">
        <v>24</v>
      </c>
      <c r="U398" s="225" t="s">
        <v>329</v>
      </c>
      <c r="V398" s="296" t="s">
        <v>1640</v>
      </c>
      <c r="W398" s="377"/>
      <c r="X398" s="85"/>
      <c r="Y398" s="85"/>
      <c r="Z398" s="85"/>
      <c r="AA398" s="85"/>
      <c r="AB398" s="85"/>
      <c r="AC398" s="85"/>
    </row>
    <row r="399" spans="1:29" ht="247.5">
      <c r="A399" s="85" t="s">
        <v>1125</v>
      </c>
      <c r="B399" s="87" t="s">
        <v>820</v>
      </c>
      <c r="C399" s="80" t="s">
        <v>1641</v>
      </c>
      <c r="D399" s="107" t="s">
        <v>1642</v>
      </c>
      <c r="E399" s="87" t="s">
        <v>325</v>
      </c>
      <c r="F399" s="87" t="s">
        <v>477</v>
      </c>
      <c r="G399" s="428"/>
      <c r="H399" s="256" t="s">
        <v>1631</v>
      </c>
      <c r="I399" s="271" t="s">
        <v>28</v>
      </c>
      <c r="J399" s="271" t="s">
        <v>28</v>
      </c>
      <c r="K399" s="271" t="s">
        <v>28</v>
      </c>
      <c r="L399" s="248" t="s">
        <v>483</v>
      </c>
      <c r="M399" s="224" t="s">
        <v>24</v>
      </c>
      <c r="N399" s="107" t="s">
        <v>24</v>
      </c>
      <c r="O399" s="107" t="s">
        <v>24</v>
      </c>
      <c r="P399" s="107" t="s">
        <v>626</v>
      </c>
      <c r="Q399" s="254" t="s">
        <v>477</v>
      </c>
      <c r="R399" s="306" t="s">
        <v>24</v>
      </c>
      <c r="S399" s="298" t="s">
        <v>24</v>
      </c>
      <c r="T399" s="298" t="s">
        <v>24</v>
      </c>
      <c r="U399" s="225" t="s">
        <v>329</v>
      </c>
      <c r="V399" s="296" t="s">
        <v>1643</v>
      </c>
      <c r="W399" s="377"/>
      <c r="X399" s="85"/>
      <c r="Y399" s="85"/>
      <c r="Z399" s="85"/>
      <c r="AA399" s="85"/>
      <c r="AB399" s="85"/>
      <c r="AC399" s="85"/>
    </row>
    <row r="400" spans="1:29" ht="330">
      <c r="A400" s="85" t="s">
        <v>1125</v>
      </c>
      <c r="B400" s="87" t="s">
        <v>820</v>
      </c>
      <c r="C400" s="80" t="s">
        <v>472</v>
      </c>
      <c r="D400" s="107" t="s">
        <v>1644</v>
      </c>
      <c r="E400" s="87" t="s">
        <v>325</v>
      </c>
      <c r="F400" s="87" t="s">
        <v>477</v>
      </c>
      <c r="G400" s="428"/>
      <c r="H400" s="256" t="s">
        <v>1645</v>
      </c>
      <c r="I400" s="271" t="s">
        <v>337</v>
      </c>
      <c r="J400" s="271" t="s">
        <v>337</v>
      </c>
      <c r="K400" s="271" t="s">
        <v>337</v>
      </c>
      <c r="L400" s="248" t="s">
        <v>483</v>
      </c>
      <c r="M400" s="224" t="s">
        <v>24</v>
      </c>
      <c r="N400" s="107" t="s">
        <v>24</v>
      </c>
      <c r="O400" s="107" t="s">
        <v>24</v>
      </c>
      <c r="P400" s="107" t="s">
        <v>626</v>
      </c>
      <c r="Q400" s="254" t="s">
        <v>477</v>
      </c>
      <c r="R400" s="215" t="s">
        <v>24</v>
      </c>
      <c r="S400" s="225" t="s">
        <v>24</v>
      </c>
      <c r="T400" s="225" t="s">
        <v>24</v>
      </c>
      <c r="U400" s="225" t="s">
        <v>329</v>
      </c>
      <c r="V400" s="296" t="s">
        <v>1646</v>
      </c>
      <c r="W400" s="377"/>
      <c r="X400" s="85"/>
      <c r="Y400" s="85"/>
      <c r="Z400" s="85"/>
      <c r="AA400" s="85"/>
      <c r="AB400" s="85"/>
      <c r="AC400" s="85"/>
    </row>
    <row r="401" spans="1:29" ht="247.5">
      <c r="A401" s="85" t="s">
        <v>1125</v>
      </c>
      <c r="B401" s="87" t="s">
        <v>820</v>
      </c>
      <c r="C401" s="80" t="s">
        <v>1440</v>
      </c>
      <c r="D401" s="107" t="s">
        <v>1647</v>
      </c>
      <c r="E401" s="87" t="s">
        <v>325</v>
      </c>
      <c r="F401" s="87" t="s">
        <v>477</v>
      </c>
      <c r="G401" s="428"/>
      <c r="H401" s="256" t="s">
        <v>1631</v>
      </c>
      <c r="I401" s="271" t="s">
        <v>28</v>
      </c>
      <c r="J401" s="271" t="s">
        <v>28</v>
      </c>
      <c r="K401" s="271" t="s">
        <v>28</v>
      </c>
      <c r="L401" s="248" t="s">
        <v>483</v>
      </c>
      <c r="M401" s="224" t="s">
        <v>24</v>
      </c>
      <c r="N401" s="107" t="s">
        <v>24</v>
      </c>
      <c r="O401" s="107" t="s">
        <v>24</v>
      </c>
      <c r="P401" s="107" t="s">
        <v>626</v>
      </c>
      <c r="Q401" s="254" t="s">
        <v>477</v>
      </c>
      <c r="R401" s="215" t="s">
        <v>24</v>
      </c>
      <c r="S401" s="225" t="s">
        <v>24</v>
      </c>
      <c r="T401" s="225" t="s">
        <v>24</v>
      </c>
      <c r="U401" s="225" t="s">
        <v>329</v>
      </c>
      <c r="V401" s="296" t="s">
        <v>1648</v>
      </c>
      <c r="W401" s="377"/>
      <c r="X401" s="85"/>
      <c r="Y401" s="85"/>
      <c r="Z401" s="85"/>
      <c r="AA401" s="85"/>
      <c r="AB401" s="85"/>
      <c r="AC401" s="85"/>
    </row>
    <row r="402" spans="1:29" s="54" customFormat="1" ht="247.5">
      <c r="A402" s="72" t="s">
        <v>1125</v>
      </c>
      <c r="B402" s="73" t="s">
        <v>820</v>
      </c>
      <c r="C402" s="388" t="s">
        <v>1649</v>
      </c>
      <c r="D402" s="77" t="s">
        <v>1650</v>
      </c>
      <c r="E402" s="87" t="s">
        <v>325</v>
      </c>
      <c r="F402" s="87" t="s">
        <v>477</v>
      </c>
      <c r="G402" s="429"/>
      <c r="H402" s="406" t="s">
        <v>1631</v>
      </c>
      <c r="I402" s="271" t="s">
        <v>28</v>
      </c>
      <c r="J402" s="271" t="s">
        <v>28</v>
      </c>
      <c r="K402" s="271" t="s">
        <v>28</v>
      </c>
      <c r="L402" s="248" t="s">
        <v>483</v>
      </c>
      <c r="M402" s="397" t="s">
        <v>24</v>
      </c>
      <c r="N402" s="77" t="s">
        <v>24</v>
      </c>
      <c r="O402" s="77" t="s">
        <v>24</v>
      </c>
      <c r="P402" s="77" t="s">
        <v>626</v>
      </c>
      <c r="Q402" s="398" t="s">
        <v>477</v>
      </c>
      <c r="R402" s="395" t="s">
        <v>25</v>
      </c>
      <c r="S402" s="391" t="s">
        <v>25</v>
      </c>
      <c r="T402" s="391" t="s">
        <v>25</v>
      </c>
      <c r="U402" s="76" t="s">
        <v>329</v>
      </c>
      <c r="V402" s="407" t="s">
        <v>1651</v>
      </c>
      <c r="W402" s="412" t="s">
        <v>1652</v>
      </c>
      <c r="X402" s="73"/>
      <c r="Y402" s="73"/>
      <c r="Z402" s="73"/>
      <c r="AA402" s="73" t="s">
        <v>377</v>
      </c>
      <c r="AB402" s="73"/>
      <c r="AC402" s="73"/>
    </row>
    <row r="403" spans="1:29" ht="247.5">
      <c r="A403" s="85" t="s">
        <v>1125</v>
      </c>
      <c r="B403" s="87" t="s">
        <v>820</v>
      </c>
      <c r="C403" s="80" t="s">
        <v>1653</v>
      </c>
      <c r="D403" s="107" t="s">
        <v>1654</v>
      </c>
      <c r="E403" s="87" t="s">
        <v>325</v>
      </c>
      <c r="F403" s="87" t="s">
        <v>477</v>
      </c>
      <c r="G403" s="421"/>
      <c r="H403" s="256" t="s">
        <v>1655</v>
      </c>
      <c r="I403" s="225" t="s">
        <v>24</v>
      </c>
      <c r="J403" s="225" t="s">
        <v>24</v>
      </c>
      <c r="K403" s="248" t="s">
        <v>24</v>
      </c>
      <c r="L403" s="248" t="s">
        <v>483</v>
      </c>
      <c r="M403" s="224" t="s">
        <v>24</v>
      </c>
      <c r="N403" s="107" t="s">
        <v>24</v>
      </c>
      <c r="O403" s="107" t="s">
        <v>24</v>
      </c>
      <c r="P403" s="107" t="s">
        <v>626</v>
      </c>
      <c r="Q403" s="254" t="s">
        <v>477</v>
      </c>
      <c r="R403" s="312" t="s">
        <v>24</v>
      </c>
      <c r="S403" s="106" t="s">
        <v>24</v>
      </c>
      <c r="T403" s="106" t="s">
        <v>24</v>
      </c>
      <c r="U403" s="225" t="s">
        <v>329</v>
      </c>
      <c r="V403" s="296" t="s">
        <v>1656</v>
      </c>
      <c r="W403" s="377"/>
      <c r="X403" s="85"/>
      <c r="Y403" s="85"/>
      <c r="Z403" s="85"/>
      <c r="AA403" s="85"/>
      <c r="AB403" s="85"/>
      <c r="AC403" s="85"/>
    </row>
    <row r="404" spans="1:29" ht="247.5">
      <c r="A404" s="85" t="s">
        <v>920</v>
      </c>
      <c r="B404" s="87" t="s">
        <v>921</v>
      </c>
      <c r="C404" s="80" t="s">
        <v>1657</v>
      </c>
      <c r="D404" s="107" t="s">
        <v>1658</v>
      </c>
      <c r="E404" s="87" t="s">
        <v>325</v>
      </c>
      <c r="F404" s="87" t="s">
        <v>477</v>
      </c>
      <c r="G404" s="246" t="s">
        <v>1659</v>
      </c>
      <c r="H404" s="256"/>
      <c r="I404" s="225" t="s">
        <v>24</v>
      </c>
      <c r="J404" s="225" t="s">
        <v>24</v>
      </c>
      <c r="K404" s="248" t="s">
        <v>24</v>
      </c>
      <c r="L404" s="248" t="s">
        <v>483</v>
      </c>
      <c r="M404" s="224" t="s">
        <v>24</v>
      </c>
      <c r="N404" s="107" t="s">
        <v>24</v>
      </c>
      <c r="O404" s="107" t="s">
        <v>24</v>
      </c>
      <c r="P404" s="107" t="s">
        <v>626</v>
      </c>
      <c r="Q404" s="254" t="s">
        <v>477</v>
      </c>
      <c r="R404" s="312" t="s">
        <v>24</v>
      </c>
      <c r="S404" s="106" t="s">
        <v>24</v>
      </c>
      <c r="T404" s="106" t="s">
        <v>24</v>
      </c>
      <c r="U404" s="225" t="s">
        <v>483</v>
      </c>
      <c r="V404" s="251"/>
      <c r="W404" s="377"/>
      <c r="X404" s="85"/>
      <c r="Y404" s="85"/>
      <c r="Z404" s="85"/>
      <c r="AA404" s="85"/>
      <c r="AB404" s="85"/>
      <c r="AC404" s="85"/>
    </row>
    <row r="405" spans="1:29" ht="409.6">
      <c r="A405" s="85" t="s">
        <v>920</v>
      </c>
      <c r="B405" s="87" t="s">
        <v>921</v>
      </c>
      <c r="C405" s="80" t="s">
        <v>1660</v>
      </c>
      <c r="D405" s="107" t="s">
        <v>1661</v>
      </c>
      <c r="E405" s="87" t="s">
        <v>325</v>
      </c>
      <c r="F405" s="87" t="s">
        <v>477</v>
      </c>
      <c r="G405" s="320" t="s">
        <v>1662</v>
      </c>
      <c r="H405" s="256"/>
      <c r="I405" s="225" t="s">
        <v>24</v>
      </c>
      <c r="J405" s="225" t="s">
        <v>24</v>
      </c>
      <c r="K405" s="248" t="s">
        <v>24</v>
      </c>
      <c r="L405" s="248" t="s">
        <v>483</v>
      </c>
      <c r="M405" s="224" t="s">
        <v>24</v>
      </c>
      <c r="N405" s="107" t="s">
        <v>24</v>
      </c>
      <c r="O405" s="107" t="s">
        <v>24</v>
      </c>
      <c r="P405" s="107" t="s">
        <v>626</v>
      </c>
      <c r="Q405" s="254" t="s">
        <v>477</v>
      </c>
      <c r="R405" s="215" t="s">
        <v>24</v>
      </c>
      <c r="S405" s="225" t="s">
        <v>24</v>
      </c>
      <c r="T405" s="225" t="s">
        <v>24</v>
      </c>
      <c r="U405" s="225" t="s">
        <v>483</v>
      </c>
      <c r="V405" s="251" t="s">
        <v>1663</v>
      </c>
      <c r="W405" s="377"/>
      <c r="X405" s="85"/>
      <c r="Y405" s="85"/>
      <c r="Z405" s="85"/>
      <c r="AA405" s="85"/>
      <c r="AB405" s="85"/>
      <c r="AC405" s="85"/>
    </row>
    <row r="406" spans="1:29" ht="409.6">
      <c r="A406" s="85" t="s">
        <v>1400</v>
      </c>
      <c r="B406" s="87" t="s">
        <v>820</v>
      </c>
      <c r="C406" s="80" t="s">
        <v>1641</v>
      </c>
      <c r="D406" s="107" t="s">
        <v>1664</v>
      </c>
      <c r="E406" s="87" t="s">
        <v>325</v>
      </c>
      <c r="F406" s="87" t="s">
        <v>326</v>
      </c>
      <c r="G406" s="259"/>
      <c r="H406" s="256" t="s">
        <v>1631</v>
      </c>
      <c r="I406" s="225" t="s">
        <v>311</v>
      </c>
      <c r="J406" s="225" t="s">
        <v>311</v>
      </c>
      <c r="K406" s="225" t="s">
        <v>311</v>
      </c>
      <c r="L406" s="248"/>
      <c r="M406" s="224" t="s">
        <v>26</v>
      </c>
      <c r="N406" s="107" t="s">
        <v>26</v>
      </c>
      <c r="O406" s="107" t="s">
        <v>26</v>
      </c>
      <c r="P406" s="107" t="s">
        <v>626</v>
      </c>
      <c r="Q406" s="268" t="s">
        <v>1665</v>
      </c>
      <c r="R406" s="285" t="s">
        <v>25</v>
      </c>
      <c r="S406" s="245" t="s">
        <v>25</v>
      </c>
      <c r="T406" s="245" t="s">
        <v>25</v>
      </c>
      <c r="U406" s="225" t="s">
        <v>329</v>
      </c>
      <c r="V406" s="251" t="s">
        <v>1666</v>
      </c>
      <c r="W406" s="414" t="s">
        <v>1667</v>
      </c>
      <c r="X406" s="87"/>
      <c r="Y406" s="87"/>
      <c r="Z406" s="87"/>
      <c r="AA406" s="87" t="s">
        <v>377</v>
      </c>
      <c r="AB406" s="87"/>
      <c r="AC406" s="87"/>
    </row>
    <row r="407" spans="1:29" ht="247.5">
      <c r="A407" s="85" t="s">
        <v>1400</v>
      </c>
      <c r="B407" s="87" t="s">
        <v>820</v>
      </c>
      <c r="C407" s="80" t="s">
        <v>1649</v>
      </c>
      <c r="D407" s="81" t="s">
        <v>1668</v>
      </c>
      <c r="E407" s="87" t="s">
        <v>325</v>
      </c>
      <c r="F407" s="87" t="s">
        <v>326</v>
      </c>
      <c r="G407" s="259"/>
      <c r="H407" s="256" t="s">
        <v>1631</v>
      </c>
      <c r="I407" s="225" t="s">
        <v>311</v>
      </c>
      <c r="J407" s="225" t="s">
        <v>311</v>
      </c>
      <c r="K407" s="225" t="s">
        <v>311</v>
      </c>
      <c r="L407" s="248"/>
      <c r="M407" s="224" t="s">
        <v>26</v>
      </c>
      <c r="N407" s="107" t="s">
        <v>26</v>
      </c>
      <c r="O407" s="107" t="s">
        <v>26</v>
      </c>
      <c r="P407" s="107" t="s">
        <v>626</v>
      </c>
      <c r="Q407" s="268" t="s">
        <v>1665</v>
      </c>
      <c r="R407" s="288" t="s">
        <v>25</v>
      </c>
      <c r="S407" s="104" t="s">
        <v>25</v>
      </c>
      <c r="T407" s="104" t="s">
        <v>25</v>
      </c>
      <c r="U407" s="225" t="s">
        <v>329</v>
      </c>
      <c r="V407" s="251" t="s">
        <v>1669</v>
      </c>
      <c r="W407" s="414" t="s">
        <v>1670</v>
      </c>
      <c r="X407" s="87"/>
      <c r="Y407" s="87"/>
      <c r="Z407" s="87"/>
      <c r="AA407" s="87" t="s">
        <v>377</v>
      </c>
      <c r="AB407" s="87"/>
      <c r="AC407" s="87"/>
    </row>
    <row r="408" spans="1:29" ht="247.5">
      <c r="A408" s="85" t="s">
        <v>349</v>
      </c>
      <c r="B408" s="87" t="s">
        <v>350</v>
      </c>
      <c r="C408" s="80" t="s">
        <v>1671</v>
      </c>
      <c r="D408" s="81" t="s">
        <v>1672</v>
      </c>
      <c r="E408" s="87" t="s">
        <v>325</v>
      </c>
      <c r="F408" s="87" t="s">
        <v>326</v>
      </c>
      <c r="G408" s="320" t="s">
        <v>1673</v>
      </c>
      <c r="H408" s="234" t="s">
        <v>1674</v>
      </c>
      <c r="I408" s="245" t="s">
        <v>337</v>
      </c>
      <c r="J408" s="245" t="s">
        <v>337</v>
      </c>
      <c r="K408" s="271" t="s">
        <v>337</v>
      </c>
      <c r="L408" s="248" t="s">
        <v>329</v>
      </c>
      <c r="M408" s="224" t="s">
        <v>24</v>
      </c>
      <c r="N408" s="107" t="s">
        <v>24</v>
      </c>
      <c r="O408" s="107" t="s">
        <v>24</v>
      </c>
      <c r="P408" s="107" t="s">
        <v>626</v>
      </c>
      <c r="Q408" s="254" t="s">
        <v>477</v>
      </c>
      <c r="R408" s="312" t="s">
        <v>24</v>
      </c>
      <c r="S408" s="106" t="s">
        <v>24</v>
      </c>
      <c r="T408" s="106" t="s">
        <v>24</v>
      </c>
      <c r="U408" s="225" t="s">
        <v>329</v>
      </c>
      <c r="V408" s="289" t="s">
        <v>1675</v>
      </c>
      <c r="W408" s="377"/>
      <c r="X408" s="85"/>
      <c r="Y408" s="85"/>
      <c r="Z408" s="85"/>
      <c r="AA408" s="85"/>
      <c r="AB408" s="85"/>
      <c r="AC408" s="85"/>
    </row>
    <row r="409" spans="1:29" ht="409.6">
      <c r="A409" s="85" t="s">
        <v>349</v>
      </c>
      <c r="B409" s="87" t="s">
        <v>350</v>
      </c>
      <c r="C409" s="80" t="s">
        <v>1676</v>
      </c>
      <c r="D409" s="81" t="s">
        <v>1677</v>
      </c>
      <c r="E409" s="87" t="s">
        <v>325</v>
      </c>
      <c r="F409" s="87" t="s">
        <v>326</v>
      </c>
      <c r="G409" s="246" t="s">
        <v>1678</v>
      </c>
      <c r="H409" s="234" t="s">
        <v>1679</v>
      </c>
      <c r="I409" s="225" t="s">
        <v>24</v>
      </c>
      <c r="J409" s="225" t="s">
        <v>24</v>
      </c>
      <c r="K409" s="248" t="s">
        <v>24</v>
      </c>
      <c r="L409" s="248" t="s">
        <v>329</v>
      </c>
      <c r="M409" s="224" t="s">
        <v>24</v>
      </c>
      <c r="N409" s="107" t="s">
        <v>24</v>
      </c>
      <c r="O409" s="107" t="s">
        <v>24</v>
      </c>
      <c r="P409" s="107" t="s">
        <v>626</v>
      </c>
      <c r="Q409" s="254"/>
      <c r="R409" s="215" t="s">
        <v>24</v>
      </c>
      <c r="S409" s="225" t="s">
        <v>24</v>
      </c>
      <c r="T409" s="225" t="s">
        <v>24</v>
      </c>
      <c r="U409" s="225" t="s">
        <v>329</v>
      </c>
      <c r="V409" s="251" t="s">
        <v>1680</v>
      </c>
      <c r="W409" s="377"/>
      <c r="X409" s="85"/>
      <c r="Y409" s="85"/>
      <c r="Z409" s="85"/>
      <c r="AA409" s="85"/>
      <c r="AB409" s="85"/>
      <c r="AC409" s="85"/>
    </row>
    <row r="410" spans="1:29" ht="409.6">
      <c r="A410" s="85" t="s">
        <v>349</v>
      </c>
      <c r="B410" s="87" t="s">
        <v>350</v>
      </c>
      <c r="C410" s="80" t="s">
        <v>1681</v>
      </c>
      <c r="D410" s="81" t="s">
        <v>1682</v>
      </c>
      <c r="E410" s="87" t="s">
        <v>325</v>
      </c>
      <c r="F410" s="87" t="s">
        <v>326</v>
      </c>
      <c r="G410" s="246" t="s">
        <v>1683</v>
      </c>
      <c r="H410" s="297" t="s">
        <v>1684</v>
      </c>
      <c r="I410" s="225" t="s">
        <v>24</v>
      </c>
      <c r="J410" s="271" t="s">
        <v>337</v>
      </c>
      <c r="K410" s="271" t="s">
        <v>337</v>
      </c>
      <c r="L410" s="248" t="s">
        <v>329</v>
      </c>
      <c r="M410" s="224" t="s">
        <v>24</v>
      </c>
      <c r="N410" s="107" t="s">
        <v>24</v>
      </c>
      <c r="O410" s="107" t="s">
        <v>24</v>
      </c>
      <c r="P410" s="107" t="s">
        <v>626</v>
      </c>
      <c r="Q410" s="254" t="s">
        <v>477</v>
      </c>
      <c r="R410" s="285" t="s">
        <v>24</v>
      </c>
      <c r="S410" s="106" t="s">
        <v>24</v>
      </c>
      <c r="T410" s="245" t="s">
        <v>24</v>
      </c>
      <c r="U410" s="225" t="s">
        <v>329</v>
      </c>
      <c r="V410" s="289" t="s">
        <v>1685</v>
      </c>
      <c r="W410" s="377"/>
      <c r="X410" s="85"/>
      <c r="Y410" s="85"/>
      <c r="Z410" s="85"/>
      <c r="AA410" s="85"/>
      <c r="AB410" s="85"/>
      <c r="AC410" s="85"/>
    </row>
    <row r="411" spans="1:29" ht="409.6">
      <c r="A411" s="85" t="s">
        <v>349</v>
      </c>
      <c r="B411" s="87" t="s">
        <v>350</v>
      </c>
      <c r="C411" s="80" t="s">
        <v>1686</v>
      </c>
      <c r="D411" s="81" t="s">
        <v>1687</v>
      </c>
      <c r="E411" s="87" t="s">
        <v>325</v>
      </c>
      <c r="F411" s="87" t="s">
        <v>326</v>
      </c>
      <c r="G411" s="246" t="s">
        <v>1688</v>
      </c>
      <c r="H411" s="297" t="s">
        <v>1689</v>
      </c>
      <c r="I411" s="225" t="s">
        <v>24</v>
      </c>
      <c r="J411" s="225" t="s">
        <v>24</v>
      </c>
      <c r="K411" s="271" t="s">
        <v>337</v>
      </c>
      <c r="L411" s="248" t="s">
        <v>329</v>
      </c>
      <c r="M411" s="224" t="s">
        <v>24</v>
      </c>
      <c r="N411" s="107" t="s">
        <v>24</v>
      </c>
      <c r="O411" s="107" t="s">
        <v>24</v>
      </c>
      <c r="P411" s="107" t="s">
        <v>626</v>
      </c>
      <c r="Q411" s="254" t="s">
        <v>477</v>
      </c>
      <c r="R411" s="312" t="s">
        <v>24</v>
      </c>
      <c r="S411" s="106" t="s">
        <v>24</v>
      </c>
      <c r="T411" s="106" t="s">
        <v>24</v>
      </c>
      <c r="U411" s="225" t="s">
        <v>329</v>
      </c>
      <c r="V411" s="251" t="s">
        <v>1690</v>
      </c>
      <c r="W411" s="377"/>
      <c r="X411" s="85"/>
      <c r="Y411" s="85"/>
      <c r="Z411" s="85"/>
      <c r="AA411" s="85"/>
      <c r="AB411" s="85"/>
      <c r="AC411" s="85"/>
    </row>
    <row r="412" spans="1:29" ht="409.6">
      <c r="A412" s="85" t="s">
        <v>349</v>
      </c>
      <c r="B412" s="87" t="s">
        <v>350</v>
      </c>
      <c r="C412" s="80" t="s">
        <v>1691</v>
      </c>
      <c r="D412" s="81" t="s">
        <v>1692</v>
      </c>
      <c r="E412" s="87" t="s">
        <v>325</v>
      </c>
      <c r="F412" s="87" t="s">
        <v>326</v>
      </c>
      <c r="G412" s="246" t="s">
        <v>1693</v>
      </c>
      <c r="H412" s="234" t="s">
        <v>1679</v>
      </c>
      <c r="I412" s="225" t="s">
        <v>24</v>
      </c>
      <c r="J412" s="225" t="s">
        <v>24</v>
      </c>
      <c r="K412" s="248" t="s">
        <v>24</v>
      </c>
      <c r="L412" s="248" t="s">
        <v>329</v>
      </c>
      <c r="M412" s="224" t="s">
        <v>24</v>
      </c>
      <c r="N412" s="107" t="s">
        <v>24</v>
      </c>
      <c r="O412" s="107" t="s">
        <v>24</v>
      </c>
      <c r="P412" s="107" t="s">
        <v>626</v>
      </c>
      <c r="Q412" s="254"/>
      <c r="R412" s="215" t="s">
        <v>24</v>
      </c>
      <c r="S412" s="225" t="s">
        <v>24</v>
      </c>
      <c r="T412" s="225" t="s">
        <v>24</v>
      </c>
      <c r="U412" s="225" t="s">
        <v>329</v>
      </c>
      <c r="V412" s="251" t="s">
        <v>1680</v>
      </c>
      <c r="W412" s="377"/>
      <c r="X412" s="85"/>
      <c r="Y412" s="85"/>
      <c r="Z412" s="85"/>
      <c r="AA412" s="85"/>
      <c r="AB412" s="85"/>
      <c r="AC412" s="85"/>
    </row>
    <row r="413" spans="1:29" ht="409.6">
      <c r="A413" s="85" t="s">
        <v>349</v>
      </c>
      <c r="B413" s="87" t="s">
        <v>350</v>
      </c>
      <c r="C413" s="80" t="s">
        <v>1694</v>
      </c>
      <c r="D413" s="81" t="s">
        <v>1695</v>
      </c>
      <c r="E413" s="87" t="s">
        <v>325</v>
      </c>
      <c r="F413" s="87" t="s">
        <v>326</v>
      </c>
      <c r="G413" s="246" t="s">
        <v>1696</v>
      </c>
      <c r="H413" s="234" t="s">
        <v>1697</v>
      </c>
      <c r="I413" s="225" t="s">
        <v>24</v>
      </c>
      <c r="J413" s="225" t="s">
        <v>24</v>
      </c>
      <c r="K413" s="248" t="s">
        <v>24</v>
      </c>
      <c r="L413" s="248" t="s">
        <v>329</v>
      </c>
      <c r="M413" s="283" t="s">
        <v>24</v>
      </c>
      <c r="N413" s="106" t="s">
        <v>24</v>
      </c>
      <c r="O413" s="106" t="s">
        <v>24</v>
      </c>
      <c r="P413" s="106"/>
      <c r="Q413" s="309"/>
      <c r="R413" s="215" t="s">
        <v>24</v>
      </c>
      <c r="S413" s="225" t="s">
        <v>24</v>
      </c>
      <c r="T413" s="225" t="s">
        <v>24</v>
      </c>
      <c r="U413" s="225" t="s">
        <v>329</v>
      </c>
      <c r="V413" s="251"/>
      <c r="W413" s="377"/>
      <c r="X413" s="85"/>
      <c r="Y413" s="85"/>
      <c r="Z413" s="85"/>
      <c r="AA413" s="85"/>
      <c r="AB413" s="85"/>
      <c r="AC413" s="85"/>
    </row>
    <row r="414" spans="1:29" ht="409.6">
      <c r="A414" s="85" t="s">
        <v>349</v>
      </c>
      <c r="B414" s="87" t="s">
        <v>350</v>
      </c>
      <c r="C414" s="80" t="s">
        <v>1698</v>
      </c>
      <c r="D414" s="81" t="s">
        <v>1699</v>
      </c>
      <c r="E414" s="87" t="s">
        <v>325</v>
      </c>
      <c r="F414" s="87" t="s">
        <v>326</v>
      </c>
      <c r="G414" s="246" t="s">
        <v>1700</v>
      </c>
      <c r="H414" s="256"/>
      <c r="I414" s="225" t="s">
        <v>24</v>
      </c>
      <c r="J414" s="225" t="s">
        <v>24</v>
      </c>
      <c r="K414" s="248" t="s">
        <v>24</v>
      </c>
      <c r="L414" s="248" t="s">
        <v>329</v>
      </c>
      <c r="M414" s="283" t="s">
        <v>24</v>
      </c>
      <c r="N414" s="106" t="s">
        <v>24</v>
      </c>
      <c r="O414" s="106" t="s">
        <v>24</v>
      </c>
      <c r="P414" s="106"/>
      <c r="Q414" s="309"/>
      <c r="R414" s="215" t="s">
        <v>24</v>
      </c>
      <c r="S414" s="225" t="s">
        <v>24</v>
      </c>
      <c r="T414" s="225" t="s">
        <v>24</v>
      </c>
      <c r="U414" s="225" t="s">
        <v>329</v>
      </c>
      <c r="V414" s="251" t="s">
        <v>1701</v>
      </c>
      <c r="W414" s="377"/>
      <c r="X414" s="85"/>
      <c r="Y414" s="85"/>
      <c r="Z414" s="85"/>
      <c r="AA414" s="85"/>
      <c r="AB414" s="85"/>
      <c r="AC414" s="85"/>
    </row>
    <row r="415" spans="1:29" ht="409.6">
      <c r="A415" s="85" t="s">
        <v>349</v>
      </c>
      <c r="B415" s="87" t="s">
        <v>350</v>
      </c>
      <c r="C415" s="80" t="s">
        <v>1702</v>
      </c>
      <c r="D415" s="81" t="s">
        <v>1703</v>
      </c>
      <c r="E415" s="87" t="s">
        <v>325</v>
      </c>
      <c r="F415" s="87" t="s">
        <v>326</v>
      </c>
      <c r="G415" s="246" t="s">
        <v>1700</v>
      </c>
      <c r="H415" s="256"/>
      <c r="I415" s="225" t="s">
        <v>24</v>
      </c>
      <c r="J415" s="225" t="s">
        <v>24</v>
      </c>
      <c r="K415" s="248" t="s">
        <v>24</v>
      </c>
      <c r="L415" s="248" t="s">
        <v>329</v>
      </c>
      <c r="M415" s="283" t="s">
        <v>24</v>
      </c>
      <c r="N415" s="106" t="s">
        <v>24</v>
      </c>
      <c r="O415" s="106" t="s">
        <v>24</v>
      </c>
      <c r="P415" s="106"/>
      <c r="Q415" s="309"/>
      <c r="R415" s="215" t="s">
        <v>24</v>
      </c>
      <c r="S415" s="225" t="s">
        <v>24</v>
      </c>
      <c r="T415" s="225" t="s">
        <v>24</v>
      </c>
      <c r="U415" s="225" t="s">
        <v>329</v>
      </c>
      <c r="V415" s="251"/>
      <c r="W415" s="377"/>
      <c r="X415" s="85"/>
      <c r="Y415" s="85"/>
      <c r="Z415" s="85"/>
      <c r="AA415" s="85"/>
      <c r="AB415" s="85"/>
      <c r="AC415" s="85"/>
    </row>
    <row r="416" spans="1:29" ht="409.6">
      <c r="A416" s="85" t="s">
        <v>349</v>
      </c>
      <c r="B416" s="87" t="s">
        <v>350</v>
      </c>
      <c r="C416" s="80" t="s">
        <v>1704</v>
      </c>
      <c r="D416" s="81" t="s">
        <v>1705</v>
      </c>
      <c r="E416" s="245" t="s">
        <v>27</v>
      </c>
      <c r="F416" s="87" t="s">
        <v>317</v>
      </c>
      <c r="G416" s="259"/>
      <c r="H416" s="256"/>
      <c r="I416" s="335" t="s">
        <v>317</v>
      </c>
      <c r="J416" s="335" t="s">
        <v>317</v>
      </c>
      <c r="K416" s="335" t="s">
        <v>317</v>
      </c>
      <c r="L416" s="248"/>
      <c r="M416" s="249"/>
      <c r="N416" s="225"/>
      <c r="O416" s="225"/>
      <c r="P416" s="225"/>
      <c r="Q416" s="250"/>
      <c r="R416" s="215" t="s">
        <v>27</v>
      </c>
      <c r="S416" s="215" t="s">
        <v>27</v>
      </c>
      <c r="T416" s="215" t="s">
        <v>27</v>
      </c>
      <c r="U416" s="225"/>
      <c r="V416" s="251"/>
      <c r="W416" s="377"/>
      <c r="X416" s="85"/>
      <c r="Y416" s="85"/>
      <c r="Z416" s="85"/>
      <c r="AA416" s="85"/>
      <c r="AB416" s="85"/>
      <c r="AC416" s="85"/>
    </row>
    <row r="417" spans="1:29" ht="27">
      <c r="A417" s="85" t="s">
        <v>349</v>
      </c>
      <c r="B417" s="87" t="s">
        <v>350</v>
      </c>
      <c r="C417" s="80" t="s">
        <v>1706</v>
      </c>
      <c r="D417" s="81" t="s">
        <v>1707</v>
      </c>
      <c r="E417" s="245" t="s">
        <v>27</v>
      </c>
      <c r="F417" s="87" t="s">
        <v>317</v>
      </c>
      <c r="G417" s="259"/>
      <c r="H417" s="256"/>
      <c r="I417" s="335" t="s">
        <v>317</v>
      </c>
      <c r="J417" s="335" t="s">
        <v>317</v>
      </c>
      <c r="K417" s="335" t="s">
        <v>317</v>
      </c>
      <c r="L417" s="248"/>
      <c r="M417" s="249"/>
      <c r="N417" s="225"/>
      <c r="O417" s="225"/>
      <c r="P417" s="225"/>
      <c r="Q417" s="250"/>
      <c r="R417" s="215" t="s">
        <v>27</v>
      </c>
      <c r="S417" s="215" t="s">
        <v>27</v>
      </c>
      <c r="T417" s="215" t="s">
        <v>27</v>
      </c>
      <c r="U417" s="225"/>
      <c r="V417" s="251"/>
      <c r="W417" s="377"/>
      <c r="X417" s="85"/>
      <c r="Y417" s="85"/>
      <c r="Z417" s="85"/>
      <c r="AA417" s="85"/>
      <c r="AB417" s="85"/>
      <c r="AC417" s="85"/>
    </row>
    <row r="418" spans="1:29" ht="27">
      <c r="A418" s="85" t="s">
        <v>349</v>
      </c>
      <c r="B418" s="87" t="s">
        <v>350</v>
      </c>
      <c r="C418" s="80" t="s">
        <v>1708</v>
      </c>
      <c r="D418" s="81" t="s">
        <v>1709</v>
      </c>
      <c r="E418" s="245" t="s">
        <v>27</v>
      </c>
      <c r="F418" s="87" t="s">
        <v>317</v>
      </c>
      <c r="G418" s="259"/>
      <c r="H418" s="256"/>
      <c r="I418" s="335" t="s">
        <v>317</v>
      </c>
      <c r="J418" s="335" t="s">
        <v>317</v>
      </c>
      <c r="K418" s="335" t="s">
        <v>317</v>
      </c>
      <c r="L418" s="248"/>
      <c r="M418" s="249"/>
      <c r="N418" s="225"/>
      <c r="O418" s="225"/>
      <c r="P418" s="225"/>
      <c r="Q418" s="250"/>
      <c r="R418" s="215" t="s">
        <v>27</v>
      </c>
      <c r="S418" s="215" t="s">
        <v>27</v>
      </c>
      <c r="T418" s="215" t="s">
        <v>27</v>
      </c>
      <c r="U418" s="225"/>
      <c r="V418" s="251"/>
      <c r="W418" s="377"/>
      <c r="X418" s="85"/>
      <c r="Y418" s="85"/>
      <c r="Z418" s="85"/>
      <c r="AA418" s="85"/>
      <c r="AB418" s="85"/>
      <c r="AC418" s="85"/>
    </row>
    <row r="419" spans="1:29" ht="27">
      <c r="A419" s="85" t="s">
        <v>349</v>
      </c>
      <c r="B419" s="87" t="s">
        <v>350</v>
      </c>
      <c r="C419" s="80" t="s">
        <v>1710</v>
      </c>
      <c r="D419" s="81" t="s">
        <v>1711</v>
      </c>
      <c r="E419" s="245" t="s">
        <v>27</v>
      </c>
      <c r="F419" s="87" t="s">
        <v>317</v>
      </c>
      <c r="G419" s="259"/>
      <c r="H419" s="256"/>
      <c r="I419" s="335" t="s">
        <v>317</v>
      </c>
      <c r="J419" s="335" t="s">
        <v>317</v>
      </c>
      <c r="K419" s="335" t="s">
        <v>317</v>
      </c>
      <c r="L419" s="248"/>
      <c r="M419" s="249"/>
      <c r="N419" s="225"/>
      <c r="O419" s="225"/>
      <c r="P419" s="225"/>
      <c r="Q419" s="250"/>
      <c r="R419" s="215" t="s">
        <v>27</v>
      </c>
      <c r="S419" s="215" t="s">
        <v>27</v>
      </c>
      <c r="T419" s="215" t="s">
        <v>27</v>
      </c>
      <c r="U419" s="225"/>
      <c r="V419" s="251"/>
      <c r="W419" s="377"/>
      <c r="X419" s="85"/>
      <c r="Y419" s="85"/>
      <c r="Z419" s="85"/>
      <c r="AA419" s="85"/>
      <c r="AB419" s="85"/>
      <c r="AC419" s="85"/>
    </row>
    <row r="420" spans="1:29" ht="27">
      <c r="A420" s="85" t="s">
        <v>349</v>
      </c>
      <c r="B420" s="87" t="s">
        <v>350</v>
      </c>
      <c r="C420" s="80" t="s">
        <v>1712</v>
      </c>
      <c r="D420" s="81" t="s">
        <v>1713</v>
      </c>
      <c r="E420" s="245" t="s">
        <v>27</v>
      </c>
      <c r="F420" s="87" t="s">
        <v>317</v>
      </c>
      <c r="G420" s="259"/>
      <c r="H420" s="256"/>
      <c r="I420" s="335" t="s">
        <v>317</v>
      </c>
      <c r="J420" s="335" t="s">
        <v>317</v>
      </c>
      <c r="K420" s="335" t="s">
        <v>317</v>
      </c>
      <c r="L420" s="248"/>
      <c r="M420" s="249"/>
      <c r="N420" s="225"/>
      <c r="O420" s="225"/>
      <c r="P420" s="225"/>
      <c r="Q420" s="250"/>
      <c r="R420" s="215" t="s">
        <v>27</v>
      </c>
      <c r="S420" s="215" t="s">
        <v>27</v>
      </c>
      <c r="T420" s="215" t="s">
        <v>27</v>
      </c>
      <c r="U420" s="225"/>
      <c r="V420" s="251"/>
      <c r="W420" s="377"/>
      <c r="X420" s="85"/>
      <c r="Y420" s="85"/>
      <c r="Z420" s="85"/>
      <c r="AA420" s="85"/>
      <c r="AB420" s="85"/>
      <c r="AC420" s="85"/>
    </row>
    <row r="421" spans="1:29" ht="27">
      <c r="A421" s="85" t="s">
        <v>349</v>
      </c>
      <c r="B421" s="87" t="s">
        <v>350</v>
      </c>
      <c r="C421" s="80" t="s">
        <v>1714</v>
      </c>
      <c r="D421" s="81" t="s">
        <v>1715</v>
      </c>
      <c r="E421" s="245" t="s">
        <v>27</v>
      </c>
      <c r="F421" s="87" t="s">
        <v>317</v>
      </c>
      <c r="G421" s="259"/>
      <c r="H421" s="256"/>
      <c r="I421" s="335" t="s">
        <v>317</v>
      </c>
      <c r="J421" s="335" t="s">
        <v>317</v>
      </c>
      <c r="K421" s="335" t="s">
        <v>317</v>
      </c>
      <c r="L421" s="248"/>
      <c r="M421" s="249"/>
      <c r="N421" s="225"/>
      <c r="O421" s="225"/>
      <c r="P421" s="225"/>
      <c r="Q421" s="250"/>
      <c r="R421" s="215" t="s">
        <v>27</v>
      </c>
      <c r="S421" s="215" t="s">
        <v>27</v>
      </c>
      <c r="T421" s="215" t="s">
        <v>27</v>
      </c>
      <c r="U421" s="225"/>
      <c r="V421" s="251"/>
      <c r="W421" s="377"/>
      <c r="X421" s="85"/>
      <c r="Y421" s="85"/>
      <c r="Z421" s="85"/>
      <c r="AA421" s="85"/>
      <c r="AB421" s="85"/>
      <c r="AC421" s="85"/>
    </row>
    <row r="422" spans="1:29" ht="27">
      <c r="A422" s="85" t="s">
        <v>349</v>
      </c>
      <c r="B422" s="87" t="s">
        <v>350</v>
      </c>
      <c r="C422" s="80" t="s">
        <v>1716</v>
      </c>
      <c r="D422" s="81" t="s">
        <v>1717</v>
      </c>
      <c r="E422" s="245" t="s">
        <v>27</v>
      </c>
      <c r="F422" s="87" t="s">
        <v>317</v>
      </c>
      <c r="G422" s="259"/>
      <c r="H422" s="256"/>
      <c r="I422" s="335" t="s">
        <v>317</v>
      </c>
      <c r="J422" s="335" t="s">
        <v>317</v>
      </c>
      <c r="K422" s="335" t="s">
        <v>317</v>
      </c>
      <c r="L422" s="248"/>
      <c r="M422" s="249"/>
      <c r="N422" s="225"/>
      <c r="O422" s="225"/>
      <c r="P422" s="225"/>
      <c r="Q422" s="250"/>
      <c r="R422" s="215" t="s">
        <v>27</v>
      </c>
      <c r="S422" s="215" t="s">
        <v>27</v>
      </c>
      <c r="T422" s="215" t="s">
        <v>27</v>
      </c>
      <c r="U422" s="225"/>
      <c r="V422" s="251"/>
      <c r="W422" s="377"/>
      <c r="X422" s="85"/>
      <c r="Y422" s="85"/>
      <c r="Z422" s="85"/>
      <c r="AA422" s="85"/>
      <c r="AB422" s="85"/>
      <c r="AC422" s="85"/>
    </row>
    <row r="423" spans="1:29" ht="27">
      <c r="A423" s="85" t="s">
        <v>349</v>
      </c>
      <c r="B423" s="87" t="s">
        <v>350</v>
      </c>
      <c r="C423" s="80" t="s">
        <v>1718</v>
      </c>
      <c r="D423" s="81" t="s">
        <v>1719</v>
      </c>
      <c r="E423" s="245" t="s">
        <v>27</v>
      </c>
      <c r="F423" s="87" t="s">
        <v>317</v>
      </c>
      <c r="G423" s="259"/>
      <c r="H423" s="256"/>
      <c r="I423" s="335" t="s">
        <v>317</v>
      </c>
      <c r="J423" s="335" t="s">
        <v>317</v>
      </c>
      <c r="K423" s="335" t="s">
        <v>317</v>
      </c>
      <c r="L423" s="248"/>
      <c r="M423" s="249"/>
      <c r="N423" s="225"/>
      <c r="O423" s="225"/>
      <c r="P423" s="225"/>
      <c r="Q423" s="250"/>
      <c r="R423" s="215" t="s">
        <v>27</v>
      </c>
      <c r="S423" s="215" t="s">
        <v>27</v>
      </c>
      <c r="T423" s="215" t="s">
        <v>27</v>
      </c>
      <c r="U423" s="225"/>
      <c r="V423" s="251"/>
      <c r="W423" s="377"/>
      <c r="X423" s="85"/>
      <c r="Y423" s="85"/>
      <c r="Z423" s="85"/>
      <c r="AA423" s="85"/>
      <c r="AB423" s="85"/>
      <c r="AC423" s="85"/>
    </row>
    <row r="424" spans="1:29" ht="27">
      <c r="A424" s="85" t="s">
        <v>349</v>
      </c>
      <c r="B424" s="87" t="s">
        <v>350</v>
      </c>
      <c r="C424" s="80" t="s">
        <v>1720</v>
      </c>
      <c r="D424" s="81" t="s">
        <v>1721</v>
      </c>
      <c r="E424" s="245" t="s">
        <v>27</v>
      </c>
      <c r="F424" s="87" t="s">
        <v>317</v>
      </c>
      <c r="G424" s="259"/>
      <c r="H424" s="256"/>
      <c r="I424" s="335" t="s">
        <v>317</v>
      </c>
      <c r="J424" s="335" t="s">
        <v>317</v>
      </c>
      <c r="K424" s="335" t="s">
        <v>317</v>
      </c>
      <c r="L424" s="248"/>
      <c r="M424" s="249"/>
      <c r="N424" s="225"/>
      <c r="O424" s="225"/>
      <c r="P424" s="225"/>
      <c r="Q424" s="250"/>
      <c r="R424" s="215" t="s">
        <v>27</v>
      </c>
      <c r="S424" s="215" t="s">
        <v>27</v>
      </c>
      <c r="T424" s="215" t="s">
        <v>27</v>
      </c>
      <c r="U424" s="225"/>
      <c r="V424" s="251"/>
      <c r="W424" s="377"/>
      <c r="X424" s="85"/>
      <c r="Y424" s="85"/>
      <c r="Z424" s="85"/>
      <c r="AA424" s="85"/>
      <c r="AB424" s="85"/>
      <c r="AC424" s="85"/>
    </row>
    <row r="425" spans="1:29" ht="27">
      <c r="A425" s="85" t="s">
        <v>349</v>
      </c>
      <c r="B425" s="87" t="s">
        <v>350</v>
      </c>
      <c r="C425" s="307" t="s">
        <v>1722</v>
      </c>
      <c r="D425" s="81" t="s">
        <v>1723</v>
      </c>
      <c r="E425" s="245" t="s">
        <v>27</v>
      </c>
      <c r="F425" s="87" t="s">
        <v>317</v>
      </c>
      <c r="G425" s="259"/>
      <c r="H425" s="256"/>
      <c r="I425" s="335" t="s">
        <v>317</v>
      </c>
      <c r="J425" s="335" t="s">
        <v>317</v>
      </c>
      <c r="K425" s="335" t="s">
        <v>317</v>
      </c>
      <c r="L425" s="248"/>
      <c r="M425" s="249"/>
      <c r="N425" s="225"/>
      <c r="O425" s="225"/>
      <c r="P425" s="225"/>
      <c r="Q425" s="250"/>
      <c r="R425" s="215" t="s">
        <v>27</v>
      </c>
      <c r="S425" s="215" t="s">
        <v>27</v>
      </c>
      <c r="T425" s="215" t="s">
        <v>27</v>
      </c>
      <c r="U425" s="225"/>
      <c r="V425" s="251"/>
      <c r="W425" s="377"/>
      <c r="X425" s="85"/>
      <c r="Y425" s="85"/>
      <c r="Z425" s="85"/>
      <c r="AA425" s="85"/>
      <c r="AB425" s="85"/>
      <c r="AC425" s="85"/>
    </row>
    <row r="426" spans="1:29" ht="27">
      <c r="A426" s="85" t="s">
        <v>349</v>
      </c>
      <c r="B426" s="87" t="s">
        <v>350</v>
      </c>
      <c r="C426" s="80" t="s">
        <v>1724</v>
      </c>
      <c r="D426" s="81" t="s">
        <v>1725</v>
      </c>
      <c r="E426" s="87" t="s">
        <v>325</v>
      </c>
      <c r="F426" s="87" t="s">
        <v>326</v>
      </c>
      <c r="G426" s="290" t="s">
        <v>1726</v>
      </c>
      <c r="H426" s="234" t="s">
        <v>1727</v>
      </c>
      <c r="I426" s="245" t="s">
        <v>24</v>
      </c>
      <c r="J426" s="245" t="s">
        <v>337</v>
      </c>
      <c r="K426" s="245" t="s">
        <v>337</v>
      </c>
      <c r="L426" s="248" t="s">
        <v>329</v>
      </c>
      <c r="M426" s="106" t="s">
        <v>25</v>
      </c>
      <c r="N426" s="106" t="s">
        <v>25</v>
      </c>
      <c r="O426" s="106" t="s">
        <v>25</v>
      </c>
      <c r="P426" s="81" t="s">
        <v>926</v>
      </c>
      <c r="Q426" s="254" t="s">
        <v>477</v>
      </c>
      <c r="R426" s="312" t="s">
        <v>24</v>
      </c>
      <c r="S426" s="106" t="s">
        <v>24</v>
      </c>
      <c r="T426" s="106" t="s">
        <v>24</v>
      </c>
      <c r="U426" s="225" t="s">
        <v>329</v>
      </c>
      <c r="V426" s="289" t="s">
        <v>1728</v>
      </c>
      <c r="W426" s="377"/>
      <c r="X426" s="87"/>
      <c r="Y426" s="87"/>
      <c r="Z426" s="87"/>
      <c r="AA426" s="87"/>
      <c r="AB426" s="87"/>
      <c r="AC426" s="87"/>
    </row>
    <row r="427" spans="1:29" ht="409.6">
      <c r="A427" s="85" t="s">
        <v>1729</v>
      </c>
      <c r="B427" s="87" t="s">
        <v>314</v>
      </c>
      <c r="C427" s="80" t="s">
        <v>1388</v>
      </c>
      <c r="D427" s="81" t="s">
        <v>1730</v>
      </c>
      <c r="E427" s="87" t="s">
        <v>325</v>
      </c>
      <c r="F427" s="87" t="s">
        <v>326</v>
      </c>
      <c r="G427" s="435" t="s">
        <v>1731</v>
      </c>
      <c r="H427" s="256"/>
      <c r="I427" s="344" t="s">
        <v>24</v>
      </c>
      <c r="J427" s="344" t="s">
        <v>24</v>
      </c>
      <c r="K427" s="344" t="s">
        <v>24</v>
      </c>
      <c r="L427" s="248" t="s">
        <v>329</v>
      </c>
      <c r="M427" s="283" t="s">
        <v>24</v>
      </c>
      <c r="N427" s="106" t="s">
        <v>24</v>
      </c>
      <c r="O427" s="106" t="s">
        <v>24</v>
      </c>
      <c r="P427" s="106"/>
      <c r="Q427" s="309"/>
      <c r="R427" s="215" t="s">
        <v>24</v>
      </c>
      <c r="S427" s="225" t="s">
        <v>24</v>
      </c>
      <c r="T427" s="225" t="s">
        <v>24</v>
      </c>
      <c r="U427" s="225" t="s">
        <v>329</v>
      </c>
      <c r="V427" s="251"/>
      <c r="W427" s="377"/>
      <c r="X427" s="85"/>
      <c r="Y427" s="85"/>
      <c r="Z427" s="85"/>
      <c r="AA427" s="85"/>
      <c r="AB427" s="85"/>
      <c r="AC427" s="85"/>
    </row>
    <row r="428" spans="1:29" ht="409.6" customHeight="1">
      <c r="A428" s="85" t="s">
        <v>1729</v>
      </c>
      <c r="B428" s="87" t="s">
        <v>314</v>
      </c>
      <c r="C428" s="80" t="s">
        <v>934</v>
      </c>
      <c r="D428" s="81" t="s">
        <v>1732</v>
      </c>
      <c r="E428" s="87" t="s">
        <v>325</v>
      </c>
      <c r="F428" s="87" t="s">
        <v>326</v>
      </c>
      <c r="G428" s="436"/>
      <c r="H428" s="256"/>
      <c r="I428" s="344" t="s">
        <v>24</v>
      </c>
      <c r="J428" s="344" t="s">
        <v>24</v>
      </c>
      <c r="K428" s="344" t="s">
        <v>24</v>
      </c>
      <c r="L428" s="248" t="s">
        <v>329</v>
      </c>
      <c r="M428" s="283" t="s">
        <v>24</v>
      </c>
      <c r="N428" s="106" t="s">
        <v>24</v>
      </c>
      <c r="O428" s="106" t="s">
        <v>24</v>
      </c>
      <c r="P428" s="106"/>
      <c r="Q428" s="309"/>
      <c r="R428" s="215" t="s">
        <v>24</v>
      </c>
      <c r="S428" s="225" t="s">
        <v>24</v>
      </c>
      <c r="T428" s="225" t="s">
        <v>24</v>
      </c>
      <c r="U428" s="225" t="s">
        <v>329</v>
      </c>
      <c r="V428" s="251"/>
      <c r="W428" s="377"/>
      <c r="X428" s="85"/>
      <c r="Y428" s="85"/>
      <c r="Z428" s="85"/>
      <c r="AA428" s="85"/>
      <c r="AB428" s="85"/>
      <c r="AC428" s="85"/>
    </row>
    <row r="429" spans="1:29" ht="409.6" customHeight="1">
      <c r="A429" s="85" t="s">
        <v>1729</v>
      </c>
      <c r="B429" s="87" t="s">
        <v>314</v>
      </c>
      <c r="C429" s="80" t="s">
        <v>1733</v>
      </c>
      <c r="D429" s="81" t="s">
        <v>1734</v>
      </c>
      <c r="E429" s="87" t="s">
        <v>325</v>
      </c>
      <c r="F429" s="87" t="s">
        <v>326</v>
      </c>
      <c r="G429" s="436"/>
      <c r="H429" s="256"/>
      <c r="I429" s="225" t="s">
        <v>24</v>
      </c>
      <c r="J429" s="225" t="s">
        <v>24</v>
      </c>
      <c r="K429" s="248" t="s">
        <v>24</v>
      </c>
      <c r="L429" s="248" t="s">
        <v>329</v>
      </c>
      <c r="M429" s="283" t="s">
        <v>24</v>
      </c>
      <c r="N429" s="106" t="s">
        <v>24</v>
      </c>
      <c r="O429" s="106" t="s">
        <v>24</v>
      </c>
      <c r="P429" s="106"/>
      <c r="Q429" s="309"/>
      <c r="R429" s="215" t="s">
        <v>24</v>
      </c>
      <c r="S429" s="225" t="s">
        <v>24</v>
      </c>
      <c r="T429" s="225" t="s">
        <v>24</v>
      </c>
      <c r="U429" s="225" t="s">
        <v>329</v>
      </c>
      <c r="V429" s="251"/>
      <c r="W429" s="377"/>
      <c r="X429" s="85"/>
      <c r="Y429" s="85"/>
      <c r="Z429" s="85"/>
      <c r="AA429" s="85"/>
      <c r="AB429" s="85"/>
      <c r="AC429" s="85"/>
    </row>
    <row r="430" spans="1:29" ht="409.6" customHeight="1">
      <c r="A430" s="85" t="s">
        <v>1729</v>
      </c>
      <c r="B430" s="87" t="s">
        <v>314</v>
      </c>
      <c r="C430" s="80" t="s">
        <v>1735</v>
      </c>
      <c r="D430" s="81" t="s">
        <v>1736</v>
      </c>
      <c r="E430" s="87" t="s">
        <v>325</v>
      </c>
      <c r="F430" s="87" t="s">
        <v>326</v>
      </c>
      <c r="G430" s="436"/>
      <c r="H430" s="256"/>
      <c r="I430" s="225" t="s">
        <v>24</v>
      </c>
      <c r="J430" s="225" t="s">
        <v>24</v>
      </c>
      <c r="K430" s="248" t="s">
        <v>24</v>
      </c>
      <c r="L430" s="248" t="s">
        <v>329</v>
      </c>
      <c r="M430" s="283" t="s">
        <v>24</v>
      </c>
      <c r="N430" s="106" t="s">
        <v>24</v>
      </c>
      <c r="O430" s="106" t="s">
        <v>24</v>
      </c>
      <c r="P430" s="106"/>
      <c r="Q430" s="309"/>
      <c r="R430" s="215" t="s">
        <v>24</v>
      </c>
      <c r="S430" s="225" t="s">
        <v>24</v>
      </c>
      <c r="T430" s="225" t="s">
        <v>24</v>
      </c>
      <c r="U430" s="225" t="s">
        <v>329</v>
      </c>
      <c r="V430" s="251"/>
      <c r="W430" s="377"/>
      <c r="X430" s="85"/>
      <c r="Y430" s="85"/>
      <c r="Z430" s="85"/>
      <c r="AA430" s="85"/>
      <c r="AB430" s="85"/>
      <c r="AC430" s="85"/>
    </row>
    <row r="431" spans="1:29" ht="14.25">
      <c r="A431" s="85" t="s">
        <v>1729</v>
      </c>
      <c r="B431" s="87" t="s">
        <v>314</v>
      </c>
      <c r="C431" s="80" t="s">
        <v>656</v>
      </c>
      <c r="D431" s="81" t="s">
        <v>1737</v>
      </c>
      <c r="E431" s="87" t="s">
        <v>325</v>
      </c>
      <c r="F431" s="87" t="s">
        <v>326</v>
      </c>
      <c r="G431" s="436"/>
      <c r="H431" s="256"/>
      <c r="I431" s="225" t="s">
        <v>24</v>
      </c>
      <c r="J431" s="225" t="s">
        <v>24</v>
      </c>
      <c r="K431" s="248" t="s">
        <v>24</v>
      </c>
      <c r="L431" s="248" t="s">
        <v>329</v>
      </c>
      <c r="M431" s="283" t="s">
        <v>24</v>
      </c>
      <c r="N431" s="106" t="s">
        <v>24</v>
      </c>
      <c r="O431" s="106" t="s">
        <v>24</v>
      </c>
      <c r="P431" s="106"/>
      <c r="Q431" s="309"/>
      <c r="R431" s="215" t="s">
        <v>24</v>
      </c>
      <c r="S431" s="225" t="s">
        <v>24</v>
      </c>
      <c r="T431" s="225" t="s">
        <v>24</v>
      </c>
      <c r="U431" s="225" t="s">
        <v>329</v>
      </c>
      <c r="V431" s="251"/>
      <c r="W431" s="377"/>
      <c r="X431" s="85"/>
      <c r="Y431" s="85"/>
      <c r="Z431" s="85"/>
      <c r="AA431" s="85"/>
      <c r="AB431" s="85"/>
      <c r="AC431" s="85"/>
    </row>
    <row r="432" spans="1:29" ht="14.25">
      <c r="A432" s="85" t="s">
        <v>1729</v>
      </c>
      <c r="B432" s="87" t="s">
        <v>314</v>
      </c>
      <c r="C432" s="80" t="s">
        <v>1093</v>
      </c>
      <c r="D432" s="81" t="s">
        <v>1738</v>
      </c>
      <c r="E432" s="87" t="s">
        <v>325</v>
      </c>
      <c r="F432" s="87" t="s">
        <v>326</v>
      </c>
      <c r="G432" s="436"/>
      <c r="H432" s="256"/>
      <c r="I432" s="225" t="s">
        <v>24</v>
      </c>
      <c r="J432" s="225" t="s">
        <v>24</v>
      </c>
      <c r="K432" s="248" t="s">
        <v>24</v>
      </c>
      <c r="L432" s="248" t="s">
        <v>329</v>
      </c>
      <c r="M432" s="283" t="s">
        <v>24</v>
      </c>
      <c r="N432" s="106" t="s">
        <v>24</v>
      </c>
      <c r="O432" s="106" t="s">
        <v>24</v>
      </c>
      <c r="P432" s="106"/>
      <c r="Q432" s="309"/>
      <c r="R432" s="215" t="s">
        <v>24</v>
      </c>
      <c r="S432" s="225" t="s">
        <v>24</v>
      </c>
      <c r="T432" s="225" t="s">
        <v>24</v>
      </c>
      <c r="U432" s="225" t="s">
        <v>329</v>
      </c>
      <c r="V432" s="251"/>
      <c r="W432" s="377"/>
      <c r="X432" s="85"/>
      <c r="Y432" s="85"/>
      <c r="Z432" s="85"/>
      <c r="AA432" s="85"/>
      <c r="AB432" s="85"/>
      <c r="AC432" s="85"/>
    </row>
    <row r="433" spans="1:29" ht="14.25">
      <c r="A433" s="85" t="s">
        <v>1729</v>
      </c>
      <c r="B433" s="87" t="s">
        <v>314</v>
      </c>
      <c r="C433" s="80" t="s">
        <v>1739</v>
      </c>
      <c r="D433" s="81" t="s">
        <v>1740</v>
      </c>
      <c r="E433" s="87" t="s">
        <v>325</v>
      </c>
      <c r="F433" s="87" t="s">
        <v>326</v>
      </c>
      <c r="G433" s="436"/>
      <c r="H433" s="256"/>
      <c r="I433" s="225" t="s">
        <v>24</v>
      </c>
      <c r="J433" s="225" t="s">
        <v>24</v>
      </c>
      <c r="K433" s="248" t="s">
        <v>24</v>
      </c>
      <c r="L433" s="248" t="s">
        <v>329</v>
      </c>
      <c r="M433" s="283" t="s">
        <v>24</v>
      </c>
      <c r="N433" s="106" t="s">
        <v>24</v>
      </c>
      <c r="O433" s="106" t="s">
        <v>24</v>
      </c>
      <c r="P433" s="106"/>
      <c r="Q433" s="309"/>
      <c r="R433" s="215" t="s">
        <v>24</v>
      </c>
      <c r="S433" s="225" t="s">
        <v>24</v>
      </c>
      <c r="T433" s="225" t="s">
        <v>24</v>
      </c>
      <c r="U433" s="225" t="s">
        <v>329</v>
      </c>
      <c r="V433" s="251"/>
      <c r="W433" s="377"/>
      <c r="X433" s="85"/>
      <c r="Y433" s="85"/>
      <c r="Z433" s="85"/>
      <c r="AA433" s="85"/>
      <c r="AB433" s="85"/>
      <c r="AC433" s="85"/>
    </row>
    <row r="434" spans="1:29" ht="14.25">
      <c r="A434" s="85" t="s">
        <v>1729</v>
      </c>
      <c r="B434" s="87" t="s">
        <v>314</v>
      </c>
      <c r="C434" s="80" t="s">
        <v>660</v>
      </c>
      <c r="D434" s="81" t="s">
        <v>1741</v>
      </c>
      <c r="E434" s="87" t="s">
        <v>325</v>
      </c>
      <c r="F434" s="87" t="s">
        <v>326</v>
      </c>
      <c r="G434" s="436"/>
      <c r="H434" s="256"/>
      <c r="I434" s="225" t="s">
        <v>24</v>
      </c>
      <c r="J434" s="225" t="s">
        <v>24</v>
      </c>
      <c r="K434" s="248" t="s">
        <v>24</v>
      </c>
      <c r="L434" s="248" t="s">
        <v>329</v>
      </c>
      <c r="M434" s="283" t="s">
        <v>24</v>
      </c>
      <c r="N434" s="106" t="s">
        <v>24</v>
      </c>
      <c r="O434" s="106" t="s">
        <v>24</v>
      </c>
      <c r="P434" s="106"/>
      <c r="Q434" s="309"/>
      <c r="R434" s="215" t="s">
        <v>24</v>
      </c>
      <c r="S434" s="225" t="s">
        <v>24</v>
      </c>
      <c r="T434" s="225" t="s">
        <v>24</v>
      </c>
      <c r="U434" s="225" t="s">
        <v>329</v>
      </c>
      <c r="V434" s="250"/>
      <c r="W434" s="377"/>
      <c r="X434" s="85"/>
      <c r="Y434" s="85"/>
      <c r="Z434" s="85"/>
      <c r="AA434" s="85"/>
      <c r="AB434" s="85"/>
      <c r="AC434" s="85"/>
    </row>
    <row r="435" spans="1:29" ht="24.75">
      <c r="A435" s="85" t="s">
        <v>1729</v>
      </c>
      <c r="B435" s="87" t="s">
        <v>314</v>
      </c>
      <c r="C435" s="80" t="s">
        <v>888</v>
      </c>
      <c r="D435" s="81" t="s">
        <v>1742</v>
      </c>
      <c r="E435" s="87" t="s">
        <v>325</v>
      </c>
      <c r="F435" s="87" t="s">
        <v>326</v>
      </c>
      <c r="G435" s="437"/>
      <c r="H435" s="256"/>
      <c r="I435" s="225" t="s">
        <v>24</v>
      </c>
      <c r="J435" s="225" t="s">
        <v>24</v>
      </c>
      <c r="K435" s="248" t="s">
        <v>24</v>
      </c>
      <c r="L435" s="248" t="s">
        <v>329</v>
      </c>
      <c r="M435" s="283" t="s">
        <v>24</v>
      </c>
      <c r="N435" s="106" t="s">
        <v>24</v>
      </c>
      <c r="O435" s="106" t="s">
        <v>24</v>
      </c>
      <c r="P435" s="106"/>
      <c r="Q435" s="309"/>
      <c r="R435" s="215" t="s">
        <v>24</v>
      </c>
      <c r="S435" s="225" t="s">
        <v>24</v>
      </c>
      <c r="T435" s="225" t="s">
        <v>24</v>
      </c>
      <c r="U435" s="225" t="s">
        <v>329</v>
      </c>
      <c r="V435" s="251"/>
      <c r="W435" s="377"/>
      <c r="X435" s="85"/>
      <c r="Y435" s="85"/>
      <c r="Z435" s="85"/>
      <c r="AA435" s="85"/>
      <c r="AB435" s="85"/>
      <c r="AC435" s="85"/>
    </row>
    <row r="436" spans="1:29" ht="14.25">
      <c r="A436" s="85" t="s">
        <v>708</v>
      </c>
      <c r="B436" s="87" t="s">
        <v>709</v>
      </c>
      <c r="C436" s="80" t="s">
        <v>1743</v>
      </c>
      <c r="D436" s="81" t="s">
        <v>1744</v>
      </c>
      <c r="E436" s="87" t="s">
        <v>325</v>
      </c>
      <c r="F436" s="87" t="s">
        <v>326</v>
      </c>
      <c r="G436" s="246" t="s">
        <v>1745</v>
      </c>
      <c r="H436" s="234" t="s">
        <v>1746</v>
      </c>
      <c r="I436" s="245" t="s">
        <v>337</v>
      </c>
      <c r="J436" s="245" t="s">
        <v>337</v>
      </c>
      <c r="K436" s="257" t="s">
        <v>337</v>
      </c>
      <c r="L436" s="248" t="s">
        <v>329</v>
      </c>
      <c r="M436" s="224" t="s">
        <v>27</v>
      </c>
      <c r="N436" s="107" t="s">
        <v>27</v>
      </c>
      <c r="O436" s="107" t="s">
        <v>27</v>
      </c>
      <c r="P436" s="81" t="s">
        <v>620</v>
      </c>
      <c r="Q436" s="254" t="s">
        <v>364</v>
      </c>
      <c r="R436" s="224" t="s">
        <v>27</v>
      </c>
      <c r="S436" s="107" t="s">
        <v>27</v>
      </c>
      <c r="T436" s="107" t="s">
        <v>27</v>
      </c>
      <c r="U436" s="225" t="s">
        <v>341</v>
      </c>
      <c r="V436" s="296" t="s">
        <v>1747</v>
      </c>
      <c r="W436" s="377"/>
      <c r="X436" s="85"/>
      <c r="Y436" s="85"/>
      <c r="Z436" s="85"/>
      <c r="AA436" s="85"/>
      <c r="AB436" s="85"/>
      <c r="AC436" s="85"/>
    </row>
    <row r="437" spans="1:29" ht="409.6">
      <c r="A437" s="85" t="s">
        <v>708</v>
      </c>
      <c r="B437" s="87" t="s">
        <v>709</v>
      </c>
      <c r="C437" s="80" t="s">
        <v>1748</v>
      </c>
      <c r="D437" s="81" t="s">
        <v>1749</v>
      </c>
      <c r="E437" s="87" t="s">
        <v>325</v>
      </c>
      <c r="F437" s="87" t="s">
        <v>326</v>
      </c>
      <c r="G437" s="246" t="s">
        <v>1750</v>
      </c>
      <c r="H437" s="234" t="s">
        <v>1751</v>
      </c>
      <c r="I437" s="225" t="s">
        <v>24</v>
      </c>
      <c r="J437" s="225" t="s">
        <v>24</v>
      </c>
      <c r="K437" s="248" t="s">
        <v>24</v>
      </c>
      <c r="L437" s="248" t="s">
        <v>329</v>
      </c>
      <c r="M437" s="224" t="s">
        <v>24</v>
      </c>
      <c r="N437" s="107" t="s">
        <v>24</v>
      </c>
      <c r="O437" s="107" t="s">
        <v>24</v>
      </c>
      <c r="P437" s="107" t="s">
        <v>626</v>
      </c>
      <c r="Q437" s="254"/>
      <c r="R437" s="215" t="s">
        <v>24</v>
      </c>
      <c r="S437" s="225" t="s">
        <v>24</v>
      </c>
      <c r="T437" s="225" t="s">
        <v>24</v>
      </c>
      <c r="U437" s="225" t="s">
        <v>329</v>
      </c>
      <c r="V437" s="296"/>
      <c r="W437" s="377"/>
      <c r="X437" s="85"/>
      <c r="Y437" s="85"/>
      <c r="Z437" s="85"/>
      <c r="AA437" s="85"/>
      <c r="AB437" s="85"/>
      <c r="AC437" s="85"/>
    </row>
    <row r="438" spans="1:29" ht="409.6">
      <c r="A438" s="85" t="s">
        <v>708</v>
      </c>
      <c r="B438" s="87" t="s">
        <v>709</v>
      </c>
      <c r="C438" s="80" t="s">
        <v>1752</v>
      </c>
      <c r="D438" s="81" t="s">
        <v>1753</v>
      </c>
      <c r="E438" s="87" t="s">
        <v>325</v>
      </c>
      <c r="F438" s="87" t="s">
        <v>326</v>
      </c>
      <c r="G438" s="259"/>
      <c r="H438" s="256" t="s">
        <v>1754</v>
      </c>
      <c r="I438" s="225"/>
      <c r="J438" s="225"/>
      <c r="K438" s="248"/>
      <c r="L438" s="248"/>
      <c r="M438" s="224" t="s">
        <v>24</v>
      </c>
      <c r="N438" s="107" t="s">
        <v>24</v>
      </c>
      <c r="O438" s="107" t="s">
        <v>24</v>
      </c>
      <c r="P438" s="107" t="s">
        <v>626</v>
      </c>
      <c r="Q438" s="254" t="s">
        <v>375</v>
      </c>
      <c r="R438" s="215" t="s">
        <v>24</v>
      </c>
      <c r="S438" s="225" t="s">
        <v>24</v>
      </c>
      <c r="T438" s="225" t="s">
        <v>24</v>
      </c>
      <c r="U438" s="225" t="s">
        <v>329</v>
      </c>
      <c r="V438" s="296" t="s">
        <v>1755</v>
      </c>
      <c r="W438" s="377"/>
      <c r="X438" s="85"/>
      <c r="Y438" s="85"/>
      <c r="Z438" s="85"/>
      <c r="AA438" s="85"/>
      <c r="AB438" s="85"/>
      <c r="AC438" s="85"/>
    </row>
    <row r="439" spans="1:29" ht="12.75">
      <c r="A439" s="85" t="s">
        <v>1756</v>
      </c>
      <c r="B439" s="87" t="s">
        <v>921</v>
      </c>
      <c r="C439" s="80" t="s">
        <v>1757</v>
      </c>
      <c r="D439" s="86" t="s">
        <v>1758</v>
      </c>
      <c r="E439" s="245" t="s">
        <v>27</v>
      </c>
      <c r="F439" s="87" t="s">
        <v>317</v>
      </c>
      <c r="G439" s="259"/>
      <c r="H439" s="256"/>
      <c r="I439" s="335" t="s">
        <v>317</v>
      </c>
      <c r="J439" s="335" t="s">
        <v>317</v>
      </c>
      <c r="K439" s="335" t="s">
        <v>317</v>
      </c>
      <c r="L439" s="248"/>
      <c r="M439" s="249"/>
      <c r="N439" s="225"/>
      <c r="O439" s="225"/>
      <c r="P439" s="225"/>
      <c r="Q439" s="250"/>
      <c r="R439" s="215" t="s">
        <v>27</v>
      </c>
      <c r="S439" s="215" t="s">
        <v>27</v>
      </c>
      <c r="T439" s="215" t="s">
        <v>27</v>
      </c>
      <c r="U439" s="225"/>
      <c r="V439" s="251"/>
      <c r="W439" s="377"/>
      <c r="X439" s="85"/>
      <c r="Y439" s="85"/>
      <c r="Z439" s="85"/>
      <c r="AA439" s="85"/>
      <c r="AB439" s="85"/>
      <c r="AC439" s="85"/>
    </row>
    <row r="440" spans="1:29" ht="27">
      <c r="A440" s="85" t="s">
        <v>1756</v>
      </c>
      <c r="B440" s="87" t="s">
        <v>921</v>
      </c>
      <c r="C440" s="80" t="s">
        <v>1759</v>
      </c>
      <c r="D440" s="81" t="s">
        <v>1760</v>
      </c>
      <c r="E440" s="245" t="s">
        <v>27</v>
      </c>
      <c r="F440" s="87" t="s">
        <v>317</v>
      </c>
      <c r="G440" s="259"/>
      <c r="H440" s="256"/>
      <c r="I440" s="335" t="s">
        <v>317</v>
      </c>
      <c r="J440" s="335" t="s">
        <v>317</v>
      </c>
      <c r="K440" s="335" t="s">
        <v>317</v>
      </c>
      <c r="L440" s="248"/>
      <c r="M440" s="249"/>
      <c r="N440" s="225"/>
      <c r="O440" s="225"/>
      <c r="P440" s="225"/>
      <c r="Q440" s="250"/>
      <c r="R440" s="215" t="s">
        <v>27</v>
      </c>
      <c r="S440" s="215" t="s">
        <v>27</v>
      </c>
      <c r="T440" s="215" t="s">
        <v>27</v>
      </c>
      <c r="U440" s="225"/>
      <c r="V440" s="251"/>
      <c r="W440" s="377"/>
      <c r="X440" s="85"/>
      <c r="Y440" s="85"/>
      <c r="Z440" s="85"/>
      <c r="AA440" s="85"/>
      <c r="AB440" s="85"/>
      <c r="AC440" s="85"/>
    </row>
    <row r="441" spans="1:29" ht="27">
      <c r="A441" s="85" t="s">
        <v>1756</v>
      </c>
      <c r="B441" s="87" t="s">
        <v>921</v>
      </c>
      <c r="C441" s="80" t="s">
        <v>934</v>
      </c>
      <c r="D441" s="81" t="s">
        <v>1761</v>
      </c>
      <c r="E441" s="245" t="s">
        <v>27</v>
      </c>
      <c r="F441" s="87" t="s">
        <v>317</v>
      </c>
      <c r="G441" s="259"/>
      <c r="H441" s="256"/>
      <c r="I441" s="335" t="s">
        <v>317</v>
      </c>
      <c r="J441" s="335" t="s">
        <v>317</v>
      </c>
      <c r="K441" s="335" t="s">
        <v>317</v>
      </c>
      <c r="L441" s="248"/>
      <c r="M441" s="249"/>
      <c r="N441" s="225"/>
      <c r="O441" s="225"/>
      <c r="P441" s="225"/>
      <c r="Q441" s="250"/>
      <c r="R441" s="215" t="s">
        <v>27</v>
      </c>
      <c r="S441" s="215" t="s">
        <v>27</v>
      </c>
      <c r="T441" s="215" t="s">
        <v>27</v>
      </c>
      <c r="U441" s="225"/>
      <c r="V441" s="251"/>
      <c r="W441" s="377"/>
      <c r="X441" s="85"/>
      <c r="Y441" s="85"/>
      <c r="Z441" s="85"/>
      <c r="AA441" s="85"/>
      <c r="AB441" s="85"/>
      <c r="AC441" s="85"/>
    </row>
    <row r="442" spans="1:29" ht="27">
      <c r="A442" s="85" t="s">
        <v>1756</v>
      </c>
      <c r="B442" s="87" t="s">
        <v>921</v>
      </c>
      <c r="C442" s="80" t="s">
        <v>1762</v>
      </c>
      <c r="D442" s="86" t="s">
        <v>1763</v>
      </c>
      <c r="E442" s="245" t="s">
        <v>27</v>
      </c>
      <c r="F442" s="87" t="s">
        <v>317</v>
      </c>
      <c r="G442" s="259"/>
      <c r="H442" s="256"/>
      <c r="I442" s="335" t="s">
        <v>317</v>
      </c>
      <c r="J442" s="335" t="s">
        <v>317</v>
      </c>
      <c r="K442" s="335" t="s">
        <v>317</v>
      </c>
      <c r="L442" s="248"/>
      <c r="M442" s="249"/>
      <c r="N442" s="225"/>
      <c r="O442" s="225"/>
      <c r="P442" s="225"/>
      <c r="Q442" s="250"/>
      <c r="R442" s="215" t="s">
        <v>27</v>
      </c>
      <c r="S442" s="215" t="s">
        <v>27</v>
      </c>
      <c r="T442" s="215" t="s">
        <v>27</v>
      </c>
      <c r="U442" s="225"/>
      <c r="V442" s="251"/>
      <c r="W442" s="377"/>
      <c r="X442" s="85"/>
      <c r="Y442" s="85"/>
      <c r="Z442" s="85"/>
      <c r="AA442" s="85"/>
      <c r="AB442" s="85"/>
      <c r="AC442" s="85"/>
    </row>
    <row r="443" spans="1:29" ht="27">
      <c r="A443" s="85" t="s">
        <v>1756</v>
      </c>
      <c r="B443" s="87" t="s">
        <v>921</v>
      </c>
      <c r="C443" s="80" t="s">
        <v>84</v>
      </c>
      <c r="D443" s="81" t="s">
        <v>1764</v>
      </c>
      <c r="E443" s="245" t="s">
        <v>27</v>
      </c>
      <c r="F443" s="87" t="s">
        <v>317</v>
      </c>
      <c r="G443" s="259"/>
      <c r="H443" s="256"/>
      <c r="I443" s="335" t="s">
        <v>317</v>
      </c>
      <c r="J443" s="335" t="s">
        <v>317</v>
      </c>
      <c r="K443" s="335" t="s">
        <v>317</v>
      </c>
      <c r="L443" s="248"/>
      <c r="M443" s="249"/>
      <c r="N443" s="225"/>
      <c r="O443" s="225"/>
      <c r="P443" s="225"/>
      <c r="Q443" s="250"/>
      <c r="R443" s="215" t="s">
        <v>27</v>
      </c>
      <c r="S443" s="215" t="s">
        <v>27</v>
      </c>
      <c r="T443" s="215" t="s">
        <v>27</v>
      </c>
      <c r="U443" s="225"/>
      <c r="V443" s="251"/>
      <c r="W443" s="377"/>
      <c r="X443" s="85"/>
      <c r="Y443" s="85"/>
      <c r="Z443" s="85"/>
      <c r="AA443" s="85"/>
      <c r="AB443" s="85"/>
      <c r="AC443" s="85"/>
    </row>
    <row r="444" spans="1:29" ht="27">
      <c r="A444" s="85" t="s">
        <v>1765</v>
      </c>
      <c r="B444" s="87" t="s">
        <v>921</v>
      </c>
      <c r="C444" s="80" t="s">
        <v>1766</v>
      </c>
      <c r="D444" s="81" t="s">
        <v>1767</v>
      </c>
      <c r="E444" s="245" t="s">
        <v>27</v>
      </c>
      <c r="F444" s="87" t="s">
        <v>317</v>
      </c>
      <c r="G444" s="259"/>
      <c r="H444" s="256"/>
      <c r="I444" s="335" t="s">
        <v>317</v>
      </c>
      <c r="J444" s="335" t="s">
        <v>317</v>
      </c>
      <c r="K444" s="335" t="s">
        <v>317</v>
      </c>
      <c r="L444" s="248"/>
      <c r="M444" s="249"/>
      <c r="N444" s="225"/>
      <c r="O444" s="225"/>
      <c r="P444" s="225"/>
      <c r="Q444" s="250"/>
      <c r="R444" s="215" t="s">
        <v>27</v>
      </c>
      <c r="S444" s="215" t="s">
        <v>27</v>
      </c>
      <c r="T444" s="215" t="s">
        <v>27</v>
      </c>
      <c r="U444" s="225"/>
      <c r="V444" s="251"/>
      <c r="W444" s="377"/>
      <c r="X444" s="85"/>
      <c r="Y444" s="85"/>
      <c r="Z444" s="85"/>
      <c r="AA444" s="85"/>
      <c r="AB444" s="85"/>
      <c r="AC444" s="85"/>
    </row>
    <row r="445" spans="1:29" ht="27">
      <c r="A445" s="85" t="s">
        <v>1765</v>
      </c>
      <c r="B445" s="87" t="s">
        <v>921</v>
      </c>
      <c r="C445" s="80" t="s">
        <v>1768</v>
      </c>
      <c r="D445" s="81" t="s">
        <v>1769</v>
      </c>
      <c r="E445" s="245" t="s">
        <v>27</v>
      </c>
      <c r="F445" s="87" t="s">
        <v>317</v>
      </c>
      <c r="G445" s="259"/>
      <c r="H445" s="256"/>
      <c r="I445" s="335" t="s">
        <v>317</v>
      </c>
      <c r="J445" s="335" t="s">
        <v>317</v>
      </c>
      <c r="K445" s="335" t="s">
        <v>317</v>
      </c>
      <c r="L445" s="248"/>
      <c r="M445" s="249"/>
      <c r="N445" s="225"/>
      <c r="O445" s="225"/>
      <c r="P445" s="225"/>
      <c r="Q445" s="250"/>
      <c r="R445" s="215" t="s">
        <v>27</v>
      </c>
      <c r="S445" s="215" t="s">
        <v>27</v>
      </c>
      <c r="T445" s="215" t="s">
        <v>27</v>
      </c>
      <c r="U445" s="225"/>
      <c r="V445" s="251"/>
      <c r="W445" s="377"/>
      <c r="X445" s="85"/>
      <c r="Y445" s="85"/>
      <c r="Z445" s="85"/>
      <c r="AA445" s="85"/>
      <c r="AB445" s="85"/>
      <c r="AC445" s="85"/>
    </row>
    <row r="446" spans="1:29" ht="27">
      <c r="A446" s="85" t="s">
        <v>920</v>
      </c>
      <c r="B446" s="87" t="s">
        <v>921</v>
      </c>
      <c r="C446" s="80" t="s">
        <v>1770</v>
      </c>
      <c r="D446" s="81" t="s">
        <v>1771</v>
      </c>
      <c r="E446" s="245" t="s">
        <v>27</v>
      </c>
      <c r="F446" s="87" t="s">
        <v>317</v>
      </c>
      <c r="G446" s="322"/>
      <c r="H446" s="256"/>
      <c r="I446" s="345" t="s">
        <v>317</v>
      </c>
      <c r="J446" s="335" t="s">
        <v>317</v>
      </c>
      <c r="K446" s="335" t="s">
        <v>317</v>
      </c>
      <c r="L446" s="248"/>
      <c r="M446" s="249"/>
      <c r="N446" s="225"/>
      <c r="O446" s="225"/>
      <c r="P446" s="225"/>
      <c r="Q446" s="250"/>
      <c r="R446" s="215" t="s">
        <v>27</v>
      </c>
      <c r="S446" s="215" t="s">
        <v>27</v>
      </c>
      <c r="T446" s="215" t="s">
        <v>27</v>
      </c>
      <c r="U446" s="225"/>
      <c r="V446" s="251"/>
      <c r="W446" s="377"/>
      <c r="X446" s="85"/>
      <c r="Y446" s="85"/>
      <c r="Z446" s="85"/>
      <c r="AA446" s="85"/>
      <c r="AB446" s="85"/>
      <c r="AC446" s="85"/>
    </row>
    <row r="447" spans="1:29" ht="75.75">
      <c r="A447" s="85" t="s">
        <v>920</v>
      </c>
      <c r="B447" s="87" t="s">
        <v>921</v>
      </c>
      <c r="C447" s="80" t="s">
        <v>1211</v>
      </c>
      <c r="D447" s="81" t="s">
        <v>1772</v>
      </c>
      <c r="E447" s="87" t="s">
        <v>325</v>
      </c>
      <c r="F447" s="316" t="s">
        <v>326</v>
      </c>
      <c r="G447" s="423" t="s">
        <v>1773</v>
      </c>
      <c r="H447" s="425" t="s">
        <v>942</v>
      </c>
      <c r="I447" s="271" t="s">
        <v>337</v>
      </c>
      <c r="J447" s="271" t="s">
        <v>337</v>
      </c>
      <c r="K447" s="271" t="s">
        <v>337</v>
      </c>
      <c r="L447" s="248" t="s">
        <v>483</v>
      </c>
      <c r="M447" s="224" t="s">
        <v>24</v>
      </c>
      <c r="N447" s="216" t="s">
        <v>24</v>
      </c>
      <c r="O447" s="107" t="s">
        <v>24</v>
      </c>
      <c r="P447" s="81" t="s">
        <v>1774</v>
      </c>
      <c r="Q447" s="254" t="s">
        <v>673</v>
      </c>
      <c r="R447" s="285" t="s">
        <v>25</v>
      </c>
      <c r="S447" s="298" t="s">
        <v>24</v>
      </c>
      <c r="T447" s="245" t="s">
        <v>25</v>
      </c>
      <c r="U447" s="225" t="s">
        <v>483</v>
      </c>
      <c r="V447" s="289" t="s">
        <v>1775</v>
      </c>
      <c r="W447" s="414" t="s">
        <v>1776</v>
      </c>
      <c r="X447" s="87" t="s">
        <v>377</v>
      </c>
      <c r="Y447" s="87"/>
      <c r="Z447" s="87"/>
      <c r="AA447" s="87" t="s">
        <v>377</v>
      </c>
      <c r="AB447" s="87"/>
      <c r="AC447" s="87"/>
    </row>
    <row r="448" spans="1:29" ht="88.5">
      <c r="A448" s="85" t="s">
        <v>920</v>
      </c>
      <c r="B448" s="87" t="s">
        <v>921</v>
      </c>
      <c r="C448" s="80" t="s">
        <v>1211</v>
      </c>
      <c r="D448" s="81" t="s">
        <v>1777</v>
      </c>
      <c r="E448" s="87" t="s">
        <v>325</v>
      </c>
      <c r="F448" s="316" t="s">
        <v>326</v>
      </c>
      <c r="G448" s="424"/>
      <c r="H448" s="426"/>
      <c r="I448" s="271" t="s">
        <v>337</v>
      </c>
      <c r="J448" s="271" t="s">
        <v>337</v>
      </c>
      <c r="K448" s="271" t="s">
        <v>337</v>
      </c>
      <c r="L448" s="248" t="s">
        <v>483</v>
      </c>
      <c r="M448" s="224" t="s">
        <v>24</v>
      </c>
      <c r="N448" s="107" t="s">
        <v>24</v>
      </c>
      <c r="O448" s="107" t="s">
        <v>24</v>
      </c>
      <c r="P448" s="81" t="s">
        <v>1774</v>
      </c>
      <c r="Q448" s="254" t="s">
        <v>673</v>
      </c>
      <c r="R448" s="306" t="s">
        <v>26</v>
      </c>
      <c r="S448" s="298" t="s">
        <v>26</v>
      </c>
      <c r="T448" s="298" t="s">
        <v>26</v>
      </c>
      <c r="U448" s="225" t="s">
        <v>483</v>
      </c>
      <c r="V448" s="251" t="s">
        <v>1778</v>
      </c>
      <c r="W448" s="414" t="s">
        <v>1670</v>
      </c>
      <c r="X448" s="87"/>
      <c r="Y448" s="87"/>
      <c r="Z448" s="87"/>
      <c r="AA448" s="87" t="s">
        <v>377</v>
      </c>
      <c r="AB448" s="87"/>
      <c r="AC448" s="87"/>
    </row>
    <row r="449" spans="1:29" ht="88.5">
      <c r="A449" s="85" t="s">
        <v>920</v>
      </c>
      <c r="B449" s="87" t="s">
        <v>921</v>
      </c>
      <c r="C449" s="80" t="s">
        <v>1211</v>
      </c>
      <c r="D449" s="81" t="s">
        <v>1779</v>
      </c>
      <c r="E449" s="87" t="s">
        <v>325</v>
      </c>
      <c r="F449" s="316" t="s">
        <v>326</v>
      </c>
      <c r="G449" s="424"/>
      <c r="H449" s="426"/>
      <c r="I449" s="271" t="s">
        <v>337</v>
      </c>
      <c r="J449" s="271" t="s">
        <v>337</v>
      </c>
      <c r="K449" s="271" t="s">
        <v>337</v>
      </c>
      <c r="L449" s="248" t="s">
        <v>483</v>
      </c>
      <c r="M449" s="224" t="s">
        <v>24</v>
      </c>
      <c r="N449" s="107" t="s">
        <v>24</v>
      </c>
      <c r="O449" s="107" t="s">
        <v>24</v>
      </c>
      <c r="P449" s="81" t="s">
        <v>1774</v>
      </c>
      <c r="Q449" s="254" t="s">
        <v>673</v>
      </c>
      <c r="R449" s="285" t="s">
        <v>25</v>
      </c>
      <c r="S449" s="245" t="s">
        <v>25</v>
      </c>
      <c r="T449" s="245" t="s">
        <v>26</v>
      </c>
      <c r="U449" s="225" t="s">
        <v>483</v>
      </c>
      <c r="V449" s="289" t="s">
        <v>1780</v>
      </c>
      <c r="W449" s="414" t="s">
        <v>1781</v>
      </c>
      <c r="X449" s="87" t="s">
        <v>377</v>
      </c>
      <c r="Y449" s="87"/>
      <c r="Z449" s="87"/>
      <c r="AA449" s="87" t="s">
        <v>377</v>
      </c>
      <c r="AB449" s="87"/>
      <c r="AC449" s="87"/>
    </row>
    <row r="450" spans="1:29" ht="75.75">
      <c r="A450" s="85" t="s">
        <v>920</v>
      </c>
      <c r="B450" s="87" t="s">
        <v>921</v>
      </c>
      <c r="C450" s="80" t="s">
        <v>1211</v>
      </c>
      <c r="D450" s="81" t="s">
        <v>1782</v>
      </c>
      <c r="E450" s="87" t="s">
        <v>325</v>
      </c>
      <c r="F450" s="316" t="s">
        <v>326</v>
      </c>
      <c r="G450" s="424"/>
      <c r="H450" s="426"/>
      <c r="I450" s="271" t="s">
        <v>337</v>
      </c>
      <c r="J450" s="271" t="s">
        <v>337</v>
      </c>
      <c r="K450" s="271" t="s">
        <v>337</v>
      </c>
      <c r="L450" s="248" t="s">
        <v>483</v>
      </c>
      <c r="M450" s="224" t="s">
        <v>24</v>
      </c>
      <c r="N450" s="107" t="s">
        <v>24</v>
      </c>
      <c r="O450" s="107" t="s">
        <v>24</v>
      </c>
      <c r="P450" s="81" t="s">
        <v>1774</v>
      </c>
      <c r="Q450" s="254" t="s">
        <v>673</v>
      </c>
      <c r="R450" s="285" t="s">
        <v>25</v>
      </c>
      <c r="S450" s="245" t="s">
        <v>25</v>
      </c>
      <c r="T450" s="245" t="s">
        <v>25</v>
      </c>
      <c r="U450" s="225" t="s">
        <v>483</v>
      </c>
      <c r="V450" s="289" t="s">
        <v>1783</v>
      </c>
      <c r="W450" s="414" t="s">
        <v>1781</v>
      </c>
      <c r="X450" s="87" t="s">
        <v>377</v>
      </c>
      <c r="Y450" s="87"/>
      <c r="Z450" s="87"/>
      <c r="AA450" s="87" t="s">
        <v>377</v>
      </c>
      <c r="AB450" s="87"/>
      <c r="AC450" s="87"/>
    </row>
    <row r="451" spans="1:29" ht="88.5">
      <c r="A451" s="85" t="s">
        <v>920</v>
      </c>
      <c r="B451" s="87" t="s">
        <v>921</v>
      </c>
      <c r="C451" s="80" t="s">
        <v>1211</v>
      </c>
      <c r="D451" s="81" t="s">
        <v>1784</v>
      </c>
      <c r="E451" s="87" t="s">
        <v>325</v>
      </c>
      <c r="F451" s="316" t="s">
        <v>326</v>
      </c>
      <c r="G451" s="424"/>
      <c r="H451" s="426"/>
      <c r="I451" s="271" t="s">
        <v>337</v>
      </c>
      <c r="J451" s="271" t="s">
        <v>337</v>
      </c>
      <c r="K451" s="271" t="s">
        <v>337</v>
      </c>
      <c r="L451" s="248" t="s">
        <v>483</v>
      </c>
      <c r="M451" s="224" t="s">
        <v>24</v>
      </c>
      <c r="N451" s="107" t="s">
        <v>24</v>
      </c>
      <c r="O451" s="107" t="s">
        <v>24</v>
      </c>
      <c r="P451" s="81" t="s">
        <v>1774</v>
      </c>
      <c r="Q451" s="254" t="s">
        <v>673</v>
      </c>
      <c r="R451" s="306" t="s">
        <v>26</v>
      </c>
      <c r="S451" s="298" t="s">
        <v>26</v>
      </c>
      <c r="T451" s="298" t="s">
        <v>26</v>
      </c>
      <c r="U451" s="225" t="s">
        <v>483</v>
      </c>
      <c r="V451" s="251" t="s">
        <v>1785</v>
      </c>
      <c r="W451" s="414" t="s">
        <v>1670</v>
      </c>
      <c r="X451" s="87"/>
      <c r="Y451" s="87"/>
      <c r="Z451" s="87"/>
      <c r="AA451" s="87" t="s">
        <v>377</v>
      </c>
      <c r="AB451" s="87"/>
      <c r="AC451" s="87"/>
    </row>
    <row r="452" spans="1:29" ht="75.75">
      <c r="A452" s="85" t="s">
        <v>920</v>
      </c>
      <c r="B452" s="87" t="s">
        <v>921</v>
      </c>
      <c r="C452" s="80" t="s">
        <v>1211</v>
      </c>
      <c r="D452" s="81" t="s">
        <v>1786</v>
      </c>
      <c r="E452" s="87" t="s">
        <v>325</v>
      </c>
      <c r="F452" s="316" t="s">
        <v>326</v>
      </c>
      <c r="G452" s="424"/>
      <c r="H452" s="426"/>
      <c r="I452" s="271" t="s">
        <v>337</v>
      </c>
      <c r="J452" s="271" t="s">
        <v>337</v>
      </c>
      <c r="K452" s="271" t="s">
        <v>337</v>
      </c>
      <c r="L452" s="248" t="s">
        <v>483</v>
      </c>
      <c r="M452" s="224" t="s">
        <v>24</v>
      </c>
      <c r="N452" s="107" t="s">
        <v>24</v>
      </c>
      <c r="O452" s="107" t="s">
        <v>24</v>
      </c>
      <c r="P452" s="81" t="s">
        <v>1774</v>
      </c>
      <c r="Q452" s="254" t="s">
        <v>673</v>
      </c>
      <c r="R452" s="285" t="s">
        <v>25</v>
      </c>
      <c r="S452" s="245" t="s">
        <v>25</v>
      </c>
      <c r="T452" s="245" t="s">
        <v>25</v>
      </c>
      <c r="U452" s="225" t="s">
        <v>483</v>
      </c>
      <c r="V452" s="289" t="s">
        <v>1787</v>
      </c>
      <c r="W452" s="377"/>
      <c r="X452" s="87"/>
      <c r="Y452" s="87"/>
      <c r="Z452" s="87"/>
      <c r="AA452" s="87" t="s">
        <v>377</v>
      </c>
      <c r="AB452" s="87"/>
      <c r="AC452" s="87"/>
    </row>
    <row r="453" spans="1:29" ht="75.75">
      <c r="A453" s="85" t="s">
        <v>920</v>
      </c>
      <c r="B453" s="87" t="s">
        <v>921</v>
      </c>
      <c r="C453" s="80" t="s">
        <v>1211</v>
      </c>
      <c r="D453" s="81" t="s">
        <v>1788</v>
      </c>
      <c r="E453" s="87" t="s">
        <v>325</v>
      </c>
      <c r="F453" s="316" t="s">
        <v>326</v>
      </c>
      <c r="G453" s="424"/>
      <c r="H453" s="427"/>
      <c r="I453" s="271" t="s">
        <v>337</v>
      </c>
      <c r="J453" s="271" t="s">
        <v>337</v>
      </c>
      <c r="K453" s="271" t="s">
        <v>337</v>
      </c>
      <c r="L453" s="248" t="s">
        <v>483</v>
      </c>
      <c r="M453" s="224" t="s">
        <v>24</v>
      </c>
      <c r="N453" s="107" t="s">
        <v>24</v>
      </c>
      <c r="O453" s="107" t="s">
        <v>24</v>
      </c>
      <c r="P453" s="81" t="s">
        <v>1774</v>
      </c>
      <c r="Q453" s="254" t="s">
        <v>673</v>
      </c>
      <c r="R453" s="285" t="s">
        <v>25</v>
      </c>
      <c r="S453" s="245" t="s">
        <v>25</v>
      </c>
      <c r="T453" s="245" t="s">
        <v>25</v>
      </c>
      <c r="U453" s="225" t="s">
        <v>483</v>
      </c>
      <c r="V453" s="289" t="s">
        <v>1787</v>
      </c>
      <c r="W453" s="377"/>
      <c r="X453" s="87"/>
      <c r="Y453" s="87"/>
      <c r="Z453" s="87"/>
      <c r="AA453" s="87" t="s">
        <v>377</v>
      </c>
      <c r="AB453" s="87"/>
      <c r="AC453" s="87"/>
    </row>
    <row r="454" spans="1:29" ht="75.75">
      <c r="A454" s="85" t="s">
        <v>920</v>
      </c>
      <c r="B454" s="87" t="s">
        <v>820</v>
      </c>
      <c r="C454" s="80" t="s">
        <v>1225</v>
      </c>
      <c r="D454" s="81" t="s">
        <v>1789</v>
      </c>
      <c r="E454" s="87" t="s">
        <v>325</v>
      </c>
      <c r="F454" s="316" t="s">
        <v>477</v>
      </c>
      <c r="G454" s="420" t="s">
        <v>1790</v>
      </c>
      <c r="H454" s="346"/>
      <c r="I454" s="225" t="s">
        <v>311</v>
      </c>
      <c r="J454" s="225" t="s">
        <v>311</v>
      </c>
      <c r="K454" s="225" t="s">
        <v>311</v>
      </c>
      <c r="L454" s="248" t="s">
        <v>483</v>
      </c>
      <c r="M454" s="224" t="s">
        <v>24</v>
      </c>
      <c r="N454" s="107" t="s">
        <v>24</v>
      </c>
      <c r="O454" s="107" t="s">
        <v>24</v>
      </c>
      <c r="P454" s="107" t="s">
        <v>626</v>
      </c>
      <c r="Q454" s="309"/>
      <c r="R454" s="312" t="s">
        <v>24</v>
      </c>
      <c r="S454" s="106" t="s">
        <v>24</v>
      </c>
      <c r="T454" s="106" t="s">
        <v>24</v>
      </c>
      <c r="U454" s="225" t="s">
        <v>329</v>
      </c>
      <c r="V454" s="296" t="s">
        <v>1791</v>
      </c>
      <c r="W454" s="377"/>
      <c r="X454" s="85"/>
      <c r="Y454" s="85"/>
      <c r="Z454" s="85"/>
      <c r="AA454" s="85"/>
      <c r="AB454" s="85"/>
      <c r="AC454" s="85"/>
    </row>
    <row r="455" spans="1:29" ht="108.75" customHeight="1">
      <c r="A455" s="85" t="s">
        <v>920</v>
      </c>
      <c r="B455" s="87" t="s">
        <v>820</v>
      </c>
      <c r="C455" s="80" t="s">
        <v>1225</v>
      </c>
      <c r="D455" s="81" t="s">
        <v>1792</v>
      </c>
      <c r="E455" s="87" t="s">
        <v>325</v>
      </c>
      <c r="F455" s="87" t="s">
        <v>477</v>
      </c>
      <c r="G455" s="421"/>
      <c r="H455" s="256"/>
      <c r="I455" s="225" t="s">
        <v>311</v>
      </c>
      <c r="J455" s="225" t="s">
        <v>311</v>
      </c>
      <c r="K455" s="225" t="s">
        <v>311</v>
      </c>
      <c r="L455" s="248" t="s">
        <v>483</v>
      </c>
      <c r="M455" s="224" t="s">
        <v>24</v>
      </c>
      <c r="N455" s="107" t="s">
        <v>24</v>
      </c>
      <c r="O455" s="107" t="s">
        <v>24</v>
      </c>
      <c r="P455" s="107" t="s">
        <v>626</v>
      </c>
      <c r="Q455" s="309"/>
      <c r="R455" s="306" t="s">
        <v>24</v>
      </c>
      <c r="S455" s="298" t="s">
        <v>24</v>
      </c>
      <c r="T455" s="298" t="s">
        <v>24</v>
      </c>
      <c r="U455" s="225" t="s">
        <v>329</v>
      </c>
      <c r="V455" s="296" t="s">
        <v>1793</v>
      </c>
      <c r="W455" s="377"/>
      <c r="X455" s="85"/>
      <c r="Y455" s="85"/>
      <c r="Z455" s="85"/>
      <c r="AA455" s="85"/>
      <c r="AB455" s="85"/>
      <c r="AC455" s="85"/>
    </row>
    <row r="456" spans="1:29" ht="108.75" customHeight="1">
      <c r="A456" s="85" t="s">
        <v>920</v>
      </c>
      <c r="B456" s="87" t="s">
        <v>820</v>
      </c>
      <c r="C456" s="80" t="s">
        <v>1225</v>
      </c>
      <c r="D456" s="81" t="s">
        <v>1794</v>
      </c>
      <c r="E456" s="87" t="s">
        <v>325</v>
      </c>
      <c r="F456" s="87" t="s">
        <v>477</v>
      </c>
      <c r="G456" s="246" t="s">
        <v>1795</v>
      </c>
      <c r="H456" s="256"/>
      <c r="I456" s="271" t="s">
        <v>337</v>
      </c>
      <c r="J456" s="271" t="s">
        <v>337</v>
      </c>
      <c r="K456" s="271" t="s">
        <v>337</v>
      </c>
      <c r="L456" s="248" t="s">
        <v>483</v>
      </c>
      <c r="M456" s="224" t="s">
        <v>24</v>
      </c>
      <c r="N456" s="107" t="s">
        <v>24</v>
      </c>
      <c r="O456" s="107" t="s">
        <v>24</v>
      </c>
      <c r="P456" s="81" t="s">
        <v>1001</v>
      </c>
      <c r="Q456" s="309"/>
      <c r="R456" s="312" t="s">
        <v>24</v>
      </c>
      <c r="S456" s="106" t="s">
        <v>24</v>
      </c>
      <c r="T456" s="106" t="s">
        <v>24</v>
      </c>
      <c r="U456" s="225" t="s">
        <v>329</v>
      </c>
      <c r="V456" s="251" t="s">
        <v>1796</v>
      </c>
      <c r="W456" s="377"/>
      <c r="X456" s="85"/>
      <c r="Y456" s="85"/>
      <c r="Z456" s="85"/>
      <c r="AA456" s="85"/>
      <c r="AB456" s="85"/>
      <c r="AC456" s="85"/>
    </row>
    <row r="457" spans="1:29" ht="233.25">
      <c r="A457" s="85" t="s">
        <v>920</v>
      </c>
      <c r="B457" s="87" t="s">
        <v>820</v>
      </c>
      <c r="C457" s="80" t="s">
        <v>1225</v>
      </c>
      <c r="D457" s="81" t="s">
        <v>1797</v>
      </c>
      <c r="E457" s="87" t="s">
        <v>325</v>
      </c>
      <c r="F457" s="87" t="s">
        <v>477</v>
      </c>
      <c r="G457" s="420" t="s">
        <v>1798</v>
      </c>
      <c r="H457" s="256"/>
      <c r="I457" s="225" t="s">
        <v>311</v>
      </c>
      <c r="J457" s="225" t="s">
        <v>311</v>
      </c>
      <c r="K457" s="225" t="s">
        <v>311</v>
      </c>
      <c r="L457" s="248" t="s">
        <v>483</v>
      </c>
      <c r="M457" s="224" t="s">
        <v>24</v>
      </c>
      <c r="N457" s="107" t="s">
        <v>24</v>
      </c>
      <c r="O457" s="107" t="s">
        <v>24</v>
      </c>
      <c r="P457" s="81" t="s">
        <v>1001</v>
      </c>
      <c r="Q457" s="309"/>
      <c r="R457" s="312" t="s">
        <v>24</v>
      </c>
      <c r="S457" s="106" t="s">
        <v>24</v>
      </c>
      <c r="T457" s="106" t="s">
        <v>24</v>
      </c>
      <c r="U457" s="225" t="s">
        <v>329</v>
      </c>
      <c r="V457" s="296" t="s">
        <v>1799</v>
      </c>
      <c r="W457" s="377"/>
      <c r="X457" s="85"/>
      <c r="Y457" s="85"/>
      <c r="Z457" s="85"/>
      <c r="AA457" s="85"/>
      <c r="AB457" s="85"/>
      <c r="AC457" s="85"/>
    </row>
    <row r="458" spans="1:29" ht="141.75" customHeight="1">
      <c r="A458" s="85" t="s">
        <v>920</v>
      </c>
      <c r="B458" s="87" t="s">
        <v>820</v>
      </c>
      <c r="C458" s="80" t="s">
        <v>1225</v>
      </c>
      <c r="D458" s="81" t="s">
        <v>1800</v>
      </c>
      <c r="E458" s="87" t="s">
        <v>325</v>
      </c>
      <c r="F458" s="87" t="s">
        <v>477</v>
      </c>
      <c r="G458" s="421"/>
      <c r="H458" s="256"/>
      <c r="I458" s="225" t="s">
        <v>311</v>
      </c>
      <c r="J458" s="225" t="s">
        <v>311</v>
      </c>
      <c r="K458" s="225" t="s">
        <v>311</v>
      </c>
      <c r="L458" s="248" t="s">
        <v>483</v>
      </c>
      <c r="M458" s="224" t="s">
        <v>24</v>
      </c>
      <c r="N458" s="107" t="s">
        <v>24</v>
      </c>
      <c r="O458" s="107" t="s">
        <v>24</v>
      </c>
      <c r="P458" s="81" t="s">
        <v>926</v>
      </c>
      <c r="Q458" s="309"/>
      <c r="R458" s="267" t="s">
        <v>24</v>
      </c>
      <c r="S458" s="107" t="s">
        <v>24</v>
      </c>
      <c r="T458" s="107" t="s">
        <v>24</v>
      </c>
      <c r="U458" s="225" t="s">
        <v>329</v>
      </c>
      <c r="V458" s="268" t="s">
        <v>1801</v>
      </c>
      <c r="W458" s="377"/>
      <c r="X458" s="85"/>
      <c r="Y458" s="85"/>
      <c r="Z458" s="85"/>
      <c r="AA458" s="85"/>
      <c r="AB458" s="85"/>
      <c r="AC458" s="85"/>
    </row>
    <row r="459" spans="1:29" ht="141.75" customHeight="1">
      <c r="A459" s="85" t="s">
        <v>920</v>
      </c>
      <c r="B459" s="87" t="s">
        <v>820</v>
      </c>
      <c r="C459" s="80" t="s">
        <v>1225</v>
      </c>
      <c r="D459" s="81" t="s">
        <v>1802</v>
      </c>
      <c r="E459" s="87" t="s">
        <v>325</v>
      </c>
      <c r="F459" s="87" t="s">
        <v>477</v>
      </c>
      <c r="G459" s="246" t="s">
        <v>1803</v>
      </c>
      <c r="H459" s="308" t="s">
        <v>1804</v>
      </c>
      <c r="I459" s="225" t="s">
        <v>24</v>
      </c>
      <c r="J459" s="225" t="s">
        <v>24</v>
      </c>
      <c r="K459" s="248" t="s">
        <v>24</v>
      </c>
      <c r="L459" s="248" t="s">
        <v>483</v>
      </c>
      <c r="M459" s="283" t="s">
        <v>24</v>
      </c>
      <c r="N459" s="106" t="s">
        <v>24</v>
      </c>
      <c r="O459" s="106" t="s">
        <v>24</v>
      </c>
      <c r="P459" s="106"/>
      <c r="Q459" s="309"/>
      <c r="R459" s="312" t="s">
        <v>24</v>
      </c>
      <c r="S459" s="106" t="s">
        <v>24</v>
      </c>
      <c r="T459" s="106" t="s">
        <v>24</v>
      </c>
      <c r="U459" s="225" t="s">
        <v>483</v>
      </c>
      <c r="V459" s="251"/>
      <c r="W459" s="377"/>
      <c r="X459" s="85"/>
      <c r="Y459" s="85"/>
      <c r="Z459" s="85"/>
      <c r="AA459" s="85"/>
      <c r="AB459" s="85"/>
      <c r="AC459" s="85"/>
    </row>
    <row r="460" spans="1:29" ht="409.6">
      <c r="A460" s="85" t="s">
        <v>920</v>
      </c>
      <c r="B460" s="87" t="s">
        <v>921</v>
      </c>
      <c r="C460" s="347" t="s">
        <v>1805</v>
      </c>
      <c r="D460" s="81" t="s">
        <v>1806</v>
      </c>
      <c r="E460" s="87" t="s">
        <v>325</v>
      </c>
      <c r="F460" s="87" t="s">
        <v>326</v>
      </c>
      <c r="G460" s="259"/>
      <c r="H460" s="256"/>
      <c r="I460" s="271" t="s">
        <v>337</v>
      </c>
      <c r="J460" s="271" t="s">
        <v>337</v>
      </c>
      <c r="K460" s="293" t="s">
        <v>337</v>
      </c>
      <c r="L460" s="248" t="s">
        <v>483</v>
      </c>
      <c r="M460" s="283" t="s">
        <v>24</v>
      </c>
      <c r="N460" s="106" t="s">
        <v>24</v>
      </c>
      <c r="O460" s="106" t="s">
        <v>24</v>
      </c>
      <c r="P460" s="81" t="s">
        <v>1807</v>
      </c>
      <c r="Q460" s="309"/>
      <c r="R460" s="312" t="s">
        <v>24</v>
      </c>
      <c r="S460" s="106" t="s">
        <v>24</v>
      </c>
      <c r="T460" s="106" t="s">
        <v>24</v>
      </c>
      <c r="U460" s="225" t="s">
        <v>329</v>
      </c>
      <c r="V460" s="251" t="s">
        <v>1808</v>
      </c>
      <c r="W460" s="377"/>
      <c r="X460" s="85"/>
      <c r="Y460" s="85"/>
      <c r="Z460" s="85"/>
      <c r="AA460" s="85"/>
      <c r="AB460" s="85"/>
      <c r="AC460" s="85"/>
    </row>
    <row r="461" spans="1:29" ht="247.5">
      <c r="A461" s="85" t="s">
        <v>920</v>
      </c>
      <c r="B461" s="87" t="s">
        <v>921</v>
      </c>
      <c r="C461" s="80" t="s">
        <v>1809</v>
      </c>
      <c r="D461" s="81" t="s">
        <v>1810</v>
      </c>
      <c r="E461" s="87" t="s">
        <v>325</v>
      </c>
      <c r="F461" s="87" t="s">
        <v>326</v>
      </c>
      <c r="G461" s="259"/>
      <c r="H461" s="256"/>
      <c r="I461" s="225" t="s">
        <v>24</v>
      </c>
      <c r="J461" s="225" t="s">
        <v>24</v>
      </c>
      <c r="K461" s="248" t="s">
        <v>24</v>
      </c>
      <c r="L461" s="248" t="s">
        <v>483</v>
      </c>
      <c r="M461" s="283" t="s">
        <v>24</v>
      </c>
      <c r="N461" s="106" t="s">
        <v>24</v>
      </c>
      <c r="O461" s="106" t="s">
        <v>24</v>
      </c>
      <c r="P461" s="81" t="s">
        <v>1811</v>
      </c>
      <c r="Q461" s="250"/>
      <c r="R461" s="312" t="s">
        <v>24</v>
      </c>
      <c r="S461" s="106" t="s">
        <v>24</v>
      </c>
      <c r="T461" s="106" t="s">
        <v>24</v>
      </c>
      <c r="U461" s="225" t="s">
        <v>329</v>
      </c>
      <c r="V461" s="251" t="s">
        <v>1812</v>
      </c>
      <c r="W461" s="377"/>
      <c r="X461" s="85"/>
      <c r="Y461" s="85"/>
      <c r="Z461" s="85"/>
      <c r="AA461" s="85"/>
      <c r="AB461" s="85"/>
      <c r="AC461" s="85"/>
    </row>
    <row r="462" spans="1:29" ht="247.5">
      <c r="A462" s="85" t="s">
        <v>1515</v>
      </c>
      <c r="B462" s="87" t="s">
        <v>921</v>
      </c>
      <c r="C462" s="80" t="s">
        <v>1813</v>
      </c>
      <c r="D462" s="81" t="s">
        <v>1814</v>
      </c>
      <c r="E462" s="87" t="s">
        <v>325</v>
      </c>
      <c r="F462" s="87" t="s">
        <v>477</v>
      </c>
      <c r="G462" s="246" t="s">
        <v>1815</v>
      </c>
      <c r="H462" s="256" t="s">
        <v>1816</v>
      </c>
      <c r="I462" s="225" t="s">
        <v>24</v>
      </c>
      <c r="J462" s="225" t="s">
        <v>24</v>
      </c>
      <c r="K462" s="248" t="s">
        <v>24</v>
      </c>
      <c r="L462" s="248" t="s">
        <v>483</v>
      </c>
      <c r="M462" s="224" t="s">
        <v>24</v>
      </c>
      <c r="N462" s="107" t="s">
        <v>24</v>
      </c>
      <c r="O462" s="107" t="s">
        <v>24</v>
      </c>
      <c r="P462" s="107" t="s">
        <v>626</v>
      </c>
      <c r="Q462" s="309"/>
      <c r="R462" s="312" t="s">
        <v>24</v>
      </c>
      <c r="S462" s="106" t="s">
        <v>24</v>
      </c>
      <c r="T462" s="106" t="s">
        <v>24</v>
      </c>
      <c r="U462" s="225" t="s">
        <v>483</v>
      </c>
      <c r="V462" s="251"/>
      <c r="W462" s="377"/>
      <c r="X462" s="85"/>
      <c r="Y462" s="85"/>
      <c r="Z462" s="85"/>
      <c r="AA462" s="85"/>
      <c r="AB462" s="85"/>
      <c r="AC462" s="85"/>
    </row>
    <row r="463" spans="1:29" ht="371.25">
      <c r="A463" s="85" t="s">
        <v>1515</v>
      </c>
      <c r="B463" s="87" t="s">
        <v>921</v>
      </c>
      <c r="C463" s="80" t="s">
        <v>1817</v>
      </c>
      <c r="D463" s="81" t="s">
        <v>1818</v>
      </c>
      <c r="E463" s="87" t="s">
        <v>325</v>
      </c>
      <c r="F463" s="87" t="s">
        <v>477</v>
      </c>
      <c r="G463" s="246" t="s">
        <v>1819</v>
      </c>
      <c r="H463" s="348" t="s">
        <v>1820</v>
      </c>
      <c r="I463" s="225" t="s">
        <v>24</v>
      </c>
      <c r="J463" s="225" t="s">
        <v>24</v>
      </c>
      <c r="K463" s="248" t="s">
        <v>24</v>
      </c>
      <c r="L463" s="248" t="s">
        <v>483</v>
      </c>
      <c r="M463" s="283" t="s">
        <v>24</v>
      </c>
      <c r="N463" s="106" t="s">
        <v>24</v>
      </c>
      <c r="O463" s="106" t="s">
        <v>24</v>
      </c>
      <c r="P463" s="106"/>
      <c r="Q463" s="309"/>
      <c r="R463" s="312" t="s">
        <v>24</v>
      </c>
      <c r="S463" s="106" t="s">
        <v>24</v>
      </c>
      <c r="T463" s="106" t="s">
        <v>24</v>
      </c>
      <c r="U463" s="225" t="s">
        <v>483</v>
      </c>
      <c r="V463" s="251"/>
      <c r="W463" s="377"/>
      <c r="X463" s="85"/>
      <c r="Y463" s="85"/>
      <c r="Z463" s="85"/>
      <c r="AA463" s="85"/>
      <c r="AB463" s="85"/>
      <c r="AC463" s="85"/>
    </row>
    <row r="464" spans="1:29" ht="409.6">
      <c r="A464" s="85" t="s">
        <v>1515</v>
      </c>
      <c r="B464" s="87" t="s">
        <v>921</v>
      </c>
      <c r="C464" s="80" t="s">
        <v>1821</v>
      </c>
      <c r="D464" s="81" t="s">
        <v>1822</v>
      </c>
      <c r="E464" s="87" t="s">
        <v>325</v>
      </c>
      <c r="F464" s="87" t="s">
        <v>477</v>
      </c>
      <c r="G464" s="259"/>
      <c r="H464" s="256" t="s">
        <v>1823</v>
      </c>
      <c r="I464" s="225" t="s">
        <v>311</v>
      </c>
      <c r="J464" s="225" t="s">
        <v>311</v>
      </c>
      <c r="K464" s="225" t="s">
        <v>311</v>
      </c>
      <c r="L464" s="248"/>
      <c r="M464" s="283" t="s">
        <v>24</v>
      </c>
      <c r="N464" s="106" t="s">
        <v>24</v>
      </c>
      <c r="O464" s="106" t="s">
        <v>24</v>
      </c>
      <c r="P464" s="106"/>
      <c r="Q464" s="309"/>
      <c r="R464" s="288" t="s">
        <v>25</v>
      </c>
      <c r="S464" s="104" t="s">
        <v>25</v>
      </c>
      <c r="T464" s="104" t="s">
        <v>25</v>
      </c>
      <c r="U464" s="225" t="s">
        <v>329</v>
      </c>
      <c r="V464" s="251" t="s">
        <v>1824</v>
      </c>
      <c r="W464" s="377"/>
      <c r="X464" s="87" t="s">
        <v>377</v>
      </c>
      <c r="Y464" s="87"/>
      <c r="Z464" s="87"/>
      <c r="AA464" s="87"/>
      <c r="AB464" s="87"/>
      <c r="AC464" s="87"/>
    </row>
    <row r="465" spans="1:29" ht="14.25">
      <c r="A465" s="85" t="s">
        <v>1515</v>
      </c>
      <c r="B465" s="87" t="s">
        <v>921</v>
      </c>
      <c r="C465" s="80" t="s">
        <v>1825</v>
      </c>
      <c r="D465" s="81" t="s">
        <v>1826</v>
      </c>
      <c r="E465" s="87" t="s">
        <v>325</v>
      </c>
      <c r="F465" s="87" t="s">
        <v>477</v>
      </c>
      <c r="G465" s="320" t="s">
        <v>1827</v>
      </c>
      <c r="H465" s="348" t="s">
        <v>1828</v>
      </c>
      <c r="I465" s="225" t="s">
        <v>24</v>
      </c>
      <c r="J465" s="225" t="s">
        <v>24</v>
      </c>
      <c r="K465" s="248" t="s">
        <v>24</v>
      </c>
      <c r="L465" s="248" t="s">
        <v>483</v>
      </c>
      <c r="M465" s="283" t="s">
        <v>24</v>
      </c>
      <c r="N465" s="106" t="s">
        <v>24</v>
      </c>
      <c r="O465" s="106" t="s">
        <v>24</v>
      </c>
      <c r="P465" s="106"/>
      <c r="Q465" s="309"/>
      <c r="R465" s="312" t="s">
        <v>24</v>
      </c>
      <c r="S465" s="106" t="s">
        <v>24</v>
      </c>
      <c r="T465" s="106" t="s">
        <v>24</v>
      </c>
      <c r="U465" s="225" t="s">
        <v>483</v>
      </c>
      <c r="V465" s="251" t="s">
        <v>1829</v>
      </c>
      <c r="W465" s="377"/>
      <c r="X465" s="85"/>
      <c r="Y465" s="85"/>
      <c r="Z465" s="85"/>
      <c r="AA465" s="85"/>
      <c r="AB465" s="85"/>
      <c r="AC465" s="85"/>
    </row>
    <row r="466" spans="1:29" ht="409.6">
      <c r="A466" s="85" t="s">
        <v>920</v>
      </c>
      <c r="B466" s="87" t="s">
        <v>921</v>
      </c>
      <c r="C466" s="80" t="s">
        <v>1830</v>
      </c>
      <c r="D466" s="81" t="s">
        <v>1831</v>
      </c>
      <c r="E466" s="245" t="s">
        <v>27</v>
      </c>
      <c r="F466" s="87" t="s">
        <v>317</v>
      </c>
      <c r="G466" s="259"/>
      <c r="H466" s="256"/>
      <c r="I466" s="335" t="s">
        <v>317</v>
      </c>
      <c r="J466" s="335" t="s">
        <v>317</v>
      </c>
      <c r="K466" s="335" t="s">
        <v>317</v>
      </c>
      <c r="L466" s="248"/>
      <c r="M466" s="283" t="s">
        <v>24</v>
      </c>
      <c r="N466" s="106" t="s">
        <v>24</v>
      </c>
      <c r="O466" s="106" t="s">
        <v>24</v>
      </c>
      <c r="P466" s="106"/>
      <c r="Q466" s="309"/>
      <c r="R466" s="215" t="s">
        <v>27</v>
      </c>
      <c r="S466" s="215" t="s">
        <v>27</v>
      </c>
      <c r="T466" s="215" t="s">
        <v>27</v>
      </c>
      <c r="U466" s="225"/>
      <c r="V466" s="251"/>
      <c r="W466" s="377"/>
      <c r="X466" s="85"/>
      <c r="Y466" s="85"/>
      <c r="Z466" s="85"/>
      <c r="AA466" s="85"/>
      <c r="AB466" s="85"/>
      <c r="AC466" s="85"/>
    </row>
    <row r="467" spans="1:29" ht="14.25">
      <c r="A467" s="85" t="s">
        <v>920</v>
      </c>
      <c r="B467" s="87" t="s">
        <v>921</v>
      </c>
      <c r="C467" s="80" t="s">
        <v>1832</v>
      </c>
      <c r="D467" s="81" t="s">
        <v>1833</v>
      </c>
      <c r="E467" s="87" t="s">
        <v>325</v>
      </c>
      <c r="F467" s="87" t="s">
        <v>477</v>
      </c>
      <c r="G467" s="259"/>
      <c r="H467" s="256"/>
      <c r="I467" s="225" t="s">
        <v>24</v>
      </c>
      <c r="J467" s="225" t="s">
        <v>24</v>
      </c>
      <c r="K467" s="248" t="s">
        <v>24</v>
      </c>
      <c r="L467" s="248" t="s">
        <v>483</v>
      </c>
      <c r="M467" s="283" t="s">
        <v>24</v>
      </c>
      <c r="N467" s="106" t="s">
        <v>24</v>
      </c>
      <c r="O467" s="106" t="s">
        <v>24</v>
      </c>
      <c r="P467" s="225"/>
      <c r="Q467" s="250"/>
      <c r="R467" s="215" t="s">
        <v>24</v>
      </c>
      <c r="S467" s="225" t="s">
        <v>24</v>
      </c>
      <c r="T467" s="225" t="s">
        <v>24</v>
      </c>
      <c r="U467" s="225" t="s">
        <v>483</v>
      </c>
      <c r="V467" s="251" t="s">
        <v>1663</v>
      </c>
      <c r="W467" s="377"/>
      <c r="X467" s="85"/>
      <c r="Y467" s="85"/>
      <c r="Z467" s="85"/>
      <c r="AA467" s="85"/>
      <c r="AB467" s="85"/>
      <c r="AC467" s="85"/>
    </row>
    <row r="468" spans="1:29" ht="14.25">
      <c r="A468" s="85" t="s">
        <v>1834</v>
      </c>
      <c r="B468" s="87" t="s">
        <v>921</v>
      </c>
      <c r="C468" s="80" t="s">
        <v>1835</v>
      </c>
      <c r="D468" s="81" t="s">
        <v>1836</v>
      </c>
      <c r="E468" s="245" t="s">
        <v>27</v>
      </c>
      <c r="F468" s="87" t="s">
        <v>317</v>
      </c>
      <c r="G468" s="259"/>
      <c r="H468" s="256"/>
      <c r="I468" s="335" t="s">
        <v>317</v>
      </c>
      <c r="J468" s="335" t="s">
        <v>317</v>
      </c>
      <c r="K468" s="335" t="s">
        <v>317</v>
      </c>
      <c r="L468" s="248"/>
      <c r="M468" s="249"/>
      <c r="N468" s="225"/>
      <c r="O468" s="225"/>
      <c r="P468" s="225"/>
      <c r="Q468" s="250"/>
      <c r="R468" s="215" t="s">
        <v>27</v>
      </c>
      <c r="S468" s="215" t="s">
        <v>27</v>
      </c>
      <c r="T468" s="215" t="s">
        <v>27</v>
      </c>
      <c r="U468" s="225"/>
      <c r="V468" s="251"/>
      <c r="W468" s="377"/>
      <c r="X468" s="85"/>
      <c r="Y468" s="85"/>
      <c r="Z468" s="85"/>
      <c r="AA468" s="85"/>
      <c r="AB468" s="85"/>
      <c r="AC468" s="85"/>
    </row>
    <row r="469" spans="1:29" ht="27">
      <c r="A469" s="85" t="s">
        <v>1837</v>
      </c>
      <c r="B469" s="87" t="s">
        <v>921</v>
      </c>
      <c r="C469" s="80" t="s">
        <v>1388</v>
      </c>
      <c r="D469" s="81" t="s">
        <v>1838</v>
      </c>
      <c r="E469" s="245" t="s">
        <v>27</v>
      </c>
      <c r="F469" s="87" t="s">
        <v>317</v>
      </c>
      <c r="G469" s="259"/>
      <c r="H469" s="256"/>
      <c r="I469" s="335" t="s">
        <v>317</v>
      </c>
      <c r="J469" s="335" t="s">
        <v>317</v>
      </c>
      <c r="K469" s="335" t="s">
        <v>317</v>
      </c>
      <c r="L469" s="248"/>
      <c r="M469" s="249"/>
      <c r="N469" s="225"/>
      <c r="O469" s="225"/>
      <c r="P469" s="225"/>
      <c r="Q469" s="250"/>
      <c r="R469" s="215" t="s">
        <v>27</v>
      </c>
      <c r="S469" s="215" t="s">
        <v>27</v>
      </c>
      <c r="T469" s="215" t="s">
        <v>27</v>
      </c>
      <c r="U469" s="225"/>
      <c r="V469" s="251"/>
      <c r="W469" s="377"/>
      <c r="X469" s="85"/>
      <c r="Y469" s="85"/>
      <c r="Z469" s="85"/>
      <c r="AA469" s="85"/>
      <c r="AB469" s="85"/>
      <c r="AC469" s="85"/>
    </row>
    <row r="470" spans="1:29" ht="27">
      <c r="A470" s="85" t="s">
        <v>1837</v>
      </c>
      <c r="B470" s="87" t="s">
        <v>921</v>
      </c>
      <c r="C470" s="80" t="s">
        <v>1839</v>
      </c>
      <c r="D470" s="81" t="s">
        <v>1840</v>
      </c>
      <c r="E470" s="245" t="s">
        <v>27</v>
      </c>
      <c r="F470" s="87" t="s">
        <v>317</v>
      </c>
      <c r="G470" s="259"/>
      <c r="H470" s="256"/>
      <c r="I470" s="335" t="s">
        <v>317</v>
      </c>
      <c r="J470" s="335" t="s">
        <v>317</v>
      </c>
      <c r="K470" s="335" t="s">
        <v>317</v>
      </c>
      <c r="L470" s="248"/>
      <c r="M470" s="249"/>
      <c r="N470" s="225"/>
      <c r="O470" s="225"/>
      <c r="P470" s="225"/>
      <c r="Q470" s="250"/>
      <c r="R470" s="215" t="s">
        <v>27</v>
      </c>
      <c r="S470" s="215" t="s">
        <v>27</v>
      </c>
      <c r="T470" s="215" t="s">
        <v>27</v>
      </c>
      <c r="U470" s="225"/>
      <c r="V470" s="251"/>
      <c r="W470" s="377"/>
      <c r="X470" s="85"/>
      <c r="Y470" s="85"/>
      <c r="Z470" s="85"/>
      <c r="AA470" s="85"/>
      <c r="AB470" s="85"/>
      <c r="AC470" s="85"/>
    </row>
    <row r="471" spans="1:29" ht="27">
      <c r="A471" s="85" t="s">
        <v>1841</v>
      </c>
      <c r="B471" s="87" t="s">
        <v>921</v>
      </c>
      <c r="C471" s="80" t="s">
        <v>1759</v>
      </c>
      <c r="D471" s="81" t="s">
        <v>1842</v>
      </c>
      <c r="E471" s="245" t="s">
        <v>27</v>
      </c>
      <c r="F471" s="87" t="s">
        <v>317</v>
      </c>
      <c r="G471" s="259"/>
      <c r="H471" s="256"/>
      <c r="I471" s="335" t="s">
        <v>317</v>
      </c>
      <c r="J471" s="335" t="s">
        <v>317</v>
      </c>
      <c r="K471" s="335" t="s">
        <v>317</v>
      </c>
      <c r="L471" s="248"/>
      <c r="M471" s="249"/>
      <c r="N471" s="225"/>
      <c r="O471" s="225"/>
      <c r="P471" s="225"/>
      <c r="Q471" s="250"/>
      <c r="R471" s="215" t="s">
        <v>27</v>
      </c>
      <c r="S471" s="215" t="s">
        <v>27</v>
      </c>
      <c r="T471" s="215" t="s">
        <v>27</v>
      </c>
      <c r="U471" s="225"/>
      <c r="V471" s="251"/>
      <c r="W471" s="377"/>
      <c r="X471" s="85"/>
      <c r="Y471" s="85"/>
      <c r="Z471" s="85"/>
      <c r="AA471" s="85"/>
      <c r="AB471" s="85"/>
      <c r="AC471" s="85"/>
    </row>
    <row r="472" spans="1:29" ht="27">
      <c r="A472" s="85" t="s">
        <v>1841</v>
      </c>
      <c r="B472" s="87" t="s">
        <v>921</v>
      </c>
      <c r="C472" s="80" t="s">
        <v>1388</v>
      </c>
      <c r="D472" s="81" t="s">
        <v>1843</v>
      </c>
      <c r="E472" s="245" t="s">
        <v>27</v>
      </c>
      <c r="F472" s="87" t="s">
        <v>317</v>
      </c>
      <c r="G472" s="259"/>
      <c r="H472" s="256"/>
      <c r="I472" s="335" t="s">
        <v>317</v>
      </c>
      <c r="J472" s="335" t="s">
        <v>317</v>
      </c>
      <c r="K472" s="335" t="s">
        <v>317</v>
      </c>
      <c r="L472" s="248"/>
      <c r="M472" s="249"/>
      <c r="N472" s="225"/>
      <c r="O472" s="225"/>
      <c r="P472" s="225"/>
      <c r="Q472" s="250"/>
      <c r="R472" s="215" t="s">
        <v>27</v>
      </c>
      <c r="S472" s="215" t="s">
        <v>27</v>
      </c>
      <c r="T472" s="215" t="s">
        <v>27</v>
      </c>
      <c r="U472" s="225"/>
      <c r="V472" s="251"/>
      <c r="W472" s="377"/>
      <c r="X472" s="85"/>
      <c r="Y472" s="85"/>
      <c r="Z472" s="85"/>
      <c r="AA472" s="85"/>
      <c r="AB472" s="85"/>
      <c r="AC472" s="85"/>
    </row>
    <row r="473" spans="1:29" ht="27">
      <c r="A473" s="85" t="s">
        <v>1841</v>
      </c>
      <c r="B473" s="87" t="s">
        <v>921</v>
      </c>
      <c r="C473" s="80" t="s">
        <v>888</v>
      </c>
      <c r="D473" s="81" t="s">
        <v>1844</v>
      </c>
      <c r="E473" s="245" t="s">
        <v>27</v>
      </c>
      <c r="F473" s="87" t="s">
        <v>317</v>
      </c>
      <c r="G473" s="259"/>
      <c r="H473" s="256"/>
      <c r="I473" s="335" t="s">
        <v>317</v>
      </c>
      <c r="J473" s="335" t="s">
        <v>317</v>
      </c>
      <c r="K473" s="335" t="s">
        <v>317</v>
      </c>
      <c r="L473" s="248"/>
      <c r="M473" s="249"/>
      <c r="N473" s="225"/>
      <c r="O473" s="225"/>
      <c r="P473" s="225"/>
      <c r="Q473" s="250"/>
      <c r="R473" s="215" t="s">
        <v>27</v>
      </c>
      <c r="S473" s="215" t="s">
        <v>27</v>
      </c>
      <c r="T473" s="215" t="s">
        <v>27</v>
      </c>
      <c r="U473" s="225"/>
      <c r="V473" s="251"/>
      <c r="W473" s="377"/>
      <c r="X473" s="85"/>
      <c r="Y473" s="85"/>
      <c r="Z473" s="85"/>
      <c r="AA473" s="85"/>
      <c r="AB473" s="85"/>
      <c r="AC473" s="85"/>
    </row>
    <row r="474" spans="1:29" ht="27">
      <c r="A474" s="85" t="s">
        <v>1845</v>
      </c>
      <c r="B474" s="87" t="s">
        <v>921</v>
      </c>
      <c r="C474" s="80" t="s">
        <v>934</v>
      </c>
      <c r="D474" s="81" t="s">
        <v>1846</v>
      </c>
      <c r="E474" s="245" t="s">
        <v>27</v>
      </c>
      <c r="F474" s="87" t="s">
        <v>317</v>
      </c>
      <c r="G474" s="259"/>
      <c r="H474" s="256"/>
      <c r="I474" s="335" t="s">
        <v>317</v>
      </c>
      <c r="J474" s="335" t="s">
        <v>317</v>
      </c>
      <c r="K474" s="335" t="s">
        <v>317</v>
      </c>
      <c r="L474" s="248"/>
      <c r="M474" s="249"/>
      <c r="N474" s="225"/>
      <c r="O474" s="225"/>
      <c r="P474" s="225"/>
      <c r="Q474" s="250"/>
      <c r="R474" s="215" t="s">
        <v>27</v>
      </c>
      <c r="S474" s="215" t="s">
        <v>27</v>
      </c>
      <c r="T474" s="215" t="s">
        <v>27</v>
      </c>
      <c r="U474" s="225"/>
      <c r="V474" s="251"/>
      <c r="W474" s="377"/>
      <c r="X474" s="85"/>
      <c r="Y474" s="85"/>
      <c r="Z474" s="85"/>
      <c r="AA474" s="85"/>
      <c r="AB474" s="85"/>
      <c r="AC474" s="85"/>
    </row>
    <row r="475" spans="1:29" ht="27">
      <c r="A475" s="85" t="s">
        <v>1847</v>
      </c>
      <c r="B475" s="87" t="s">
        <v>921</v>
      </c>
      <c r="C475" s="80" t="s">
        <v>1848</v>
      </c>
      <c r="D475" s="81" t="s">
        <v>1849</v>
      </c>
      <c r="E475" s="245" t="s">
        <v>27</v>
      </c>
      <c r="F475" s="87" t="s">
        <v>317</v>
      </c>
      <c r="G475" s="259"/>
      <c r="H475" s="256"/>
      <c r="I475" s="335" t="s">
        <v>317</v>
      </c>
      <c r="J475" s="335" t="s">
        <v>317</v>
      </c>
      <c r="K475" s="335" t="s">
        <v>317</v>
      </c>
      <c r="L475" s="248"/>
      <c r="M475" s="249"/>
      <c r="N475" s="225"/>
      <c r="O475" s="225"/>
      <c r="P475" s="225"/>
      <c r="Q475" s="250"/>
      <c r="R475" s="215" t="s">
        <v>27</v>
      </c>
      <c r="S475" s="215" t="s">
        <v>27</v>
      </c>
      <c r="T475" s="215" t="s">
        <v>27</v>
      </c>
      <c r="U475" s="225"/>
      <c r="V475" s="251"/>
      <c r="W475" s="377"/>
      <c r="X475" s="85"/>
      <c r="Y475" s="85"/>
      <c r="Z475" s="85"/>
      <c r="AA475" s="85"/>
      <c r="AB475" s="85"/>
      <c r="AC475" s="85"/>
    </row>
    <row r="476" spans="1:29" ht="27">
      <c r="A476" s="85" t="s">
        <v>1847</v>
      </c>
      <c r="B476" s="87" t="s">
        <v>921</v>
      </c>
      <c r="C476" s="80" t="s">
        <v>1850</v>
      </c>
      <c r="D476" s="81" t="s">
        <v>1851</v>
      </c>
      <c r="E476" s="245" t="s">
        <v>27</v>
      </c>
      <c r="F476" s="87" t="s">
        <v>317</v>
      </c>
      <c r="G476" s="259"/>
      <c r="H476" s="256"/>
      <c r="I476" s="335" t="s">
        <v>317</v>
      </c>
      <c r="J476" s="335" t="s">
        <v>317</v>
      </c>
      <c r="K476" s="335" t="s">
        <v>317</v>
      </c>
      <c r="L476" s="248"/>
      <c r="M476" s="249"/>
      <c r="N476" s="225"/>
      <c r="O476" s="225"/>
      <c r="P476" s="225"/>
      <c r="Q476" s="250"/>
      <c r="R476" s="215" t="s">
        <v>27</v>
      </c>
      <c r="S476" s="215" t="s">
        <v>27</v>
      </c>
      <c r="T476" s="215" t="s">
        <v>27</v>
      </c>
      <c r="U476" s="225"/>
      <c r="V476" s="251"/>
      <c r="W476" s="377"/>
      <c r="X476" s="85"/>
      <c r="Y476" s="85"/>
      <c r="Z476" s="85"/>
      <c r="AA476" s="85"/>
      <c r="AB476" s="85"/>
      <c r="AC476" s="85"/>
    </row>
    <row r="477" spans="1:29" ht="27">
      <c r="A477" s="85" t="s">
        <v>1125</v>
      </c>
      <c r="B477" s="87" t="s">
        <v>820</v>
      </c>
      <c r="C477" s="80" t="s">
        <v>1452</v>
      </c>
      <c r="D477" s="81" t="s">
        <v>1852</v>
      </c>
      <c r="E477" s="87" t="s">
        <v>325</v>
      </c>
      <c r="F477" s="87" t="s">
        <v>477</v>
      </c>
      <c r="G477" s="259"/>
      <c r="H477" s="330"/>
      <c r="I477" s="335" t="s">
        <v>28</v>
      </c>
      <c r="J477" s="335" t="s">
        <v>28</v>
      </c>
      <c r="K477" s="335" t="s">
        <v>28</v>
      </c>
      <c r="L477" s="248" t="s">
        <v>483</v>
      </c>
      <c r="M477" s="283" t="s">
        <v>24</v>
      </c>
      <c r="N477" s="106" t="s">
        <v>24</v>
      </c>
      <c r="O477" s="106" t="s">
        <v>24</v>
      </c>
      <c r="P477" s="106"/>
      <c r="Q477" s="309"/>
      <c r="R477" s="312" t="s">
        <v>24</v>
      </c>
      <c r="S477" s="106" t="s">
        <v>24</v>
      </c>
      <c r="T477" s="106" t="s">
        <v>24</v>
      </c>
      <c r="U477" s="225" t="s">
        <v>329</v>
      </c>
      <c r="V477" s="251" t="s">
        <v>1853</v>
      </c>
      <c r="W477" s="377"/>
      <c r="X477" s="85"/>
      <c r="Y477" s="85"/>
      <c r="Z477" s="85"/>
      <c r="AA477" s="85"/>
      <c r="AB477" s="85"/>
      <c r="AC477" s="85"/>
    </row>
    <row r="478" spans="1:29" ht="206.25">
      <c r="A478" s="85" t="s">
        <v>1854</v>
      </c>
      <c r="B478" s="87" t="s">
        <v>820</v>
      </c>
      <c r="C478" s="80" t="s">
        <v>1147</v>
      </c>
      <c r="D478" s="81" t="s">
        <v>1855</v>
      </c>
      <c r="E478" s="87" t="s">
        <v>325</v>
      </c>
      <c r="F478" s="87" t="s">
        <v>477</v>
      </c>
      <c r="G478" s="331" t="s">
        <v>1856</v>
      </c>
      <c r="H478" s="255" t="s">
        <v>1857</v>
      </c>
      <c r="I478" s="225" t="s">
        <v>24</v>
      </c>
      <c r="J478" s="225" t="s">
        <v>24</v>
      </c>
      <c r="K478" s="225" t="s">
        <v>24</v>
      </c>
      <c r="L478" s="248" t="s">
        <v>329</v>
      </c>
      <c r="M478" s="283" t="s">
        <v>24</v>
      </c>
      <c r="N478" s="106" t="s">
        <v>24</v>
      </c>
      <c r="O478" s="106" t="s">
        <v>24</v>
      </c>
      <c r="P478" s="106"/>
      <c r="Q478" s="309"/>
      <c r="R478" s="215" t="s">
        <v>24</v>
      </c>
      <c r="S478" s="225" t="s">
        <v>24</v>
      </c>
      <c r="T478" s="225" t="s">
        <v>24</v>
      </c>
      <c r="U478" s="225" t="s">
        <v>329</v>
      </c>
      <c r="V478" s="251"/>
      <c r="W478" s="377"/>
      <c r="X478" s="85"/>
      <c r="Y478" s="85"/>
      <c r="Z478" s="85"/>
      <c r="AA478" s="85"/>
      <c r="AB478" s="85"/>
      <c r="AC478" s="85"/>
    </row>
    <row r="479" spans="1:29" ht="409.6">
      <c r="A479" s="85" t="s">
        <v>1854</v>
      </c>
      <c r="B479" s="87" t="s">
        <v>820</v>
      </c>
      <c r="C479" s="80" t="s">
        <v>1149</v>
      </c>
      <c r="D479" s="81" t="s">
        <v>1858</v>
      </c>
      <c r="E479" s="87" t="s">
        <v>325</v>
      </c>
      <c r="F479" s="87" t="s">
        <v>477</v>
      </c>
      <c r="G479" s="331" t="s">
        <v>1859</v>
      </c>
      <c r="H479" s="81" t="s">
        <v>1860</v>
      </c>
      <c r="I479" s="225" t="s">
        <v>24</v>
      </c>
      <c r="J479" s="225" t="s">
        <v>24</v>
      </c>
      <c r="K479" s="225" t="s">
        <v>24</v>
      </c>
      <c r="L479" s="248" t="s">
        <v>329</v>
      </c>
      <c r="M479" s="283" t="s">
        <v>24</v>
      </c>
      <c r="N479" s="106" t="s">
        <v>24</v>
      </c>
      <c r="O479" s="106" t="s">
        <v>24</v>
      </c>
      <c r="P479" s="106"/>
      <c r="Q479" s="309"/>
      <c r="R479" s="215" t="s">
        <v>24</v>
      </c>
      <c r="S479" s="225" t="s">
        <v>24</v>
      </c>
      <c r="T479" s="225" t="s">
        <v>24</v>
      </c>
      <c r="U479" s="225" t="s">
        <v>329</v>
      </c>
      <c r="V479" s="251"/>
      <c r="W479" s="377"/>
      <c r="X479" s="85"/>
      <c r="Y479" s="85"/>
      <c r="Z479" s="85"/>
      <c r="AA479" s="85"/>
      <c r="AB479" s="85"/>
      <c r="AC479" s="85"/>
    </row>
    <row r="480" spans="1:29" ht="409.6">
      <c r="A480" s="85" t="s">
        <v>1854</v>
      </c>
      <c r="B480" s="87" t="s">
        <v>820</v>
      </c>
      <c r="C480" s="80" t="s">
        <v>1151</v>
      </c>
      <c r="D480" s="81" t="s">
        <v>1861</v>
      </c>
      <c r="E480" s="87" t="s">
        <v>325</v>
      </c>
      <c r="F480" s="87" t="s">
        <v>477</v>
      </c>
      <c r="G480" s="246" t="s">
        <v>1862</v>
      </c>
      <c r="H480" s="255" t="s">
        <v>1863</v>
      </c>
      <c r="I480" s="225" t="s">
        <v>24</v>
      </c>
      <c r="J480" s="225" t="s">
        <v>24</v>
      </c>
      <c r="K480" s="225" t="s">
        <v>24</v>
      </c>
      <c r="L480" s="248" t="s">
        <v>329</v>
      </c>
      <c r="M480" s="283" t="s">
        <v>24</v>
      </c>
      <c r="N480" s="106" t="s">
        <v>24</v>
      </c>
      <c r="O480" s="106" t="s">
        <v>24</v>
      </c>
      <c r="P480" s="106"/>
      <c r="Q480" s="309"/>
      <c r="R480" s="215" t="s">
        <v>24</v>
      </c>
      <c r="S480" s="225" t="s">
        <v>24</v>
      </c>
      <c r="T480" s="225" t="s">
        <v>24</v>
      </c>
      <c r="U480" s="225" t="s">
        <v>329</v>
      </c>
      <c r="V480" s="251"/>
      <c r="W480" s="377"/>
      <c r="X480" s="85"/>
      <c r="Y480" s="85"/>
      <c r="Z480" s="85"/>
      <c r="AA480" s="85"/>
      <c r="AB480" s="85"/>
      <c r="AC480" s="85"/>
    </row>
    <row r="481" spans="1:29" ht="409.6">
      <c r="A481" s="85" t="s">
        <v>1854</v>
      </c>
      <c r="B481" s="87" t="s">
        <v>820</v>
      </c>
      <c r="C481" s="80" t="s">
        <v>1153</v>
      </c>
      <c r="D481" s="81" t="s">
        <v>1864</v>
      </c>
      <c r="E481" s="87" t="s">
        <v>325</v>
      </c>
      <c r="F481" s="87" t="s">
        <v>477</v>
      </c>
      <c r="G481" s="246" t="s">
        <v>1865</v>
      </c>
      <c r="H481" s="255" t="s">
        <v>1866</v>
      </c>
      <c r="I481" s="225" t="s">
        <v>24</v>
      </c>
      <c r="J481" s="225" t="s">
        <v>24</v>
      </c>
      <c r="K481" s="225" t="s">
        <v>24</v>
      </c>
      <c r="L481" s="248" t="s">
        <v>329</v>
      </c>
      <c r="M481" s="283" t="s">
        <v>24</v>
      </c>
      <c r="N481" s="106" t="s">
        <v>24</v>
      </c>
      <c r="O481" s="106" t="s">
        <v>24</v>
      </c>
      <c r="P481" s="106"/>
      <c r="Q481" s="309"/>
      <c r="R481" s="215" t="s">
        <v>24</v>
      </c>
      <c r="S481" s="225" t="s">
        <v>24</v>
      </c>
      <c r="T481" s="225" t="s">
        <v>24</v>
      </c>
      <c r="U481" s="225" t="s">
        <v>329</v>
      </c>
      <c r="V481" s="251"/>
      <c r="W481" s="377"/>
      <c r="X481" s="85"/>
      <c r="Y481" s="85"/>
      <c r="Z481" s="85"/>
      <c r="AA481" s="85"/>
      <c r="AB481" s="85"/>
      <c r="AC481" s="85"/>
    </row>
    <row r="482" spans="1:29" ht="409.6">
      <c r="A482" s="85" t="s">
        <v>1867</v>
      </c>
      <c r="B482" s="87" t="s">
        <v>820</v>
      </c>
      <c r="C482" s="80" t="s">
        <v>1147</v>
      </c>
      <c r="D482" s="81" t="s">
        <v>1868</v>
      </c>
      <c r="E482" s="87" t="s">
        <v>325</v>
      </c>
      <c r="F482" s="87" t="s">
        <v>477</v>
      </c>
      <c r="G482" s="246" t="s">
        <v>1869</v>
      </c>
      <c r="H482" s="255" t="s">
        <v>1870</v>
      </c>
      <c r="I482" s="271" t="s">
        <v>24</v>
      </c>
      <c r="J482" s="271" t="s">
        <v>24</v>
      </c>
      <c r="K482" s="271" t="s">
        <v>24</v>
      </c>
      <c r="L482" s="248" t="s">
        <v>329</v>
      </c>
      <c r="M482" s="283" t="s">
        <v>24</v>
      </c>
      <c r="N482" s="106" t="s">
        <v>24</v>
      </c>
      <c r="O482" s="106" t="s">
        <v>24</v>
      </c>
      <c r="P482" s="106"/>
      <c r="Q482" s="309"/>
      <c r="R482" s="215" t="s">
        <v>24</v>
      </c>
      <c r="S482" s="225" t="s">
        <v>24</v>
      </c>
      <c r="T482" s="225" t="s">
        <v>24</v>
      </c>
      <c r="U482" s="225" t="s">
        <v>329</v>
      </c>
      <c r="V482" s="251" t="s">
        <v>1871</v>
      </c>
      <c r="W482" s="377"/>
      <c r="X482" s="85"/>
      <c r="Y482" s="85"/>
      <c r="Z482" s="85"/>
      <c r="AA482" s="85"/>
      <c r="AB482" s="85"/>
      <c r="AC482" s="85"/>
    </row>
    <row r="483" spans="1:29" ht="409.6">
      <c r="A483" s="85" t="s">
        <v>1867</v>
      </c>
      <c r="B483" s="87" t="s">
        <v>820</v>
      </c>
      <c r="C483" s="80" t="s">
        <v>1149</v>
      </c>
      <c r="D483" s="81" t="s">
        <v>1872</v>
      </c>
      <c r="E483" s="87" t="s">
        <v>325</v>
      </c>
      <c r="F483" s="87" t="s">
        <v>477</v>
      </c>
      <c r="G483" s="246" t="s">
        <v>1873</v>
      </c>
      <c r="H483" s="255" t="s">
        <v>1874</v>
      </c>
      <c r="I483" s="271" t="s">
        <v>24</v>
      </c>
      <c r="J483" s="271" t="s">
        <v>24</v>
      </c>
      <c r="K483" s="271" t="s">
        <v>24</v>
      </c>
      <c r="L483" s="248" t="s">
        <v>329</v>
      </c>
      <c r="M483" s="283" t="s">
        <v>24</v>
      </c>
      <c r="N483" s="106" t="s">
        <v>24</v>
      </c>
      <c r="O483" s="106" t="s">
        <v>24</v>
      </c>
      <c r="P483" s="106"/>
      <c r="Q483" s="309"/>
      <c r="R483" s="215" t="s">
        <v>24</v>
      </c>
      <c r="S483" s="225" t="s">
        <v>24</v>
      </c>
      <c r="T483" s="225" t="s">
        <v>24</v>
      </c>
      <c r="U483" s="225" t="s">
        <v>329</v>
      </c>
      <c r="V483" s="251" t="s">
        <v>1875</v>
      </c>
      <c r="W483" s="377"/>
      <c r="X483" s="85"/>
      <c r="Y483" s="85"/>
      <c r="Z483" s="85"/>
      <c r="AA483" s="85"/>
      <c r="AB483" s="85"/>
      <c r="AC483" s="85"/>
    </row>
    <row r="484" spans="1:29" ht="409.6">
      <c r="A484" s="85" t="s">
        <v>1867</v>
      </c>
      <c r="B484" s="87" t="s">
        <v>820</v>
      </c>
      <c r="C484" s="80" t="s">
        <v>1151</v>
      </c>
      <c r="D484" s="81" t="s">
        <v>1876</v>
      </c>
      <c r="E484" s="87" t="s">
        <v>325</v>
      </c>
      <c r="F484" s="87" t="s">
        <v>477</v>
      </c>
      <c r="G484" s="246" t="s">
        <v>1877</v>
      </c>
      <c r="H484" s="255" t="s">
        <v>1878</v>
      </c>
      <c r="I484" s="271" t="s">
        <v>24</v>
      </c>
      <c r="J484" s="271" t="s">
        <v>24</v>
      </c>
      <c r="K484" s="271" t="s">
        <v>24</v>
      </c>
      <c r="L484" s="248" t="s">
        <v>329</v>
      </c>
      <c r="M484" s="283" t="s">
        <v>24</v>
      </c>
      <c r="N484" s="106" t="s">
        <v>24</v>
      </c>
      <c r="O484" s="106" t="s">
        <v>24</v>
      </c>
      <c r="P484" s="106"/>
      <c r="Q484" s="309"/>
      <c r="R484" s="215" t="s">
        <v>24</v>
      </c>
      <c r="S484" s="225" t="s">
        <v>24</v>
      </c>
      <c r="T484" s="225" t="s">
        <v>24</v>
      </c>
      <c r="U484" s="225" t="s">
        <v>329</v>
      </c>
      <c r="V484" s="251" t="s">
        <v>1875</v>
      </c>
      <c r="W484" s="377"/>
      <c r="X484" s="85"/>
      <c r="Y484" s="85"/>
      <c r="Z484" s="85"/>
      <c r="AA484" s="85"/>
      <c r="AB484" s="85"/>
      <c r="AC484" s="85"/>
    </row>
    <row r="485" spans="1:29" ht="409.6">
      <c r="A485" s="85" t="s">
        <v>1867</v>
      </c>
      <c r="B485" s="87" t="s">
        <v>820</v>
      </c>
      <c r="C485" s="80" t="s">
        <v>1153</v>
      </c>
      <c r="D485" s="81" t="s">
        <v>1879</v>
      </c>
      <c r="E485" s="87" t="s">
        <v>325</v>
      </c>
      <c r="F485" s="87" t="s">
        <v>477</v>
      </c>
      <c r="G485" s="246" t="s">
        <v>1880</v>
      </c>
      <c r="H485" s="255" t="s">
        <v>1881</v>
      </c>
      <c r="I485" s="271" t="s">
        <v>24</v>
      </c>
      <c r="J485" s="271" t="s">
        <v>24</v>
      </c>
      <c r="K485" s="271" t="s">
        <v>24</v>
      </c>
      <c r="L485" s="248" t="s">
        <v>329</v>
      </c>
      <c r="M485" s="283" t="s">
        <v>24</v>
      </c>
      <c r="N485" s="106" t="s">
        <v>24</v>
      </c>
      <c r="O485" s="106" t="s">
        <v>24</v>
      </c>
      <c r="P485" s="106"/>
      <c r="Q485" s="309"/>
      <c r="R485" s="228" t="s">
        <v>24</v>
      </c>
      <c r="S485" s="274" t="s">
        <v>24</v>
      </c>
      <c r="T485" s="274" t="s">
        <v>24</v>
      </c>
      <c r="U485" s="225" t="s">
        <v>329</v>
      </c>
      <c r="V485" s="251" t="s">
        <v>1882</v>
      </c>
      <c r="W485" s="377"/>
      <c r="X485" s="85"/>
      <c r="Y485" s="85"/>
      <c r="Z485" s="85"/>
      <c r="AA485" s="85"/>
      <c r="AB485" s="85"/>
      <c r="AC485" s="85"/>
    </row>
    <row r="486" spans="1:29" ht="264">
      <c r="A486" s="85" t="s">
        <v>1883</v>
      </c>
      <c r="B486" s="87" t="s">
        <v>820</v>
      </c>
      <c r="C486" s="80" t="s">
        <v>1147</v>
      </c>
      <c r="D486" s="81" t="s">
        <v>1884</v>
      </c>
      <c r="E486" s="87" t="s">
        <v>325</v>
      </c>
      <c r="F486" s="87" t="s">
        <v>477</v>
      </c>
      <c r="G486" s="246"/>
      <c r="H486" s="255" t="s">
        <v>1885</v>
      </c>
      <c r="I486" s="225" t="s">
        <v>311</v>
      </c>
      <c r="J486" s="225" t="s">
        <v>311</v>
      </c>
      <c r="K486" s="225" t="s">
        <v>311</v>
      </c>
      <c r="L486" s="248" t="s">
        <v>329</v>
      </c>
      <c r="M486" s="283" t="s">
        <v>24</v>
      </c>
      <c r="N486" s="106" t="s">
        <v>24</v>
      </c>
      <c r="O486" s="106" t="s">
        <v>24</v>
      </c>
      <c r="P486" s="106"/>
      <c r="Q486" s="349"/>
      <c r="R486" s="85" t="s">
        <v>26</v>
      </c>
      <c r="S486" s="85" t="s">
        <v>26</v>
      </c>
      <c r="T486" s="85" t="s">
        <v>26</v>
      </c>
      <c r="U486" s="215"/>
      <c r="V486" s="302" t="s">
        <v>1886</v>
      </c>
      <c r="W486" s="423"/>
      <c r="X486" s="87"/>
      <c r="Y486" s="87"/>
      <c r="Z486" s="87"/>
      <c r="AA486" s="87"/>
      <c r="AB486" s="87" t="s">
        <v>377</v>
      </c>
      <c r="AC486" s="87"/>
    </row>
    <row r="487" spans="1:29" ht="264">
      <c r="A487" s="85" t="s">
        <v>1883</v>
      </c>
      <c r="B487" s="87" t="s">
        <v>820</v>
      </c>
      <c r="C487" s="80" t="s">
        <v>1149</v>
      </c>
      <c r="D487" s="81" t="s">
        <v>1887</v>
      </c>
      <c r="E487" s="87" t="s">
        <v>325</v>
      </c>
      <c r="F487" s="87" t="s">
        <v>477</v>
      </c>
      <c r="G487" s="259"/>
      <c r="H487" s="255" t="s">
        <v>1888</v>
      </c>
      <c r="I487" s="225" t="s">
        <v>311</v>
      </c>
      <c r="J487" s="225" t="s">
        <v>311</v>
      </c>
      <c r="K487" s="225" t="s">
        <v>311</v>
      </c>
      <c r="L487" s="248" t="s">
        <v>329</v>
      </c>
      <c r="M487" s="283" t="s">
        <v>24</v>
      </c>
      <c r="N487" s="106" t="s">
        <v>24</v>
      </c>
      <c r="O487" s="106" t="s">
        <v>24</v>
      </c>
      <c r="P487" s="106"/>
      <c r="Q487" s="349"/>
      <c r="R487" s="355" t="s">
        <v>26</v>
      </c>
      <c r="S487" s="355" t="s">
        <v>26</v>
      </c>
      <c r="T487" s="355" t="s">
        <v>26</v>
      </c>
      <c r="U487" s="215"/>
      <c r="V487" s="302" t="s">
        <v>1889</v>
      </c>
      <c r="W487" s="423"/>
      <c r="X487" s="87"/>
      <c r="Y487" s="87"/>
      <c r="Z487" s="87"/>
      <c r="AA487" s="87"/>
      <c r="AB487" s="87" t="s">
        <v>377</v>
      </c>
      <c r="AC487" s="87"/>
    </row>
    <row r="488" spans="1:29" ht="264">
      <c r="A488" s="85" t="s">
        <v>1883</v>
      </c>
      <c r="B488" s="87" t="s">
        <v>820</v>
      </c>
      <c r="C488" s="80" t="s">
        <v>1151</v>
      </c>
      <c r="D488" s="81" t="s">
        <v>1890</v>
      </c>
      <c r="E488" s="87" t="s">
        <v>325</v>
      </c>
      <c r="F488" s="87" t="s">
        <v>477</v>
      </c>
      <c r="G488" s="259"/>
      <c r="H488" s="255" t="s">
        <v>1891</v>
      </c>
      <c r="I488" s="225" t="s">
        <v>311</v>
      </c>
      <c r="J488" s="225" t="s">
        <v>311</v>
      </c>
      <c r="K488" s="225" t="s">
        <v>311</v>
      </c>
      <c r="L488" s="248" t="s">
        <v>329</v>
      </c>
      <c r="M488" s="283" t="s">
        <v>24</v>
      </c>
      <c r="N488" s="106" t="s">
        <v>24</v>
      </c>
      <c r="O488" s="106" t="s">
        <v>24</v>
      </c>
      <c r="P488" s="106"/>
      <c r="Q488" s="309"/>
      <c r="R488" s="377" t="s">
        <v>26</v>
      </c>
      <c r="S488" s="85" t="s">
        <v>26</v>
      </c>
      <c r="T488" s="85" t="s">
        <v>26</v>
      </c>
      <c r="U488" s="215"/>
      <c r="V488" s="302" t="s">
        <v>1892</v>
      </c>
      <c r="W488" s="423"/>
      <c r="X488" s="87"/>
      <c r="Y488" s="87"/>
      <c r="Z488" s="87"/>
      <c r="AA488" s="87"/>
      <c r="AB488" s="87" t="s">
        <v>377</v>
      </c>
      <c r="AC488" s="87"/>
    </row>
    <row r="489" spans="1:29" ht="264">
      <c r="A489" s="85" t="s">
        <v>1883</v>
      </c>
      <c r="B489" s="87" t="s">
        <v>820</v>
      </c>
      <c r="C489" s="80" t="s">
        <v>1153</v>
      </c>
      <c r="D489" s="81" t="s">
        <v>1893</v>
      </c>
      <c r="E489" s="87" t="s">
        <v>325</v>
      </c>
      <c r="F489" s="87" t="s">
        <v>477</v>
      </c>
      <c r="G489" s="259"/>
      <c r="H489" s="255" t="s">
        <v>1894</v>
      </c>
      <c r="I489" s="225" t="s">
        <v>311</v>
      </c>
      <c r="J489" s="225" t="s">
        <v>311</v>
      </c>
      <c r="K489" s="225" t="s">
        <v>311</v>
      </c>
      <c r="L489" s="248" t="s">
        <v>329</v>
      </c>
      <c r="M489" s="283" t="s">
        <v>24</v>
      </c>
      <c r="N489" s="106" t="s">
        <v>24</v>
      </c>
      <c r="O489" s="106" t="s">
        <v>24</v>
      </c>
      <c r="P489" s="106"/>
      <c r="Q489" s="309"/>
      <c r="R489" s="378" t="s">
        <v>26</v>
      </c>
      <c r="S489" s="379" t="s">
        <v>26</v>
      </c>
      <c r="T489" s="379" t="s">
        <v>26</v>
      </c>
      <c r="U489" s="215"/>
      <c r="V489" s="302" t="s">
        <v>1895</v>
      </c>
      <c r="W489" s="423"/>
      <c r="X489" s="87"/>
      <c r="Y489" s="87"/>
      <c r="Z489" s="87"/>
      <c r="AA489" s="87"/>
      <c r="AB489" s="87" t="s">
        <v>377</v>
      </c>
      <c r="AC489" s="87"/>
    </row>
    <row r="490" spans="1:29" ht="315.75">
      <c r="A490" s="85" t="s">
        <v>1896</v>
      </c>
      <c r="B490" s="87" t="s">
        <v>820</v>
      </c>
      <c r="C490" s="80" t="s">
        <v>1147</v>
      </c>
      <c r="D490" s="81" t="s">
        <v>1897</v>
      </c>
      <c r="E490" s="87" t="s">
        <v>325</v>
      </c>
      <c r="F490" s="87" t="s">
        <v>477</v>
      </c>
      <c r="G490" s="259"/>
      <c r="H490" s="255" t="s">
        <v>1885</v>
      </c>
      <c r="I490" s="225" t="s">
        <v>311</v>
      </c>
      <c r="J490" s="225" t="s">
        <v>311</v>
      </c>
      <c r="K490" s="225" t="s">
        <v>311</v>
      </c>
      <c r="L490" s="248" t="s">
        <v>329</v>
      </c>
      <c r="M490" s="283" t="s">
        <v>24</v>
      </c>
      <c r="N490" s="106" t="s">
        <v>24</v>
      </c>
      <c r="O490" s="106" t="s">
        <v>24</v>
      </c>
      <c r="P490" s="106"/>
      <c r="Q490" s="309"/>
      <c r="R490" s="384" t="s">
        <v>24</v>
      </c>
      <c r="S490" s="385" t="s">
        <v>24</v>
      </c>
      <c r="T490" s="385" t="s">
        <v>24</v>
      </c>
      <c r="U490" s="225" t="s">
        <v>329</v>
      </c>
      <c r="V490" s="302" t="s">
        <v>1898</v>
      </c>
      <c r="W490" s="423"/>
      <c r="X490" s="85" t="s">
        <v>1899</v>
      </c>
      <c r="Y490" s="85"/>
      <c r="Z490" s="85"/>
      <c r="AA490" s="85"/>
      <c r="AB490" s="85"/>
      <c r="AC490" s="85"/>
    </row>
    <row r="491" spans="1:29" ht="315.75">
      <c r="A491" s="85" t="s">
        <v>1896</v>
      </c>
      <c r="B491" s="87" t="s">
        <v>820</v>
      </c>
      <c r="C491" s="80" t="s">
        <v>1149</v>
      </c>
      <c r="D491" s="81" t="s">
        <v>1900</v>
      </c>
      <c r="E491" s="87" t="s">
        <v>325</v>
      </c>
      <c r="F491" s="87" t="s">
        <v>477</v>
      </c>
      <c r="G491" s="259"/>
      <c r="H491" s="255" t="s">
        <v>1888</v>
      </c>
      <c r="I491" s="225" t="s">
        <v>311</v>
      </c>
      <c r="J491" s="225" t="s">
        <v>311</v>
      </c>
      <c r="K491" s="225" t="s">
        <v>311</v>
      </c>
      <c r="L491" s="248" t="s">
        <v>329</v>
      </c>
      <c r="M491" s="283" t="s">
        <v>24</v>
      </c>
      <c r="N491" s="106" t="s">
        <v>24</v>
      </c>
      <c r="O491" s="106" t="s">
        <v>24</v>
      </c>
      <c r="P491" s="106"/>
      <c r="Q491" s="309"/>
      <c r="R491" s="377" t="s">
        <v>26</v>
      </c>
      <c r="S491" s="85" t="s">
        <v>26</v>
      </c>
      <c r="T491" s="85" t="s">
        <v>26</v>
      </c>
      <c r="U491" s="215"/>
      <c r="W491" s="423"/>
      <c r="X491" s="87"/>
      <c r="Y491" s="87"/>
      <c r="Z491" s="87"/>
      <c r="AA491" s="87"/>
      <c r="AB491" s="87" t="s">
        <v>377</v>
      </c>
      <c r="AC491" s="87"/>
    </row>
    <row r="492" spans="1:29" ht="264">
      <c r="A492" s="85" t="s">
        <v>1896</v>
      </c>
      <c r="B492" s="87" t="s">
        <v>820</v>
      </c>
      <c r="C492" s="80" t="s">
        <v>1151</v>
      </c>
      <c r="D492" s="81" t="s">
        <v>1901</v>
      </c>
      <c r="E492" s="87" t="s">
        <v>325</v>
      </c>
      <c r="F492" s="87" t="s">
        <v>477</v>
      </c>
      <c r="G492" s="259"/>
      <c r="H492" s="255" t="s">
        <v>1891</v>
      </c>
      <c r="I492" s="225" t="s">
        <v>311</v>
      </c>
      <c r="J492" s="225" t="s">
        <v>311</v>
      </c>
      <c r="K492" s="225" t="s">
        <v>311</v>
      </c>
      <c r="L492" s="248" t="s">
        <v>329</v>
      </c>
      <c r="M492" s="283" t="s">
        <v>24</v>
      </c>
      <c r="N492" s="106" t="s">
        <v>24</v>
      </c>
      <c r="O492" s="106" t="s">
        <v>24</v>
      </c>
      <c r="P492" s="106"/>
      <c r="Q492" s="309"/>
      <c r="R492" s="377" t="s">
        <v>26</v>
      </c>
      <c r="S492" s="85" t="s">
        <v>26</v>
      </c>
      <c r="T492" s="85" t="s">
        <v>26</v>
      </c>
      <c r="U492" s="215"/>
      <c r="V492" s="302" t="s">
        <v>1902</v>
      </c>
      <c r="W492" s="423"/>
      <c r="X492" s="87"/>
      <c r="Y492" s="87"/>
      <c r="Z492" s="87"/>
      <c r="AA492" s="87"/>
      <c r="AB492" s="87" t="s">
        <v>377</v>
      </c>
      <c r="AC492" s="87"/>
    </row>
    <row r="493" spans="1:29" ht="288.75">
      <c r="A493" s="85" t="s">
        <v>1896</v>
      </c>
      <c r="B493" s="87" t="s">
        <v>820</v>
      </c>
      <c r="C493" s="80" t="s">
        <v>1153</v>
      </c>
      <c r="D493" s="81" t="s">
        <v>1903</v>
      </c>
      <c r="E493" s="87" t="s">
        <v>325</v>
      </c>
      <c r="F493" s="87" t="s">
        <v>477</v>
      </c>
      <c r="G493" s="259"/>
      <c r="H493" s="255" t="s">
        <v>1894</v>
      </c>
      <c r="I493" s="225" t="s">
        <v>311</v>
      </c>
      <c r="J493" s="225" t="s">
        <v>311</v>
      </c>
      <c r="K493" s="225" t="s">
        <v>311</v>
      </c>
      <c r="L493" s="248" t="s">
        <v>329</v>
      </c>
      <c r="M493" s="283" t="s">
        <v>24</v>
      </c>
      <c r="N493" s="106" t="s">
        <v>24</v>
      </c>
      <c r="O493" s="106" t="s">
        <v>24</v>
      </c>
      <c r="P493" s="106"/>
      <c r="Q493" s="309"/>
      <c r="R493" s="382" t="s">
        <v>26</v>
      </c>
      <c r="S493" s="383" t="s">
        <v>26</v>
      </c>
      <c r="T493" s="383" t="s">
        <v>26</v>
      </c>
      <c r="U493" s="228"/>
      <c r="V493" s="302" t="s">
        <v>1904</v>
      </c>
      <c r="W493" s="423"/>
      <c r="X493" s="87"/>
      <c r="Y493" s="87"/>
      <c r="Z493" s="87"/>
      <c r="AA493" s="87"/>
      <c r="AB493" s="87" t="s">
        <v>377</v>
      </c>
      <c r="AC493" s="87"/>
    </row>
    <row r="494" spans="1:29" ht="247.5">
      <c r="A494" s="85" t="s">
        <v>920</v>
      </c>
      <c r="B494" s="87" t="s">
        <v>921</v>
      </c>
      <c r="C494" s="80" t="s">
        <v>1905</v>
      </c>
      <c r="D494" s="81" t="s">
        <v>1906</v>
      </c>
      <c r="E494" s="87" t="s">
        <v>325</v>
      </c>
      <c r="F494" s="87" t="s">
        <v>326</v>
      </c>
      <c r="G494" s="246" t="s">
        <v>1907</v>
      </c>
      <c r="H494" s="234"/>
      <c r="I494" s="245" t="s">
        <v>337</v>
      </c>
      <c r="J494" s="245" t="s">
        <v>337</v>
      </c>
      <c r="K494" s="257" t="s">
        <v>337</v>
      </c>
      <c r="L494" s="248" t="s">
        <v>483</v>
      </c>
      <c r="M494" s="283" t="s">
        <v>24</v>
      </c>
      <c r="N494" s="106" t="s">
        <v>24</v>
      </c>
      <c r="O494" s="106" t="s">
        <v>24</v>
      </c>
      <c r="P494" s="81" t="s">
        <v>1807</v>
      </c>
      <c r="Q494" s="309"/>
      <c r="R494" s="380" t="s">
        <v>26</v>
      </c>
      <c r="S494" s="381" t="s">
        <v>26</v>
      </c>
      <c r="T494" s="386" t="s">
        <v>26</v>
      </c>
      <c r="U494" s="171" t="s">
        <v>341</v>
      </c>
      <c r="V494" s="302" t="s">
        <v>1908</v>
      </c>
      <c r="W494" s="377"/>
      <c r="X494" s="87"/>
      <c r="Y494" s="87"/>
      <c r="Z494" s="87"/>
      <c r="AA494" s="87"/>
      <c r="AB494" s="87" t="s">
        <v>377</v>
      </c>
      <c r="AC494" s="87"/>
    </row>
    <row r="495" spans="1:29" ht="247.5">
      <c r="A495" s="85" t="s">
        <v>1400</v>
      </c>
      <c r="B495" s="87" t="s">
        <v>820</v>
      </c>
      <c r="C495" s="80" t="s">
        <v>1649</v>
      </c>
      <c r="D495" s="86" t="s">
        <v>1668</v>
      </c>
      <c r="E495" s="87" t="s">
        <v>325</v>
      </c>
      <c r="F495" s="87" t="s">
        <v>326</v>
      </c>
      <c r="G495" s="246" t="s">
        <v>1909</v>
      </c>
      <c r="H495" s="234" t="s">
        <v>492</v>
      </c>
      <c r="I495" s="225" t="s">
        <v>337</v>
      </c>
      <c r="J495" s="225" t="s">
        <v>337</v>
      </c>
      <c r="K495" s="248" t="s">
        <v>337</v>
      </c>
      <c r="L495" s="248" t="s">
        <v>329</v>
      </c>
      <c r="M495" s="224" t="s">
        <v>27</v>
      </c>
      <c r="N495" s="107" t="s">
        <v>27</v>
      </c>
      <c r="O495" s="107" t="s">
        <v>27</v>
      </c>
      <c r="P495" s="81" t="s">
        <v>1910</v>
      </c>
      <c r="Q495" s="254" t="s">
        <v>673</v>
      </c>
      <c r="R495" s="224" t="s">
        <v>27</v>
      </c>
      <c r="S495" s="107" t="s">
        <v>27</v>
      </c>
      <c r="T495" s="107" t="s">
        <v>27</v>
      </c>
      <c r="U495" s="225" t="s">
        <v>341</v>
      </c>
      <c r="V495" s="251" t="s">
        <v>1911</v>
      </c>
      <c r="W495" s="377"/>
      <c r="X495" s="85" t="s">
        <v>1899</v>
      </c>
      <c r="Y495" s="85"/>
      <c r="Z495" s="85"/>
      <c r="AA495" s="85"/>
      <c r="AB495" s="85"/>
      <c r="AC495" s="85"/>
    </row>
    <row r="496" spans="1:29" ht="409.6">
      <c r="A496" s="85" t="s">
        <v>1912</v>
      </c>
      <c r="B496" s="87" t="s">
        <v>820</v>
      </c>
      <c r="C496" s="80" t="s">
        <v>1147</v>
      </c>
      <c r="D496" s="81" t="s">
        <v>1913</v>
      </c>
      <c r="E496" s="87" t="s">
        <v>325</v>
      </c>
      <c r="F496" s="87" t="s">
        <v>326</v>
      </c>
      <c r="G496" s="246" t="s">
        <v>1914</v>
      </c>
      <c r="H496" s="234" t="s">
        <v>1915</v>
      </c>
      <c r="I496" s="245" t="s">
        <v>337</v>
      </c>
      <c r="J496" s="245" t="s">
        <v>337</v>
      </c>
      <c r="K496" s="245" t="s">
        <v>337</v>
      </c>
      <c r="L496" s="248" t="s">
        <v>329</v>
      </c>
      <c r="M496" s="224" t="s">
        <v>27</v>
      </c>
      <c r="N496" s="107" t="s">
        <v>27</v>
      </c>
      <c r="O496" s="107" t="s">
        <v>27</v>
      </c>
      <c r="P496" s="81" t="s">
        <v>1910</v>
      </c>
      <c r="Q496" s="254" t="s">
        <v>673</v>
      </c>
      <c r="R496" s="224" t="s">
        <v>27</v>
      </c>
      <c r="S496" s="107" t="s">
        <v>27</v>
      </c>
      <c r="T496" s="107" t="s">
        <v>27</v>
      </c>
      <c r="U496" s="225" t="s">
        <v>341</v>
      </c>
      <c r="V496" s="251" t="s">
        <v>1916</v>
      </c>
      <c r="W496" s="377"/>
      <c r="X496" s="85"/>
      <c r="Y496" s="85"/>
      <c r="Z496" s="85"/>
      <c r="AA496" s="85"/>
      <c r="AB496" s="85"/>
      <c r="AC496" s="85"/>
    </row>
    <row r="497" spans="1:29" ht="398.25">
      <c r="A497" s="85" t="s">
        <v>1912</v>
      </c>
      <c r="B497" s="87" t="s">
        <v>820</v>
      </c>
      <c r="C497" s="80" t="s">
        <v>1149</v>
      </c>
      <c r="D497" s="81" t="s">
        <v>1917</v>
      </c>
      <c r="E497" s="87" t="s">
        <v>325</v>
      </c>
      <c r="F497" s="87" t="s">
        <v>326</v>
      </c>
      <c r="G497" s="246" t="s">
        <v>1918</v>
      </c>
      <c r="H497" s="234" t="s">
        <v>1915</v>
      </c>
      <c r="I497" s="245" t="s">
        <v>337</v>
      </c>
      <c r="J497" s="245" t="s">
        <v>337</v>
      </c>
      <c r="K497" s="245" t="s">
        <v>337</v>
      </c>
      <c r="L497" s="248" t="s">
        <v>329</v>
      </c>
      <c r="M497" s="224" t="s">
        <v>27</v>
      </c>
      <c r="N497" s="107" t="s">
        <v>27</v>
      </c>
      <c r="O497" s="107" t="s">
        <v>27</v>
      </c>
      <c r="P497" s="81" t="s">
        <v>1910</v>
      </c>
      <c r="Q497" s="254" t="s">
        <v>673</v>
      </c>
      <c r="R497" s="224" t="s">
        <v>27</v>
      </c>
      <c r="S497" s="107" t="s">
        <v>27</v>
      </c>
      <c r="T497" s="107" t="s">
        <v>27</v>
      </c>
      <c r="U497" s="225" t="s">
        <v>341</v>
      </c>
      <c r="V497" s="251" t="s">
        <v>1916</v>
      </c>
      <c r="W497" s="377"/>
      <c r="X497" s="85"/>
      <c r="Y497" s="85"/>
      <c r="Z497" s="85"/>
      <c r="AA497" s="85"/>
      <c r="AB497" s="85"/>
      <c r="AC497" s="85"/>
    </row>
    <row r="498" spans="1:29" ht="384.75">
      <c r="A498" s="85" t="s">
        <v>1912</v>
      </c>
      <c r="B498" s="87" t="s">
        <v>820</v>
      </c>
      <c r="C498" s="80" t="s">
        <v>1151</v>
      </c>
      <c r="D498" s="81" t="s">
        <v>1919</v>
      </c>
      <c r="E498" s="87" t="s">
        <v>325</v>
      </c>
      <c r="F498" s="87" t="s">
        <v>326</v>
      </c>
      <c r="G498" s="246" t="s">
        <v>1920</v>
      </c>
      <c r="H498" s="234" t="s">
        <v>1921</v>
      </c>
      <c r="I498" s="245" t="s">
        <v>337</v>
      </c>
      <c r="J498" s="245" t="s">
        <v>337</v>
      </c>
      <c r="K498" s="245" t="s">
        <v>337</v>
      </c>
      <c r="L498" s="248" t="s">
        <v>329</v>
      </c>
      <c r="M498" s="224" t="s">
        <v>27</v>
      </c>
      <c r="N498" s="107" t="s">
        <v>27</v>
      </c>
      <c r="O498" s="107" t="s">
        <v>27</v>
      </c>
      <c r="P498" s="81" t="s">
        <v>1910</v>
      </c>
      <c r="Q498" s="254" t="s">
        <v>673</v>
      </c>
      <c r="R498" s="224" t="s">
        <v>27</v>
      </c>
      <c r="S498" s="107" t="s">
        <v>27</v>
      </c>
      <c r="T498" s="107" t="s">
        <v>27</v>
      </c>
      <c r="U498" s="225" t="s">
        <v>341</v>
      </c>
      <c r="V498" s="251" t="s">
        <v>1916</v>
      </c>
      <c r="W498" s="377"/>
      <c r="X498" s="85"/>
      <c r="Y498" s="85"/>
      <c r="Z498" s="85"/>
      <c r="AA498" s="85"/>
      <c r="AB498" s="85"/>
      <c r="AC498" s="85"/>
    </row>
    <row r="499" spans="1:29" ht="371.25">
      <c r="A499" s="85" t="s">
        <v>1912</v>
      </c>
      <c r="B499" s="87" t="s">
        <v>820</v>
      </c>
      <c r="C499" s="80" t="s">
        <v>1153</v>
      </c>
      <c r="D499" s="81" t="s">
        <v>1922</v>
      </c>
      <c r="E499" s="87" t="s">
        <v>325</v>
      </c>
      <c r="F499" s="87" t="s">
        <v>326</v>
      </c>
      <c r="G499" s="246" t="s">
        <v>1923</v>
      </c>
      <c r="H499" s="234" t="s">
        <v>1924</v>
      </c>
      <c r="I499" s="245" t="s">
        <v>337</v>
      </c>
      <c r="J499" s="245" t="s">
        <v>337</v>
      </c>
      <c r="K499" s="245" t="s">
        <v>337</v>
      </c>
      <c r="L499" s="248" t="s">
        <v>329</v>
      </c>
      <c r="M499" s="224" t="s">
        <v>27</v>
      </c>
      <c r="N499" s="107" t="s">
        <v>27</v>
      </c>
      <c r="O499" s="107" t="s">
        <v>27</v>
      </c>
      <c r="P499" s="81" t="s">
        <v>1910</v>
      </c>
      <c r="Q499" s="254" t="s">
        <v>673</v>
      </c>
      <c r="R499" s="224" t="s">
        <v>27</v>
      </c>
      <c r="S499" s="107" t="s">
        <v>27</v>
      </c>
      <c r="T499" s="107" t="s">
        <v>27</v>
      </c>
      <c r="U499" s="225" t="s">
        <v>341</v>
      </c>
      <c r="V499" s="251" t="s">
        <v>1916</v>
      </c>
      <c r="W499" s="377"/>
      <c r="X499" s="85"/>
      <c r="Y499" s="85"/>
      <c r="Z499" s="85"/>
      <c r="AA499" s="85"/>
      <c r="AB499" s="85"/>
      <c r="AC499" s="85"/>
    </row>
    <row r="500" spans="1:29" ht="384.75">
      <c r="A500" s="85" t="s">
        <v>1925</v>
      </c>
      <c r="B500" s="87" t="s">
        <v>820</v>
      </c>
      <c r="C500" s="80" t="s">
        <v>1147</v>
      </c>
      <c r="D500" s="81" t="s">
        <v>1926</v>
      </c>
      <c r="E500" s="87" t="s">
        <v>325</v>
      </c>
      <c r="F500" s="87" t="s">
        <v>326</v>
      </c>
      <c r="G500" s="246" t="s">
        <v>1927</v>
      </c>
      <c r="H500" s="234" t="s">
        <v>1928</v>
      </c>
      <c r="I500" s="245" t="s">
        <v>337</v>
      </c>
      <c r="J500" s="245" t="s">
        <v>337</v>
      </c>
      <c r="K500" s="245" t="s">
        <v>337</v>
      </c>
      <c r="L500" s="248" t="s">
        <v>329</v>
      </c>
      <c r="M500" s="224" t="s">
        <v>27</v>
      </c>
      <c r="N500" s="107" t="s">
        <v>27</v>
      </c>
      <c r="O500" s="107" t="s">
        <v>27</v>
      </c>
      <c r="P500" s="81" t="s">
        <v>1910</v>
      </c>
      <c r="Q500" s="254" t="s">
        <v>673</v>
      </c>
      <c r="R500" s="224" t="s">
        <v>27</v>
      </c>
      <c r="S500" s="107" t="s">
        <v>27</v>
      </c>
      <c r="T500" s="107" t="s">
        <v>27</v>
      </c>
      <c r="U500" s="225" t="s">
        <v>341</v>
      </c>
      <c r="V500" s="251" t="s">
        <v>1916</v>
      </c>
      <c r="W500" s="377"/>
      <c r="X500" s="85"/>
      <c r="Y500" s="85"/>
      <c r="Z500" s="85"/>
      <c r="AA500" s="85"/>
      <c r="AB500" s="85"/>
      <c r="AC500" s="85"/>
    </row>
    <row r="501" spans="1:29" ht="409.6">
      <c r="A501" s="85" t="s">
        <v>1925</v>
      </c>
      <c r="B501" s="87" t="s">
        <v>820</v>
      </c>
      <c r="C501" s="80" t="s">
        <v>1149</v>
      </c>
      <c r="D501" s="81" t="s">
        <v>1929</v>
      </c>
      <c r="E501" s="87" t="s">
        <v>325</v>
      </c>
      <c r="F501" s="87" t="s">
        <v>326</v>
      </c>
      <c r="G501" s="246" t="s">
        <v>1930</v>
      </c>
      <c r="H501" s="234" t="s">
        <v>1931</v>
      </c>
      <c r="I501" s="245" t="s">
        <v>337</v>
      </c>
      <c r="J501" s="245" t="s">
        <v>337</v>
      </c>
      <c r="K501" s="245" t="s">
        <v>337</v>
      </c>
      <c r="L501" s="248" t="s">
        <v>329</v>
      </c>
      <c r="M501" s="224" t="s">
        <v>27</v>
      </c>
      <c r="N501" s="107" t="s">
        <v>27</v>
      </c>
      <c r="O501" s="107" t="s">
        <v>27</v>
      </c>
      <c r="P501" s="81" t="s">
        <v>1910</v>
      </c>
      <c r="Q501" s="254" t="s">
        <v>673</v>
      </c>
      <c r="R501" s="224" t="s">
        <v>27</v>
      </c>
      <c r="S501" s="107" t="s">
        <v>27</v>
      </c>
      <c r="T501" s="107" t="s">
        <v>27</v>
      </c>
      <c r="U501" s="225" t="s">
        <v>341</v>
      </c>
      <c r="V501" s="251" t="s">
        <v>1916</v>
      </c>
      <c r="W501" s="377"/>
      <c r="X501" s="85"/>
      <c r="Y501" s="85"/>
      <c r="Z501" s="85"/>
      <c r="AA501" s="85"/>
      <c r="AB501" s="85"/>
      <c r="AC501" s="85"/>
    </row>
    <row r="502" spans="1:29" ht="409.6">
      <c r="A502" s="85" t="s">
        <v>1925</v>
      </c>
      <c r="B502" s="87" t="s">
        <v>820</v>
      </c>
      <c r="C502" s="80" t="s">
        <v>1151</v>
      </c>
      <c r="D502" s="81" t="s">
        <v>1932</v>
      </c>
      <c r="E502" s="87" t="s">
        <v>325</v>
      </c>
      <c r="F502" s="87" t="s">
        <v>326</v>
      </c>
      <c r="G502" s="246" t="s">
        <v>1933</v>
      </c>
      <c r="H502" s="234" t="s">
        <v>1934</v>
      </c>
      <c r="I502" s="245" t="s">
        <v>337</v>
      </c>
      <c r="J502" s="245" t="s">
        <v>337</v>
      </c>
      <c r="K502" s="245" t="s">
        <v>337</v>
      </c>
      <c r="L502" s="248" t="s">
        <v>329</v>
      </c>
      <c r="M502" s="224" t="s">
        <v>27</v>
      </c>
      <c r="N502" s="107" t="s">
        <v>27</v>
      </c>
      <c r="O502" s="107" t="s">
        <v>27</v>
      </c>
      <c r="P502" s="81" t="s">
        <v>1910</v>
      </c>
      <c r="Q502" s="254" t="s">
        <v>673</v>
      </c>
      <c r="R502" s="224" t="s">
        <v>27</v>
      </c>
      <c r="S502" s="107" t="s">
        <v>27</v>
      </c>
      <c r="T502" s="107" t="s">
        <v>27</v>
      </c>
      <c r="U502" s="225" t="s">
        <v>341</v>
      </c>
      <c r="V502" s="251" t="s">
        <v>1916</v>
      </c>
      <c r="W502" s="377"/>
      <c r="X502" s="85"/>
      <c r="Y502" s="85"/>
      <c r="Z502" s="85"/>
      <c r="AA502" s="85"/>
      <c r="AB502" s="85"/>
      <c r="AC502" s="85"/>
    </row>
    <row r="503" spans="1:29" ht="409.6">
      <c r="A503" s="85" t="s">
        <v>1925</v>
      </c>
      <c r="B503" s="87" t="s">
        <v>820</v>
      </c>
      <c r="C503" s="80" t="s">
        <v>1153</v>
      </c>
      <c r="D503" s="81" t="s">
        <v>1935</v>
      </c>
      <c r="E503" s="87" t="s">
        <v>325</v>
      </c>
      <c r="F503" s="87" t="s">
        <v>326</v>
      </c>
      <c r="G503" s="315" t="s">
        <v>1936</v>
      </c>
      <c r="H503" s="329" t="s">
        <v>1937</v>
      </c>
      <c r="I503" s="350" t="s">
        <v>337</v>
      </c>
      <c r="J503" s="350" t="s">
        <v>337</v>
      </c>
      <c r="K503" s="350" t="s">
        <v>337</v>
      </c>
      <c r="L503" s="248" t="s">
        <v>329</v>
      </c>
      <c r="M503" s="224" t="s">
        <v>27</v>
      </c>
      <c r="N503" s="107" t="s">
        <v>27</v>
      </c>
      <c r="O503" s="107" t="s">
        <v>27</v>
      </c>
      <c r="P503" s="81" t="s">
        <v>1910</v>
      </c>
      <c r="Q503" s="254" t="s">
        <v>673</v>
      </c>
      <c r="R503" s="224" t="s">
        <v>27</v>
      </c>
      <c r="S503" s="107" t="s">
        <v>27</v>
      </c>
      <c r="T503" s="107" t="s">
        <v>27</v>
      </c>
      <c r="U503" s="225" t="s">
        <v>341</v>
      </c>
      <c r="V503" s="251" t="s">
        <v>1916</v>
      </c>
      <c r="W503" s="377"/>
      <c r="X503" s="85"/>
      <c r="Y503" s="85"/>
      <c r="Z503" s="85"/>
      <c r="AA503" s="85"/>
      <c r="AB503" s="85"/>
      <c r="AC503" s="85"/>
    </row>
    <row r="504" spans="1:29" ht="12.75">
      <c r="A504" s="85" t="s">
        <v>1938</v>
      </c>
      <c r="B504" s="87" t="s">
        <v>820</v>
      </c>
      <c r="C504" s="80" t="s">
        <v>1147</v>
      </c>
      <c r="D504" s="81" t="s">
        <v>1939</v>
      </c>
      <c r="E504" s="87" t="s">
        <v>325</v>
      </c>
      <c r="F504" s="316" t="s">
        <v>326</v>
      </c>
      <c r="G504" s="259"/>
      <c r="H504" s="256"/>
      <c r="I504" s="225" t="s">
        <v>311</v>
      </c>
      <c r="J504" s="225" t="s">
        <v>311</v>
      </c>
      <c r="K504" s="225" t="s">
        <v>311</v>
      </c>
      <c r="L504" s="248"/>
      <c r="M504" s="224" t="s">
        <v>27</v>
      </c>
      <c r="N504" s="107" t="s">
        <v>27</v>
      </c>
      <c r="O504" s="107" t="s">
        <v>27</v>
      </c>
      <c r="P504" s="81"/>
      <c r="Q504" s="254"/>
      <c r="R504" s="235" t="s">
        <v>26</v>
      </c>
      <c r="S504" s="235" t="s">
        <v>26</v>
      </c>
      <c r="T504" s="235" t="s">
        <v>26</v>
      </c>
      <c r="U504" s="225"/>
      <c r="V504" s="431" t="s">
        <v>1940</v>
      </c>
      <c r="W504" s="377" t="s">
        <v>1899</v>
      </c>
      <c r="X504" s="87"/>
      <c r="Y504" s="87"/>
      <c r="Z504" s="87"/>
      <c r="AA504" s="87"/>
      <c r="AB504" s="87" t="s">
        <v>377</v>
      </c>
      <c r="AC504" s="87"/>
    </row>
    <row r="505" spans="1:29" ht="12.75">
      <c r="A505" s="85" t="s">
        <v>1938</v>
      </c>
      <c r="B505" s="87" t="s">
        <v>820</v>
      </c>
      <c r="C505" s="80" t="s">
        <v>1149</v>
      </c>
      <c r="D505" s="81" t="s">
        <v>1941</v>
      </c>
      <c r="E505" s="87" t="s">
        <v>325</v>
      </c>
      <c r="F505" s="316" t="s">
        <v>326</v>
      </c>
      <c r="G505" s="259"/>
      <c r="H505" s="256"/>
      <c r="I505" s="225" t="s">
        <v>311</v>
      </c>
      <c r="J505" s="225" t="s">
        <v>311</v>
      </c>
      <c r="K505" s="225" t="s">
        <v>311</v>
      </c>
      <c r="L505" s="248"/>
      <c r="M505" s="224" t="s">
        <v>27</v>
      </c>
      <c r="N505" s="107" t="s">
        <v>27</v>
      </c>
      <c r="O505" s="107" t="s">
        <v>27</v>
      </c>
      <c r="P505" s="81"/>
      <c r="Q505" s="254"/>
      <c r="R505" s="235" t="s">
        <v>26</v>
      </c>
      <c r="S505" s="235" t="s">
        <v>26</v>
      </c>
      <c r="T505" s="235" t="s">
        <v>26</v>
      </c>
      <c r="U505" s="225"/>
      <c r="V505" s="431"/>
      <c r="W505" s="377" t="s">
        <v>1899</v>
      </c>
      <c r="X505" s="87"/>
      <c r="Y505" s="87"/>
      <c r="Z505" s="87"/>
      <c r="AA505" s="87"/>
      <c r="AB505" s="87" t="s">
        <v>377</v>
      </c>
      <c r="AC505" s="87"/>
    </row>
    <row r="506" spans="1:29" ht="12.75">
      <c r="A506" s="85" t="s">
        <v>1938</v>
      </c>
      <c r="B506" s="87" t="s">
        <v>820</v>
      </c>
      <c r="C506" s="80" t="s">
        <v>1151</v>
      </c>
      <c r="D506" s="81" t="s">
        <v>1942</v>
      </c>
      <c r="E506" s="87" t="s">
        <v>325</v>
      </c>
      <c r="F506" s="316" t="s">
        <v>326</v>
      </c>
      <c r="G506" s="259"/>
      <c r="H506" s="256"/>
      <c r="I506" s="225" t="s">
        <v>311</v>
      </c>
      <c r="J506" s="225" t="s">
        <v>311</v>
      </c>
      <c r="K506" s="225" t="s">
        <v>311</v>
      </c>
      <c r="L506" s="248"/>
      <c r="M506" s="224" t="s">
        <v>27</v>
      </c>
      <c r="N506" s="107" t="s">
        <v>27</v>
      </c>
      <c r="O506" s="107" t="s">
        <v>27</v>
      </c>
      <c r="P506" s="81"/>
      <c r="Q506" s="254"/>
      <c r="R506" s="235" t="s">
        <v>26</v>
      </c>
      <c r="S506" s="235" t="s">
        <v>26</v>
      </c>
      <c r="T506" s="235" t="s">
        <v>26</v>
      </c>
      <c r="U506" s="225"/>
      <c r="V506" s="431"/>
      <c r="W506" s="377" t="s">
        <v>1899</v>
      </c>
      <c r="X506" s="87"/>
      <c r="Y506" s="87"/>
      <c r="Z506" s="87"/>
      <c r="AA506" s="87"/>
      <c r="AB506" s="87" t="s">
        <v>377</v>
      </c>
      <c r="AC506" s="87"/>
    </row>
    <row r="507" spans="1:29" ht="12.75">
      <c r="A507" s="85" t="s">
        <v>1938</v>
      </c>
      <c r="B507" s="87" t="s">
        <v>820</v>
      </c>
      <c r="C507" s="80" t="s">
        <v>1153</v>
      </c>
      <c r="D507" s="81" t="s">
        <v>1943</v>
      </c>
      <c r="E507" s="87" t="s">
        <v>325</v>
      </c>
      <c r="F507" s="316" t="s">
        <v>326</v>
      </c>
      <c r="G507" s="259"/>
      <c r="H507" s="256"/>
      <c r="I507" s="225" t="s">
        <v>311</v>
      </c>
      <c r="J507" s="225" t="s">
        <v>311</v>
      </c>
      <c r="K507" s="225" t="s">
        <v>311</v>
      </c>
      <c r="L507" s="248"/>
      <c r="M507" s="224" t="s">
        <v>27</v>
      </c>
      <c r="N507" s="107" t="s">
        <v>27</v>
      </c>
      <c r="O507" s="107" t="s">
        <v>27</v>
      </c>
      <c r="P507" s="81"/>
      <c r="Q507" s="254"/>
      <c r="R507" s="235" t="s">
        <v>26</v>
      </c>
      <c r="S507" s="235" t="s">
        <v>26</v>
      </c>
      <c r="T507" s="235" t="s">
        <v>26</v>
      </c>
      <c r="U507" s="225"/>
      <c r="V507" s="431"/>
      <c r="W507" s="377" t="s">
        <v>1899</v>
      </c>
      <c r="X507" s="87"/>
      <c r="Y507" s="87"/>
      <c r="Z507" s="87"/>
      <c r="AA507" s="87"/>
      <c r="AB507" s="87" t="s">
        <v>377</v>
      </c>
      <c r="AC507" s="87"/>
    </row>
    <row r="508" spans="1:29" ht="12.75">
      <c r="A508" s="85" t="s">
        <v>1944</v>
      </c>
      <c r="B508" s="87" t="s">
        <v>820</v>
      </c>
      <c r="C508" s="80" t="s">
        <v>1147</v>
      </c>
      <c r="D508" s="81" t="s">
        <v>1945</v>
      </c>
      <c r="E508" s="87" t="s">
        <v>325</v>
      </c>
      <c r="F508" s="87" t="s">
        <v>326</v>
      </c>
      <c r="G508" s="343"/>
      <c r="H508" s="351"/>
      <c r="I508" s="225" t="s">
        <v>311</v>
      </c>
      <c r="J508" s="225" t="s">
        <v>311</v>
      </c>
      <c r="K508" s="225" t="s">
        <v>311</v>
      </c>
      <c r="L508" s="248"/>
      <c r="M508" s="224" t="s">
        <v>27</v>
      </c>
      <c r="N508" s="107" t="s">
        <v>27</v>
      </c>
      <c r="O508" s="107" t="s">
        <v>27</v>
      </c>
      <c r="P508" s="81"/>
      <c r="Q508" s="254"/>
      <c r="R508" s="235" t="s">
        <v>26</v>
      </c>
      <c r="S508" s="235" t="s">
        <v>26</v>
      </c>
      <c r="T508" s="235" t="s">
        <v>26</v>
      </c>
      <c r="U508" s="225"/>
      <c r="V508" s="431"/>
      <c r="W508" s="377" t="s">
        <v>1899</v>
      </c>
      <c r="X508" s="87"/>
      <c r="Y508" s="87"/>
      <c r="Z508" s="87"/>
      <c r="AA508" s="87"/>
      <c r="AB508" s="87" t="s">
        <v>377</v>
      </c>
      <c r="AC508" s="87"/>
    </row>
    <row r="509" spans="1:29" ht="12.75">
      <c r="A509" s="85" t="s">
        <v>1944</v>
      </c>
      <c r="B509" s="87" t="s">
        <v>820</v>
      </c>
      <c r="C509" s="80" t="s">
        <v>1149</v>
      </c>
      <c r="D509" s="81" t="s">
        <v>1946</v>
      </c>
      <c r="E509" s="87" t="s">
        <v>325</v>
      </c>
      <c r="F509" s="87" t="s">
        <v>326</v>
      </c>
      <c r="G509" s="259"/>
      <c r="H509" s="256"/>
      <c r="I509" s="225" t="s">
        <v>311</v>
      </c>
      <c r="J509" s="225" t="s">
        <v>311</v>
      </c>
      <c r="K509" s="225" t="s">
        <v>311</v>
      </c>
      <c r="L509" s="248"/>
      <c r="M509" s="224" t="s">
        <v>27</v>
      </c>
      <c r="N509" s="107" t="s">
        <v>27</v>
      </c>
      <c r="O509" s="107" t="s">
        <v>27</v>
      </c>
      <c r="P509" s="81"/>
      <c r="Q509" s="254"/>
      <c r="R509" s="235" t="s">
        <v>26</v>
      </c>
      <c r="S509" s="235" t="s">
        <v>26</v>
      </c>
      <c r="T509" s="235" t="s">
        <v>26</v>
      </c>
      <c r="U509" s="225"/>
      <c r="V509" s="431"/>
      <c r="W509" s="377" t="s">
        <v>1899</v>
      </c>
      <c r="X509" s="87"/>
      <c r="Y509" s="87"/>
      <c r="Z509" s="87"/>
      <c r="AA509" s="87"/>
      <c r="AB509" s="87" t="s">
        <v>377</v>
      </c>
      <c r="AC509" s="87"/>
    </row>
    <row r="510" spans="1:29" ht="12.75">
      <c r="A510" s="85" t="s">
        <v>1944</v>
      </c>
      <c r="B510" s="87" t="s">
        <v>820</v>
      </c>
      <c r="C510" s="80" t="s">
        <v>1151</v>
      </c>
      <c r="D510" s="81" t="s">
        <v>1947</v>
      </c>
      <c r="E510" s="87" t="s">
        <v>325</v>
      </c>
      <c r="F510" s="87" t="s">
        <v>326</v>
      </c>
      <c r="G510" s="259"/>
      <c r="H510" s="256"/>
      <c r="I510" s="225" t="s">
        <v>311</v>
      </c>
      <c r="J510" s="225" t="s">
        <v>311</v>
      </c>
      <c r="K510" s="225" t="s">
        <v>311</v>
      </c>
      <c r="L510" s="248"/>
      <c r="M510" s="224" t="s">
        <v>27</v>
      </c>
      <c r="N510" s="107" t="s">
        <v>27</v>
      </c>
      <c r="O510" s="107" t="s">
        <v>27</v>
      </c>
      <c r="P510" s="81"/>
      <c r="Q510" s="254"/>
      <c r="R510" s="235" t="s">
        <v>26</v>
      </c>
      <c r="S510" s="235" t="s">
        <v>26</v>
      </c>
      <c r="T510" s="235" t="s">
        <v>26</v>
      </c>
      <c r="U510" s="225"/>
      <c r="V510" s="431"/>
      <c r="W510" s="377" t="s">
        <v>1899</v>
      </c>
      <c r="X510" s="87"/>
      <c r="Y510" s="87"/>
      <c r="Z510" s="87"/>
      <c r="AA510" s="87"/>
      <c r="AB510" s="87" t="s">
        <v>377</v>
      </c>
      <c r="AC510" s="87"/>
    </row>
    <row r="511" spans="1:29" ht="12.75">
      <c r="A511" s="85" t="s">
        <v>1944</v>
      </c>
      <c r="B511" s="87" t="s">
        <v>820</v>
      </c>
      <c r="C511" s="80" t="s">
        <v>1153</v>
      </c>
      <c r="D511" s="81" t="s">
        <v>1948</v>
      </c>
      <c r="E511" s="87" t="s">
        <v>325</v>
      </c>
      <c r="F511" s="87" t="s">
        <v>326</v>
      </c>
      <c r="G511" s="259"/>
      <c r="H511" s="256"/>
      <c r="I511" s="225" t="s">
        <v>311</v>
      </c>
      <c r="J511" s="225" t="s">
        <v>311</v>
      </c>
      <c r="K511" s="225" t="s">
        <v>311</v>
      </c>
      <c r="L511" s="248"/>
      <c r="M511" s="224" t="s">
        <v>27</v>
      </c>
      <c r="N511" s="107" t="s">
        <v>27</v>
      </c>
      <c r="O511" s="107" t="s">
        <v>27</v>
      </c>
      <c r="P511" s="81"/>
      <c r="Q511" s="254"/>
      <c r="R511" s="235" t="s">
        <v>26</v>
      </c>
      <c r="S511" s="235" t="s">
        <v>26</v>
      </c>
      <c r="T511" s="235" t="s">
        <v>26</v>
      </c>
      <c r="U511" s="225"/>
      <c r="V511" s="431"/>
      <c r="W511" s="377" t="s">
        <v>1899</v>
      </c>
      <c r="X511" s="87"/>
      <c r="Y511" s="87"/>
      <c r="Z511" s="87"/>
      <c r="AA511" s="87"/>
      <c r="AB511" s="87" t="s">
        <v>377</v>
      </c>
      <c r="AC511" s="87"/>
    </row>
    <row r="512" spans="1:29" ht="12.75">
      <c r="A512" s="85" t="s">
        <v>1949</v>
      </c>
      <c r="B512" s="87" t="s">
        <v>820</v>
      </c>
      <c r="C512" s="80" t="s">
        <v>1147</v>
      </c>
      <c r="D512" s="81" t="s">
        <v>1950</v>
      </c>
      <c r="E512" s="87" t="s">
        <v>325</v>
      </c>
      <c r="F512" s="87" t="s">
        <v>326</v>
      </c>
      <c r="G512" s="259"/>
      <c r="H512" s="256"/>
      <c r="I512" s="225" t="s">
        <v>311</v>
      </c>
      <c r="J512" s="225" t="s">
        <v>311</v>
      </c>
      <c r="K512" s="225" t="s">
        <v>311</v>
      </c>
      <c r="L512" s="248"/>
      <c r="M512" s="224" t="s">
        <v>27</v>
      </c>
      <c r="N512" s="107" t="s">
        <v>27</v>
      </c>
      <c r="O512" s="107" t="s">
        <v>27</v>
      </c>
      <c r="P512" s="81"/>
      <c r="Q512" s="254"/>
      <c r="R512" s="235" t="s">
        <v>26</v>
      </c>
      <c r="S512" s="235" t="s">
        <v>26</v>
      </c>
      <c r="T512" s="235" t="s">
        <v>26</v>
      </c>
      <c r="U512" s="225"/>
      <c r="V512" s="431"/>
      <c r="W512" s="377" t="s">
        <v>1899</v>
      </c>
      <c r="X512" s="87"/>
      <c r="Y512" s="87"/>
      <c r="Z512" s="87"/>
      <c r="AA512" s="87"/>
      <c r="AB512" s="87" t="s">
        <v>377</v>
      </c>
      <c r="AC512" s="87"/>
    </row>
    <row r="513" spans="1:29" ht="12.75">
      <c r="A513" s="85" t="s">
        <v>1949</v>
      </c>
      <c r="B513" s="87" t="s">
        <v>820</v>
      </c>
      <c r="C513" s="80" t="s">
        <v>1149</v>
      </c>
      <c r="D513" s="81" t="s">
        <v>1951</v>
      </c>
      <c r="E513" s="87" t="s">
        <v>325</v>
      </c>
      <c r="F513" s="87" t="s">
        <v>326</v>
      </c>
      <c r="G513" s="259"/>
      <c r="H513" s="256"/>
      <c r="I513" s="225" t="s">
        <v>311</v>
      </c>
      <c r="J513" s="225" t="s">
        <v>311</v>
      </c>
      <c r="K513" s="225" t="s">
        <v>311</v>
      </c>
      <c r="L513" s="248"/>
      <c r="M513" s="224" t="s">
        <v>27</v>
      </c>
      <c r="N513" s="107" t="s">
        <v>27</v>
      </c>
      <c r="O513" s="107" t="s">
        <v>27</v>
      </c>
      <c r="P513" s="81"/>
      <c r="Q513" s="254"/>
      <c r="R513" s="235" t="s">
        <v>26</v>
      </c>
      <c r="S513" s="235" t="s">
        <v>26</v>
      </c>
      <c r="T513" s="235" t="s">
        <v>26</v>
      </c>
      <c r="U513" s="225"/>
      <c r="V513" s="431"/>
      <c r="W513" s="377" t="s">
        <v>1899</v>
      </c>
      <c r="X513" s="87"/>
      <c r="Y513" s="87"/>
      <c r="Z513" s="87"/>
      <c r="AA513" s="87"/>
      <c r="AB513" s="87" t="s">
        <v>377</v>
      </c>
      <c r="AC513" s="87"/>
    </row>
    <row r="514" spans="1:29" ht="12.75">
      <c r="A514" s="85" t="s">
        <v>1949</v>
      </c>
      <c r="B514" s="87" t="s">
        <v>820</v>
      </c>
      <c r="C514" s="80" t="s">
        <v>1151</v>
      </c>
      <c r="D514" s="81" t="s">
        <v>1952</v>
      </c>
      <c r="E514" s="87" t="s">
        <v>325</v>
      </c>
      <c r="F514" s="87" t="s">
        <v>326</v>
      </c>
      <c r="G514" s="259"/>
      <c r="H514" s="256"/>
      <c r="I514" s="225" t="s">
        <v>311</v>
      </c>
      <c r="J514" s="225" t="s">
        <v>311</v>
      </c>
      <c r="K514" s="225" t="s">
        <v>311</v>
      </c>
      <c r="L514" s="248"/>
      <c r="M514" s="224" t="s">
        <v>27</v>
      </c>
      <c r="N514" s="107" t="s">
        <v>27</v>
      </c>
      <c r="O514" s="107" t="s">
        <v>27</v>
      </c>
      <c r="P514" s="81"/>
      <c r="Q514" s="254"/>
      <c r="R514" s="235" t="s">
        <v>26</v>
      </c>
      <c r="S514" s="235" t="s">
        <v>26</v>
      </c>
      <c r="T514" s="235" t="s">
        <v>26</v>
      </c>
      <c r="U514" s="225"/>
      <c r="V514" s="431"/>
      <c r="W514" s="377" t="s">
        <v>1899</v>
      </c>
      <c r="X514" s="87"/>
      <c r="Y514" s="87"/>
      <c r="Z514" s="87"/>
      <c r="AA514" s="87"/>
      <c r="AB514" s="87" t="s">
        <v>377</v>
      </c>
      <c r="AC514" s="87"/>
    </row>
    <row r="515" spans="1:29" ht="12.75">
      <c r="A515" s="85" t="s">
        <v>1949</v>
      </c>
      <c r="B515" s="87" t="s">
        <v>820</v>
      </c>
      <c r="C515" s="80" t="s">
        <v>1153</v>
      </c>
      <c r="D515" s="81" t="s">
        <v>1953</v>
      </c>
      <c r="E515" s="87" t="s">
        <v>325</v>
      </c>
      <c r="F515" s="87" t="s">
        <v>326</v>
      </c>
      <c r="G515" s="259"/>
      <c r="H515" s="256"/>
      <c r="I515" s="225" t="s">
        <v>311</v>
      </c>
      <c r="J515" s="225" t="s">
        <v>311</v>
      </c>
      <c r="K515" s="225" t="s">
        <v>311</v>
      </c>
      <c r="L515" s="248"/>
      <c r="M515" s="224" t="s">
        <v>27</v>
      </c>
      <c r="N515" s="107" t="s">
        <v>27</v>
      </c>
      <c r="O515" s="107" t="s">
        <v>27</v>
      </c>
      <c r="P515" s="81"/>
      <c r="Q515" s="254"/>
      <c r="R515" s="235" t="s">
        <v>26</v>
      </c>
      <c r="S515" s="235" t="s">
        <v>26</v>
      </c>
      <c r="T515" s="235" t="s">
        <v>26</v>
      </c>
      <c r="U515" s="225"/>
      <c r="V515" s="431"/>
      <c r="W515" s="377" t="s">
        <v>1899</v>
      </c>
      <c r="X515" s="87"/>
      <c r="Y515" s="87"/>
      <c r="Z515" s="87"/>
      <c r="AA515" s="87"/>
      <c r="AB515" s="87" t="s">
        <v>377</v>
      </c>
      <c r="AC515" s="87"/>
    </row>
    <row r="516" spans="1:29" ht="12.75">
      <c r="A516" s="85" t="s">
        <v>1954</v>
      </c>
      <c r="B516" s="87" t="s">
        <v>820</v>
      </c>
      <c r="C516" s="80" t="s">
        <v>1147</v>
      </c>
      <c r="D516" s="81" t="s">
        <v>1955</v>
      </c>
      <c r="E516" s="87" t="s">
        <v>325</v>
      </c>
      <c r="F516" s="87" t="s">
        <v>326</v>
      </c>
      <c r="G516" s="259"/>
      <c r="H516" s="256"/>
      <c r="I516" s="225" t="s">
        <v>311</v>
      </c>
      <c r="J516" s="225" t="s">
        <v>311</v>
      </c>
      <c r="K516" s="225" t="s">
        <v>311</v>
      </c>
      <c r="L516" s="248"/>
      <c r="M516" s="224" t="s">
        <v>27</v>
      </c>
      <c r="N516" s="107" t="s">
        <v>27</v>
      </c>
      <c r="O516" s="107" t="s">
        <v>27</v>
      </c>
      <c r="P516" s="81"/>
      <c r="Q516" s="254"/>
      <c r="R516" s="235" t="s">
        <v>26</v>
      </c>
      <c r="S516" s="235" t="s">
        <v>26</v>
      </c>
      <c r="T516" s="235" t="s">
        <v>26</v>
      </c>
      <c r="U516" s="225"/>
      <c r="V516" s="431"/>
      <c r="W516" s="377" t="s">
        <v>1899</v>
      </c>
      <c r="X516" s="87"/>
      <c r="Y516" s="87"/>
      <c r="Z516" s="87"/>
      <c r="AA516" s="87"/>
      <c r="AB516" s="87" t="s">
        <v>377</v>
      </c>
      <c r="AC516" s="87"/>
    </row>
    <row r="517" spans="1:29" ht="12.75">
      <c r="A517" s="85" t="s">
        <v>1954</v>
      </c>
      <c r="B517" s="87" t="s">
        <v>820</v>
      </c>
      <c r="C517" s="80" t="s">
        <v>1149</v>
      </c>
      <c r="D517" s="81" t="s">
        <v>1956</v>
      </c>
      <c r="E517" s="87" t="s">
        <v>325</v>
      </c>
      <c r="F517" s="87" t="s">
        <v>326</v>
      </c>
      <c r="G517" s="259"/>
      <c r="H517" s="256"/>
      <c r="I517" s="225" t="s">
        <v>311</v>
      </c>
      <c r="J517" s="225" t="s">
        <v>311</v>
      </c>
      <c r="K517" s="225" t="s">
        <v>311</v>
      </c>
      <c r="L517" s="248"/>
      <c r="M517" s="224" t="s">
        <v>27</v>
      </c>
      <c r="N517" s="107" t="s">
        <v>27</v>
      </c>
      <c r="O517" s="107" t="s">
        <v>27</v>
      </c>
      <c r="P517" s="81"/>
      <c r="Q517" s="254"/>
      <c r="R517" s="235" t="s">
        <v>26</v>
      </c>
      <c r="S517" s="235" t="s">
        <v>26</v>
      </c>
      <c r="T517" s="235" t="s">
        <v>26</v>
      </c>
      <c r="U517" s="225"/>
      <c r="V517" s="431"/>
      <c r="W517" s="377" t="s">
        <v>1899</v>
      </c>
      <c r="X517" s="87"/>
      <c r="Y517" s="87"/>
      <c r="Z517" s="87"/>
      <c r="AA517" s="87"/>
      <c r="AB517" s="87" t="s">
        <v>377</v>
      </c>
      <c r="AC517" s="87"/>
    </row>
    <row r="518" spans="1:29" ht="12.75">
      <c r="A518" s="85" t="s">
        <v>1954</v>
      </c>
      <c r="B518" s="87" t="s">
        <v>820</v>
      </c>
      <c r="C518" s="80" t="s">
        <v>1151</v>
      </c>
      <c r="D518" s="81" t="s">
        <v>1957</v>
      </c>
      <c r="E518" s="87" t="s">
        <v>325</v>
      </c>
      <c r="F518" s="87" t="s">
        <v>326</v>
      </c>
      <c r="G518" s="259"/>
      <c r="H518" s="256"/>
      <c r="I518" s="225" t="s">
        <v>311</v>
      </c>
      <c r="J518" s="225" t="s">
        <v>311</v>
      </c>
      <c r="K518" s="225" t="s">
        <v>311</v>
      </c>
      <c r="L518" s="248"/>
      <c r="M518" s="224" t="s">
        <v>27</v>
      </c>
      <c r="N518" s="107" t="s">
        <v>27</v>
      </c>
      <c r="O518" s="107" t="s">
        <v>27</v>
      </c>
      <c r="P518" s="81"/>
      <c r="Q518" s="254"/>
      <c r="R518" s="235" t="s">
        <v>26</v>
      </c>
      <c r="S518" s="235" t="s">
        <v>26</v>
      </c>
      <c r="T518" s="235" t="s">
        <v>26</v>
      </c>
      <c r="U518" s="225"/>
      <c r="V518" s="431"/>
      <c r="W518" s="377" t="s">
        <v>1899</v>
      </c>
      <c r="X518" s="87"/>
      <c r="Y518" s="87"/>
      <c r="Z518" s="87"/>
      <c r="AA518" s="87"/>
      <c r="AB518" s="87" t="s">
        <v>377</v>
      </c>
      <c r="AC518" s="87"/>
    </row>
    <row r="519" spans="1:29" ht="12.75">
      <c r="A519" s="85" t="s">
        <v>1954</v>
      </c>
      <c r="B519" s="87" t="s">
        <v>820</v>
      </c>
      <c r="C519" s="80" t="s">
        <v>1153</v>
      </c>
      <c r="D519" s="81" t="s">
        <v>1958</v>
      </c>
      <c r="E519" s="87" t="s">
        <v>325</v>
      </c>
      <c r="F519" s="87" t="s">
        <v>326</v>
      </c>
      <c r="G519" s="322"/>
      <c r="H519" s="330"/>
      <c r="I519" s="225" t="s">
        <v>311</v>
      </c>
      <c r="J519" s="225" t="s">
        <v>311</v>
      </c>
      <c r="K519" s="225" t="s">
        <v>311</v>
      </c>
      <c r="L519" s="248"/>
      <c r="M519" s="224" t="s">
        <v>27</v>
      </c>
      <c r="N519" s="107" t="s">
        <v>27</v>
      </c>
      <c r="O519" s="107" t="s">
        <v>27</v>
      </c>
      <c r="P519" s="81"/>
      <c r="Q519" s="254"/>
      <c r="R519" s="235" t="s">
        <v>26</v>
      </c>
      <c r="S519" s="235" t="s">
        <v>26</v>
      </c>
      <c r="T519" s="235" t="s">
        <v>26</v>
      </c>
      <c r="U519" s="225"/>
      <c r="V519" s="431"/>
      <c r="W519" s="377" t="s">
        <v>1899</v>
      </c>
      <c r="X519" s="87"/>
      <c r="Y519" s="87"/>
      <c r="Z519" s="87"/>
      <c r="AA519" s="87"/>
      <c r="AB519" s="87" t="s">
        <v>377</v>
      </c>
      <c r="AC519" s="87"/>
    </row>
    <row r="520" spans="1:29" ht="409.6">
      <c r="A520" s="85" t="s">
        <v>1959</v>
      </c>
      <c r="B520" s="87" t="s">
        <v>820</v>
      </c>
      <c r="C520" s="80" t="s">
        <v>1147</v>
      </c>
      <c r="D520" s="81" t="s">
        <v>1960</v>
      </c>
      <c r="E520" s="87" t="s">
        <v>325</v>
      </c>
      <c r="F520" s="316" t="s">
        <v>326</v>
      </c>
      <c r="G520" s="246" t="s">
        <v>1961</v>
      </c>
      <c r="H520" s="234" t="s">
        <v>1962</v>
      </c>
      <c r="I520" s="269" t="s">
        <v>337</v>
      </c>
      <c r="J520" s="269" t="s">
        <v>337</v>
      </c>
      <c r="K520" s="269" t="s">
        <v>337</v>
      </c>
      <c r="L520" s="248" t="s">
        <v>329</v>
      </c>
      <c r="M520" s="224" t="s">
        <v>27</v>
      </c>
      <c r="N520" s="107" t="s">
        <v>27</v>
      </c>
      <c r="O520" s="107" t="s">
        <v>27</v>
      </c>
      <c r="P520" s="81" t="s">
        <v>1963</v>
      </c>
      <c r="Q520" s="254" t="s">
        <v>944</v>
      </c>
      <c r="R520" s="224" t="s">
        <v>27</v>
      </c>
      <c r="S520" s="107" t="s">
        <v>27</v>
      </c>
      <c r="T520" s="107" t="s">
        <v>27</v>
      </c>
      <c r="U520" s="225" t="s">
        <v>341</v>
      </c>
      <c r="V520" s="251" t="s">
        <v>1964</v>
      </c>
      <c r="W520" s="377"/>
      <c r="X520" s="85"/>
      <c r="Y520" s="85"/>
      <c r="Z520" s="85"/>
      <c r="AA520" s="85"/>
      <c r="AB520" s="85"/>
      <c r="AC520" s="85"/>
    </row>
    <row r="521" spans="1:29" ht="409.6">
      <c r="A521" s="85" t="s">
        <v>1959</v>
      </c>
      <c r="B521" s="87" t="s">
        <v>820</v>
      </c>
      <c r="C521" s="80" t="s">
        <v>1149</v>
      </c>
      <c r="D521" s="81" t="s">
        <v>1965</v>
      </c>
      <c r="E521" s="87" t="s">
        <v>325</v>
      </c>
      <c r="F521" s="316" t="s">
        <v>326</v>
      </c>
      <c r="G521" s="246" t="s">
        <v>1966</v>
      </c>
      <c r="H521" s="234" t="s">
        <v>1967</v>
      </c>
      <c r="I521" s="269" t="s">
        <v>337</v>
      </c>
      <c r="J521" s="245" t="s">
        <v>337</v>
      </c>
      <c r="K521" s="269" t="s">
        <v>337</v>
      </c>
      <c r="L521" s="248" t="s">
        <v>329</v>
      </c>
      <c r="M521" s="224" t="s">
        <v>27</v>
      </c>
      <c r="N521" s="107" t="s">
        <v>27</v>
      </c>
      <c r="O521" s="107" t="s">
        <v>27</v>
      </c>
      <c r="P521" s="81" t="s">
        <v>1910</v>
      </c>
      <c r="Q521" s="254" t="s">
        <v>944</v>
      </c>
      <c r="R521" s="224" t="s">
        <v>27</v>
      </c>
      <c r="S521" s="107" t="s">
        <v>27</v>
      </c>
      <c r="T521" s="107" t="s">
        <v>27</v>
      </c>
      <c r="U521" s="225" t="s">
        <v>341</v>
      </c>
      <c r="V521" s="251" t="s">
        <v>1964</v>
      </c>
      <c r="W521" s="377"/>
      <c r="X521" s="85"/>
      <c r="Y521" s="85"/>
      <c r="Z521" s="85"/>
      <c r="AA521" s="85"/>
      <c r="AB521" s="85"/>
      <c r="AC521" s="85"/>
    </row>
    <row r="522" spans="1:29" ht="409.6">
      <c r="A522" s="85" t="s">
        <v>1959</v>
      </c>
      <c r="B522" s="87" t="s">
        <v>820</v>
      </c>
      <c r="C522" s="80" t="s">
        <v>1151</v>
      </c>
      <c r="D522" s="81" t="s">
        <v>1968</v>
      </c>
      <c r="E522" s="87" t="s">
        <v>325</v>
      </c>
      <c r="F522" s="316" t="s">
        <v>326</v>
      </c>
      <c r="G522" s="246" t="s">
        <v>1969</v>
      </c>
      <c r="H522" s="234" t="s">
        <v>1970</v>
      </c>
      <c r="I522" s="269" t="s">
        <v>337</v>
      </c>
      <c r="J522" s="245" t="s">
        <v>337</v>
      </c>
      <c r="K522" s="269" t="s">
        <v>337</v>
      </c>
      <c r="L522" s="248" t="s">
        <v>329</v>
      </c>
      <c r="M522" s="224" t="s">
        <v>27</v>
      </c>
      <c r="N522" s="107" t="s">
        <v>27</v>
      </c>
      <c r="O522" s="107" t="s">
        <v>27</v>
      </c>
      <c r="P522" s="81" t="s">
        <v>1910</v>
      </c>
      <c r="Q522" s="254" t="s">
        <v>944</v>
      </c>
      <c r="R522" s="224" t="s">
        <v>27</v>
      </c>
      <c r="S522" s="107" t="s">
        <v>27</v>
      </c>
      <c r="T522" s="107" t="s">
        <v>27</v>
      </c>
      <c r="U522" s="225" t="s">
        <v>341</v>
      </c>
      <c r="V522" s="251" t="s">
        <v>1964</v>
      </c>
      <c r="W522" s="377"/>
      <c r="X522" s="85"/>
      <c r="Y522" s="85"/>
      <c r="Z522" s="85"/>
      <c r="AA522" s="85"/>
      <c r="AB522" s="85"/>
      <c r="AC522" s="85"/>
    </row>
    <row r="523" spans="1:29" ht="409.6">
      <c r="A523" s="85" t="s">
        <v>1959</v>
      </c>
      <c r="B523" s="87" t="s">
        <v>820</v>
      </c>
      <c r="C523" s="80" t="s">
        <v>1153</v>
      </c>
      <c r="D523" s="81" t="s">
        <v>1971</v>
      </c>
      <c r="E523" s="87" t="s">
        <v>325</v>
      </c>
      <c r="F523" s="316" t="s">
        <v>326</v>
      </c>
      <c r="G523" s="246" t="s">
        <v>1972</v>
      </c>
      <c r="H523" s="234" t="s">
        <v>1973</v>
      </c>
      <c r="I523" s="269" t="s">
        <v>337</v>
      </c>
      <c r="J523" s="245" t="s">
        <v>337</v>
      </c>
      <c r="K523" s="269" t="s">
        <v>337</v>
      </c>
      <c r="L523" s="248" t="s">
        <v>329</v>
      </c>
      <c r="M523" s="224" t="s">
        <v>27</v>
      </c>
      <c r="N523" s="107" t="s">
        <v>27</v>
      </c>
      <c r="O523" s="107" t="s">
        <v>27</v>
      </c>
      <c r="P523" s="81" t="s">
        <v>1910</v>
      </c>
      <c r="Q523" s="254" t="s">
        <v>944</v>
      </c>
      <c r="R523" s="224" t="s">
        <v>27</v>
      </c>
      <c r="S523" s="107" t="s">
        <v>27</v>
      </c>
      <c r="T523" s="107" t="s">
        <v>27</v>
      </c>
      <c r="U523" s="225" t="s">
        <v>341</v>
      </c>
      <c r="V523" s="251" t="s">
        <v>1964</v>
      </c>
      <c r="W523" s="377"/>
      <c r="X523" s="85"/>
      <c r="Y523" s="85"/>
      <c r="Z523" s="85"/>
      <c r="AA523" s="85"/>
      <c r="AB523" s="85"/>
      <c r="AC523" s="85"/>
    </row>
    <row r="524" spans="1:29" ht="409.6">
      <c r="A524" s="85" t="s">
        <v>1974</v>
      </c>
      <c r="B524" s="87" t="s">
        <v>820</v>
      </c>
      <c r="C524" s="80" t="s">
        <v>1147</v>
      </c>
      <c r="D524" s="81" t="s">
        <v>1975</v>
      </c>
      <c r="E524" s="87" t="s">
        <v>325</v>
      </c>
      <c r="F524" s="87" t="s">
        <v>326</v>
      </c>
      <c r="G524" s="318" t="s">
        <v>1976</v>
      </c>
      <c r="H524" s="234" t="s">
        <v>1962</v>
      </c>
      <c r="I524" s="269" t="s">
        <v>337</v>
      </c>
      <c r="J524" s="245" t="s">
        <v>337</v>
      </c>
      <c r="K524" s="269" t="s">
        <v>337</v>
      </c>
      <c r="L524" s="248" t="s">
        <v>329</v>
      </c>
      <c r="M524" s="224" t="s">
        <v>27</v>
      </c>
      <c r="N524" s="107" t="s">
        <v>27</v>
      </c>
      <c r="O524" s="107" t="s">
        <v>27</v>
      </c>
      <c r="P524" s="81" t="s">
        <v>1910</v>
      </c>
      <c r="Q524" s="254" t="s">
        <v>944</v>
      </c>
      <c r="R524" s="224" t="s">
        <v>27</v>
      </c>
      <c r="S524" s="107" t="s">
        <v>27</v>
      </c>
      <c r="T524" s="107" t="s">
        <v>27</v>
      </c>
      <c r="U524" s="225" t="s">
        <v>341</v>
      </c>
      <c r="V524" s="251" t="s">
        <v>1964</v>
      </c>
      <c r="W524" s="377"/>
      <c r="X524" s="85"/>
      <c r="Y524" s="85"/>
      <c r="Z524" s="85"/>
      <c r="AA524" s="85"/>
      <c r="AB524" s="85"/>
      <c r="AC524" s="85"/>
    </row>
    <row r="525" spans="1:29" ht="409.6">
      <c r="A525" s="85" t="s">
        <v>1974</v>
      </c>
      <c r="B525" s="87" t="s">
        <v>820</v>
      </c>
      <c r="C525" s="80" t="s">
        <v>1149</v>
      </c>
      <c r="D525" s="81" t="s">
        <v>1977</v>
      </c>
      <c r="E525" s="87" t="s">
        <v>325</v>
      </c>
      <c r="F525" s="87" t="s">
        <v>326</v>
      </c>
      <c r="G525" s="246" t="s">
        <v>1978</v>
      </c>
      <c r="H525" s="234" t="s">
        <v>1967</v>
      </c>
      <c r="I525" s="269" t="s">
        <v>337</v>
      </c>
      <c r="J525" s="245" t="s">
        <v>337</v>
      </c>
      <c r="K525" s="269" t="s">
        <v>337</v>
      </c>
      <c r="L525" s="248" t="s">
        <v>329</v>
      </c>
      <c r="M525" s="224" t="s">
        <v>27</v>
      </c>
      <c r="N525" s="107" t="s">
        <v>27</v>
      </c>
      <c r="O525" s="107" t="s">
        <v>27</v>
      </c>
      <c r="P525" s="81" t="s">
        <v>1910</v>
      </c>
      <c r="Q525" s="254" t="s">
        <v>944</v>
      </c>
      <c r="R525" s="224" t="s">
        <v>27</v>
      </c>
      <c r="S525" s="107" t="s">
        <v>27</v>
      </c>
      <c r="T525" s="107" t="s">
        <v>27</v>
      </c>
      <c r="U525" s="225" t="s">
        <v>341</v>
      </c>
      <c r="V525" s="251" t="s">
        <v>1964</v>
      </c>
      <c r="W525" s="377"/>
      <c r="X525" s="85"/>
      <c r="Y525" s="85"/>
      <c r="Z525" s="85"/>
      <c r="AA525" s="85"/>
      <c r="AB525" s="85"/>
      <c r="AC525" s="85"/>
    </row>
    <row r="526" spans="1:29" ht="409.6">
      <c r="A526" s="85" t="s">
        <v>1974</v>
      </c>
      <c r="B526" s="87" t="s">
        <v>820</v>
      </c>
      <c r="C526" s="80" t="s">
        <v>1151</v>
      </c>
      <c r="D526" s="81" t="s">
        <v>1979</v>
      </c>
      <c r="E526" s="87" t="s">
        <v>325</v>
      </c>
      <c r="F526" s="87" t="s">
        <v>326</v>
      </c>
      <c r="G526" s="246" t="s">
        <v>1980</v>
      </c>
      <c r="H526" s="234" t="s">
        <v>1970</v>
      </c>
      <c r="I526" s="269" t="s">
        <v>337</v>
      </c>
      <c r="J526" s="245" t="s">
        <v>337</v>
      </c>
      <c r="K526" s="269" t="s">
        <v>337</v>
      </c>
      <c r="L526" s="248" t="s">
        <v>329</v>
      </c>
      <c r="M526" s="224" t="s">
        <v>27</v>
      </c>
      <c r="N526" s="107" t="s">
        <v>27</v>
      </c>
      <c r="O526" s="107" t="s">
        <v>27</v>
      </c>
      <c r="P526" s="81" t="s">
        <v>1910</v>
      </c>
      <c r="Q526" s="254" t="s">
        <v>944</v>
      </c>
      <c r="R526" s="224" t="s">
        <v>27</v>
      </c>
      <c r="S526" s="107" t="s">
        <v>27</v>
      </c>
      <c r="T526" s="107" t="s">
        <v>27</v>
      </c>
      <c r="U526" s="225" t="s">
        <v>341</v>
      </c>
      <c r="V526" s="251" t="s">
        <v>1964</v>
      </c>
      <c r="W526" s="377"/>
      <c r="X526" s="85"/>
      <c r="Y526" s="85"/>
      <c r="Z526" s="85"/>
      <c r="AA526" s="85"/>
      <c r="AB526" s="85"/>
      <c r="AC526" s="85"/>
    </row>
    <row r="527" spans="1:29" ht="409.6">
      <c r="A527" s="85" t="s">
        <v>1974</v>
      </c>
      <c r="B527" s="87" t="s">
        <v>820</v>
      </c>
      <c r="C527" s="80" t="s">
        <v>1153</v>
      </c>
      <c r="D527" s="81" t="s">
        <v>1981</v>
      </c>
      <c r="E527" s="87" t="s">
        <v>325</v>
      </c>
      <c r="F527" s="87" t="s">
        <v>326</v>
      </c>
      <c r="G527" s="246" t="s">
        <v>1982</v>
      </c>
      <c r="H527" s="234" t="s">
        <v>1973</v>
      </c>
      <c r="I527" s="269" t="s">
        <v>337</v>
      </c>
      <c r="J527" s="245" t="s">
        <v>337</v>
      </c>
      <c r="K527" s="269" t="s">
        <v>337</v>
      </c>
      <c r="L527" s="248" t="s">
        <v>329</v>
      </c>
      <c r="M527" s="224" t="s">
        <v>27</v>
      </c>
      <c r="N527" s="107" t="s">
        <v>27</v>
      </c>
      <c r="O527" s="107" t="s">
        <v>27</v>
      </c>
      <c r="P527" s="81" t="s">
        <v>1910</v>
      </c>
      <c r="Q527" s="254" t="s">
        <v>944</v>
      </c>
      <c r="R527" s="224" t="s">
        <v>27</v>
      </c>
      <c r="S527" s="107" t="s">
        <v>27</v>
      </c>
      <c r="T527" s="107" t="s">
        <v>27</v>
      </c>
      <c r="U527" s="225" t="s">
        <v>341</v>
      </c>
      <c r="V527" s="251" t="s">
        <v>1964</v>
      </c>
      <c r="W527" s="377"/>
      <c r="X527" s="85"/>
      <c r="Y527" s="85"/>
      <c r="Z527" s="85"/>
      <c r="AA527" s="85"/>
      <c r="AB527" s="85"/>
      <c r="AC527" s="85"/>
    </row>
    <row r="528" spans="1:29" ht="409.6">
      <c r="A528" s="85" t="s">
        <v>920</v>
      </c>
      <c r="B528" s="87" t="s">
        <v>921</v>
      </c>
      <c r="C528" s="80" t="s">
        <v>1983</v>
      </c>
      <c r="D528" s="81" t="s">
        <v>1984</v>
      </c>
      <c r="E528" s="87" t="s">
        <v>325</v>
      </c>
      <c r="F528" s="87" t="s">
        <v>326</v>
      </c>
      <c r="G528" s="246" t="s">
        <v>1985</v>
      </c>
      <c r="H528" s="234" t="s">
        <v>1986</v>
      </c>
      <c r="I528" s="269" t="s">
        <v>337</v>
      </c>
      <c r="J528" s="245" t="s">
        <v>337</v>
      </c>
      <c r="K528" s="269" t="s">
        <v>337</v>
      </c>
      <c r="L528" s="248" t="s">
        <v>329</v>
      </c>
      <c r="M528" s="283" t="s">
        <v>24</v>
      </c>
      <c r="N528" s="106" t="s">
        <v>24</v>
      </c>
      <c r="O528" s="106" t="s">
        <v>24</v>
      </c>
      <c r="P528" s="81" t="s">
        <v>1774</v>
      </c>
      <c r="Q528" s="254" t="s">
        <v>944</v>
      </c>
      <c r="R528" s="267" t="s">
        <v>24</v>
      </c>
      <c r="S528" s="107" t="s">
        <v>24</v>
      </c>
      <c r="T528" s="107" t="s">
        <v>24</v>
      </c>
      <c r="U528" s="225" t="s">
        <v>329</v>
      </c>
      <c r="V528" s="251" t="s">
        <v>1987</v>
      </c>
      <c r="W528" s="377"/>
      <c r="X528" s="85"/>
      <c r="Y528" s="85"/>
      <c r="Z528" s="85"/>
      <c r="AA528" s="85"/>
      <c r="AB528" s="85"/>
      <c r="AC528" s="85"/>
    </row>
    <row r="529" spans="1:29" ht="409.6">
      <c r="A529" s="85" t="s">
        <v>920</v>
      </c>
      <c r="B529" s="87" t="s">
        <v>921</v>
      </c>
      <c r="C529" s="80" t="s">
        <v>1983</v>
      </c>
      <c r="D529" s="81" t="s">
        <v>1988</v>
      </c>
      <c r="E529" s="87" t="s">
        <v>325</v>
      </c>
      <c r="F529" s="87" t="s">
        <v>326</v>
      </c>
      <c r="G529" s="246" t="s">
        <v>1989</v>
      </c>
      <c r="H529" s="352" t="s">
        <v>1990</v>
      </c>
      <c r="I529" s="269" t="s">
        <v>337</v>
      </c>
      <c r="J529" s="245" t="s">
        <v>337</v>
      </c>
      <c r="K529" s="269" t="s">
        <v>337</v>
      </c>
      <c r="L529" s="248" t="s">
        <v>329</v>
      </c>
      <c r="M529" s="283" t="s">
        <v>24</v>
      </c>
      <c r="N529" s="106" t="s">
        <v>24</v>
      </c>
      <c r="O529" s="106" t="s">
        <v>24</v>
      </c>
      <c r="P529" s="81" t="s">
        <v>1991</v>
      </c>
      <c r="Q529" s="254" t="s">
        <v>944</v>
      </c>
      <c r="R529" s="267" t="s">
        <v>24</v>
      </c>
      <c r="S529" s="107" t="s">
        <v>24</v>
      </c>
      <c r="T529" s="107" t="s">
        <v>24</v>
      </c>
      <c r="U529" s="225" t="s">
        <v>329</v>
      </c>
      <c r="V529" s="251" t="s">
        <v>1992</v>
      </c>
      <c r="W529" s="377"/>
      <c r="X529" s="85"/>
      <c r="Y529" s="85"/>
      <c r="Z529" s="85"/>
      <c r="AA529" s="85"/>
      <c r="AB529" s="85"/>
      <c r="AC529" s="85"/>
    </row>
    <row r="530" spans="1:29" ht="409.6">
      <c r="A530" s="85" t="s">
        <v>920</v>
      </c>
      <c r="B530" s="87" t="s">
        <v>921</v>
      </c>
      <c r="C530" s="80" t="s">
        <v>1983</v>
      </c>
      <c r="D530" s="81" t="s">
        <v>1993</v>
      </c>
      <c r="E530" s="87" t="s">
        <v>325</v>
      </c>
      <c r="F530" s="87" t="s">
        <v>326</v>
      </c>
      <c r="G530" s="246" t="s">
        <v>1994</v>
      </c>
      <c r="H530" s="234" t="s">
        <v>1995</v>
      </c>
      <c r="I530" s="269" t="s">
        <v>337</v>
      </c>
      <c r="J530" s="245" t="s">
        <v>337</v>
      </c>
      <c r="K530" s="269" t="s">
        <v>337</v>
      </c>
      <c r="L530" s="248" t="s">
        <v>329</v>
      </c>
      <c r="M530" s="283" t="s">
        <v>24</v>
      </c>
      <c r="N530" s="106" t="s">
        <v>24</v>
      </c>
      <c r="O530" s="106" t="s">
        <v>24</v>
      </c>
      <c r="P530" s="81" t="s">
        <v>1991</v>
      </c>
      <c r="Q530" s="254" t="s">
        <v>944</v>
      </c>
      <c r="R530" s="267" t="s">
        <v>24</v>
      </c>
      <c r="S530" s="107" t="s">
        <v>24</v>
      </c>
      <c r="T530" s="107" t="s">
        <v>24</v>
      </c>
      <c r="U530" s="225" t="s">
        <v>329</v>
      </c>
      <c r="V530" s="251" t="s">
        <v>1992</v>
      </c>
      <c r="W530" s="377"/>
      <c r="X530" s="85"/>
      <c r="Y530" s="85"/>
      <c r="Z530" s="85"/>
      <c r="AA530" s="85"/>
      <c r="AB530" s="85"/>
      <c r="AC530" s="85"/>
    </row>
    <row r="531" spans="1:29" ht="409.6">
      <c r="A531" s="85" t="s">
        <v>920</v>
      </c>
      <c r="B531" s="87" t="s">
        <v>921</v>
      </c>
      <c r="C531" s="80" t="s">
        <v>1983</v>
      </c>
      <c r="D531" s="81" t="s">
        <v>1996</v>
      </c>
      <c r="E531" s="87" t="s">
        <v>325</v>
      </c>
      <c r="F531" s="87" t="s">
        <v>326</v>
      </c>
      <c r="G531" s="246" t="s">
        <v>1997</v>
      </c>
      <c r="H531" s="256" t="s">
        <v>1998</v>
      </c>
      <c r="I531" s="269" t="s">
        <v>337</v>
      </c>
      <c r="J531" s="245" t="s">
        <v>337</v>
      </c>
      <c r="K531" s="269" t="s">
        <v>337</v>
      </c>
      <c r="L531" s="248" t="s">
        <v>329</v>
      </c>
      <c r="M531" s="283" t="s">
        <v>24</v>
      </c>
      <c r="N531" s="106" t="s">
        <v>24</v>
      </c>
      <c r="O531" s="106" t="s">
        <v>24</v>
      </c>
      <c r="P531" s="81" t="s">
        <v>1991</v>
      </c>
      <c r="Q531" s="254" t="s">
        <v>944</v>
      </c>
      <c r="R531" s="267" t="s">
        <v>24</v>
      </c>
      <c r="S531" s="107" t="s">
        <v>24</v>
      </c>
      <c r="T531" s="107" t="s">
        <v>24</v>
      </c>
      <c r="U531" s="225" t="s">
        <v>329</v>
      </c>
      <c r="V531" s="251" t="s">
        <v>1999</v>
      </c>
      <c r="W531" s="377"/>
      <c r="X531" s="85"/>
      <c r="Y531" s="85"/>
      <c r="Z531" s="85"/>
      <c r="AA531" s="85"/>
      <c r="AB531" s="85"/>
      <c r="AC531" s="85"/>
    </row>
    <row r="532" spans="1:29" ht="409.6">
      <c r="A532" s="85" t="s">
        <v>920</v>
      </c>
      <c r="B532" s="87" t="s">
        <v>921</v>
      </c>
      <c r="C532" s="80" t="s">
        <v>1983</v>
      </c>
      <c r="D532" s="81" t="s">
        <v>2000</v>
      </c>
      <c r="E532" s="87" t="s">
        <v>325</v>
      </c>
      <c r="F532" s="87" t="s">
        <v>326</v>
      </c>
      <c r="G532" s="246" t="s">
        <v>2001</v>
      </c>
      <c r="H532" s="256"/>
      <c r="I532" s="269" t="s">
        <v>337</v>
      </c>
      <c r="J532" s="245" t="s">
        <v>337</v>
      </c>
      <c r="K532" s="269" t="s">
        <v>337</v>
      </c>
      <c r="L532" s="248" t="s">
        <v>329</v>
      </c>
      <c r="M532" s="283" t="s">
        <v>24</v>
      </c>
      <c r="N532" s="106" t="s">
        <v>24</v>
      </c>
      <c r="O532" s="106" t="s">
        <v>24</v>
      </c>
      <c r="P532" s="81" t="s">
        <v>1991</v>
      </c>
      <c r="Q532" s="254" t="s">
        <v>944</v>
      </c>
      <c r="R532" s="267" t="s">
        <v>24</v>
      </c>
      <c r="S532" s="107" t="s">
        <v>24</v>
      </c>
      <c r="T532" s="107" t="s">
        <v>24</v>
      </c>
      <c r="U532" s="225" t="s">
        <v>329</v>
      </c>
      <c r="V532" s="251" t="s">
        <v>1999</v>
      </c>
      <c r="W532" s="377"/>
      <c r="X532" s="85"/>
      <c r="Y532" s="85"/>
      <c r="Z532" s="85"/>
      <c r="AA532" s="85"/>
      <c r="AB532" s="85"/>
      <c r="AC532" s="85"/>
    </row>
    <row r="533" spans="1:29" ht="409.6">
      <c r="A533" s="85" t="s">
        <v>920</v>
      </c>
      <c r="B533" s="87" t="s">
        <v>921</v>
      </c>
      <c r="C533" s="80" t="s">
        <v>1983</v>
      </c>
      <c r="D533" s="81" t="s">
        <v>2002</v>
      </c>
      <c r="E533" s="87" t="s">
        <v>325</v>
      </c>
      <c r="F533" s="87" t="s">
        <v>326</v>
      </c>
      <c r="G533" s="246" t="s">
        <v>2003</v>
      </c>
      <c r="H533" s="234" t="s">
        <v>2004</v>
      </c>
      <c r="I533" s="269" t="s">
        <v>337</v>
      </c>
      <c r="J533" s="245" t="s">
        <v>337</v>
      </c>
      <c r="K533" s="269" t="s">
        <v>337</v>
      </c>
      <c r="L533" s="248" t="s">
        <v>329</v>
      </c>
      <c r="M533" s="283" t="s">
        <v>24</v>
      </c>
      <c r="N533" s="106" t="s">
        <v>24</v>
      </c>
      <c r="O533" s="106" t="s">
        <v>24</v>
      </c>
      <c r="P533" s="81" t="s">
        <v>1991</v>
      </c>
      <c r="Q533" s="254" t="s">
        <v>944</v>
      </c>
      <c r="R533" s="267" t="s">
        <v>24</v>
      </c>
      <c r="S533" s="107" t="s">
        <v>24</v>
      </c>
      <c r="T533" s="107" t="s">
        <v>24</v>
      </c>
      <c r="U533" s="225" t="s">
        <v>329</v>
      </c>
      <c r="V533" s="251" t="s">
        <v>2005</v>
      </c>
      <c r="W533" s="377"/>
      <c r="X533" s="85"/>
      <c r="Y533" s="85"/>
      <c r="Z533" s="85"/>
      <c r="AA533" s="85"/>
      <c r="AB533" s="85"/>
      <c r="AC533" s="85"/>
    </row>
    <row r="534" spans="1:29" ht="409.6">
      <c r="A534" s="85" t="s">
        <v>2006</v>
      </c>
      <c r="B534" s="87" t="s">
        <v>2007</v>
      </c>
      <c r="C534" s="80" t="s">
        <v>2008</v>
      </c>
      <c r="D534" s="81" t="s">
        <v>2009</v>
      </c>
      <c r="E534" s="245" t="s">
        <v>27</v>
      </c>
      <c r="F534" s="87" t="s">
        <v>317</v>
      </c>
      <c r="G534" s="259"/>
      <c r="H534" s="256"/>
      <c r="I534" s="271" t="s">
        <v>317</v>
      </c>
      <c r="J534" s="271" t="s">
        <v>317</v>
      </c>
      <c r="K534" s="271" t="s">
        <v>317</v>
      </c>
      <c r="L534" s="248"/>
      <c r="M534" s="249"/>
      <c r="N534" s="225"/>
      <c r="O534" s="225"/>
      <c r="P534" s="225"/>
      <c r="Q534" s="250"/>
      <c r="R534" s="215" t="s">
        <v>27</v>
      </c>
      <c r="S534" s="215" t="s">
        <v>27</v>
      </c>
      <c r="T534" s="215" t="s">
        <v>27</v>
      </c>
      <c r="U534" s="225"/>
      <c r="V534" s="251"/>
      <c r="W534" s="377"/>
      <c r="X534" s="85"/>
      <c r="Y534" s="85"/>
      <c r="Z534" s="85"/>
      <c r="AA534" s="85"/>
      <c r="AB534" s="85"/>
      <c r="AC534" s="85"/>
    </row>
    <row r="535" spans="1:29" ht="27">
      <c r="A535" s="85" t="s">
        <v>2006</v>
      </c>
      <c r="B535" s="87" t="s">
        <v>2007</v>
      </c>
      <c r="C535" s="80" t="s">
        <v>2010</v>
      </c>
      <c r="D535" s="81" t="s">
        <v>2011</v>
      </c>
      <c r="E535" s="245" t="s">
        <v>27</v>
      </c>
      <c r="F535" s="87" t="s">
        <v>317</v>
      </c>
      <c r="G535" s="259"/>
      <c r="H535" s="256"/>
      <c r="I535" s="271" t="s">
        <v>317</v>
      </c>
      <c r="J535" s="271" t="s">
        <v>317</v>
      </c>
      <c r="K535" s="271" t="s">
        <v>317</v>
      </c>
      <c r="L535" s="248"/>
      <c r="M535" s="249"/>
      <c r="N535" s="225"/>
      <c r="O535" s="225"/>
      <c r="P535" s="225"/>
      <c r="Q535" s="250"/>
      <c r="R535" s="215" t="s">
        <v>27</v>
      </c>
      <c r="S535" s="215" t="s">
        <v>27</v>
      </c>
      <c r="T535" s="215" t="s">
        <v>27</v>
      </c>
      <c r="U535" s="225"/>
      <c r="V535" s="251"/>
      <c r="W535" s="377"/>
      <c r="X535" s="85"/>
      <c r="Y535" s="85"/>
      <c r="Z535" s="85"/>
      <c r="AA535" s="85"/>
      <c r="AB535" s="85"/>
      <c r="AC535" s="85"/>
    </row>
    <row r="536" spans="1:29" ht="27">
      <c r="A536" s="85" t="s">
        <v>2006</v>
      </c>
      <c r="B536" s="87" t="s">
        <v>2007</v>
      </c>
      <c r="C536" s="80" t="s">
        <v>2012</v>
      </c>
      <c r="D536" s="81" t="s">
        <v>2013</v>
      </c>
      <c r="E536" s="245" t="s">
        <v>27</v>
      </c>
      <c r="F536" s="87" t="s">
        <v>317</v>
      </c>
      <c r="G536" s="259"/>
      <c r="H536" s="256"/>
      <c r="I536" s="271" t="s">
        <v>317</v>
      </c>
      <c r="J536" s="271" t="s">
        <v>317</v>
      </c>
      <c r="K536" s="271" t="s">
        <v>317</v>
      </c>
      <c r="L536" s="248"/>
      <c r="M536" s="249"/>
      <c r="N536" s="225"/>
      <c r="O536" s="225"/>
      <c r="P536" s="225"/>
      <c r="Q536" s="250"/>
      <c r="R536" s="215" t="s">
        <v>27</v>
      </c>
      <c r="S536" s="215" t="s">
        <v>27</v>
      </c>
      <c r="T536" s="215" t="s">
        <v>27</v>
      </c>
      <c r="U536" s="225"/>
      <c r="V536" s="251"/>
      <c r="W536" s="377"/>
      <c r="X536" s="85"/>
      <c r="Y536" s="85"/>
      <c r="Z536" s="85"/>
      <c r="AA536" s="85"/>
      <c r="AB536" s="85"/>
      <c r="AC536" s="85"/>
    </row>
    <row r="537" spans="1:29" ht="27">
      <c r="A537" s="85" t="s">
        <v>2006</v>
      </c>
      <c r="B537" s="87" t="s">
        <v>2007</v>
      </c>
      <c r="C537" s="80" t="s">
        <v>2014</v>
      </c>
      <c r="D537" s="81" t="s">
        <v>2015</v>
      </c>
      <c r="E537" s="245" t="s">
        <v>27</v>
      </c>
      <c r="F537" s="87" t="s">
        <v>317</v>
      </c>
      <c r="G537" s="259"/>
      <c r="H537" s="256"/>
      <c r="I537" s="271" t="s">
        <v>317</v>
      </c>
      <c r="J537" s="271" t="s">
        <v>317</v>
      </c>
      <c r="K537" s="271" t="s">
        <v>317</v>
      </c>
      <c r="L537" s="248"/>
      <c r="M537" s="249"/>
      <c r="N537" s="225"/>
      <c r="O537" s="225"/>
      <c r="P537" s="225"/>
      <c r="Q537" s="250"/>
      <c r="R537" s="215" t="s">
        <v>27</v>
      </c>
      <c r="S537" s="215" t="s">
        <v>27</v>
      </c>
      <c r="T537" s="215" t="s">
        <v>27</v>
      </c>
      <c r="U537" s="225"/>
      <c r="V537" s="251"/>
      <c r="W537" s="377"/>
      <c r="X537" s="85"/>
      <c r="Y537" s="85"/>
      <c r="Z537" s="85"/>
      <c r="AA537" s="85"/>
      <c r="AB537" s="85"/>
      <c r="AC537" s="85"/>
    </row>
    <row r="538" spans="1:29" ht="27">
      <c r="A538" s="85" t="s">
        <v>2016</v>
      </c>
      <c r="B538" s="87" t="s">
        <v>2007</v>
      </c>
      <c r="C538" s="80" t="s">
        <v>2017</v>
      </c>
      <c r="D538" s="81" t="s">
        <v>2018</v>
      </c>
      <c r="E538" s="245" t="s">
        <v>27</v>
      </c>
      <c r="F538" s="87" t="s">
        <v>317</v>
      </c>
      <c r="G538" s="259"/>
      <c r="H538" s="256"/>
      <c r="I538" s="271" t="s">
        <v>317</v>
      </c>
      <c r="J538" s="271" t="s">
        <v>317</v>
      </c>
      <c r="K538" s="271" t="s">
        <v>317</v>
      </c>
      <c r="L538" s="248"/>
      <c r="M538" s="249"/>
      <c r="N538" s="225"/>
      <c r="O538" s="225"/>
      <c r="P538" s="225"/>
      <c r="Q538" s="250"/>
      <c r="R538" s="215" t="s">
        <v>27</v>
      </c>
      <c r="S538" s="215" t="s">
        <v>27</v>
      </c>
      <c r="T538" s="215" t="s">
        <v>27</v>
      </c>
      <c r="U538" s="225"/>
      <c r="V538" s="251"/>
      <c r="W538" s="377"/>
      <c r="X538" s="85"/>
      <c r="Y538" s="85"/>
      <c r="Z538" s="85"/>
      <c r="AA538" s="85"/>
      <c r="AB538" s="85"/>
      <c r="AC538" s="85"/>
    </row>
    <row r="539" spans="1:29" ht="27">
      <c r="A539" s="85" t="s">
        <v>2016</v>
      </c>
      <c r="B539" s="87" t="s">
        <v>2007</v>
      </c>
      <c r="C539" s="80" t="s">
        <v>2019</v>
      </c>
      <c r="D539" s="81" t="s">
        <v>2020</v>
      </c>
      <c r="E539" s="245" t="s">
        <v>27</v>
      </c>
      <c r="F539" s="87" t="s">
        <v>317</v>
      </c>
      <c r="G539" s="259"/>
      <c r="H539" s="256"/>
      <c r="I539" s="271" t="s">
        <v>317</v>
      </c>
      <c r="J539" s="271" t="s">
        <v>317</v>
      </c>
      <c r="K539" s="271" t="s">
        <v>317</v>
      </c>
      <c r="L539" s="248"/>
      <c r="M539" s="249"/>
      <c r="N539" s="225"/>
      <c r="O539" s="225"/>
      <c r="P539" s="225"/>
      <c r="Q539" s="250"/>
      <c r="R539" s="215" t="s">
        <v>27</v>
      </c>
      <c r="S539" s="215" t="s">
        <v>27</v>
      </c>
      <c r="T539" s="215" t="s">
        <v>27</v>
      </c>
      <c r="U539" s="225"/>
      <c r="V539" s="251"/>
      <c r="W539" s="377"/>
      <c r="X539" s="85"/>
      <c r="Y539" s="85"/>
      <c r="Z539" s="85"/>
      <c r="AA539" s="85"/>
      <c r="AB539" s="85"/>
      <c r="AC539" s="85"/>
    </row>
    <row r="540" spans="1:29" ht="27">
      <c r="A540" s="85" t="s">
        <v>2016</v>
      </c>
      <c r="B540" s="87" t="s">
        <v>2007</v>
      </c>
      <c r="C540" s="80" t="s">
        <v>2021</v>
      </c>
      <c r="D540" s="81" t="s">
        <v>2022</v>
      </c>
      <c r="E540" s="245" t="s">
        <v>27</v>
      </c>
      <c r="F540" s="87" t="s">
        <v>317</v>
      </c>
      <c r="G540" s="259"/>
      <c r="H540" s="256"/>
      <c r="I540" s="271" t="s">
        <v>317</v>
      </c>
      <c r="J540" s="271" t="s">
        <v>317</v>
      </c>
      <c r="K540" s="271" t="s">
        <v>317</v>
      </c>
      <c r="L540" s="248"/>
      <c r="M540" s="249"/>
      <c r="N540" s="225"/>
      <c r="O540" s="225"/>
      <c r="P540" s="225"/>
      <c r="Q540" s="250"/>
      <c r="R540" s="215" t="s">
        <v>27</v>
      </c>
      <c r="S540" s="215" t="s">
        <v>27</v>
      </c>
      <c r="T540" s="215" t="s">
        <v>27</v>
      </c>
      <c r="U540" s="225"/>
      <c r="V540" s="251"/>
      <c r="W540" s="377"/>
      <c r="X540" s="85"/>
      <c r="Y540" s="85"/>
      <c r="Z540" s="85"/>
      <c r="AA540" s="85"/>
      <c r="AB540" s="85"/>
      <c r="AC540" s="85"/>
    </row>
    <row r="541" spans="1:29" ht="27">
      <c r="A541" s="85" t="s">
        <v>2016</v>
      </c>
      <c r="B541" s="87" t="s">
        <v>2007</v>
      </c>
      <c r="C541" s="80" t="s">
        <v>2023</v>
      </c>
      <c r="D541" s="81" t="s">
        <v>2024</v>
      </c>
      <c r="E541" s="245" t="s">
        <v>27</v>
      </c>
      <c r="F541" s="87" t="s">
        <v>317</v>
      </c>
      <c r="G541" s="259"/>
      <c r="H541" s="256"/>
      <c r="I541" s="271" t="s">
        <v>317</v>
      </c>
      <c r="J541" s="271" t="s">
        <v>317</v>
      </c>
      <c r="K541" s="271" t="s">
        <v>317</v>
      </c>
      <c r="L541" s="248"/>
      <c r="M541" s="249"/>
      <c r="N541" s="225"/>
      <c r="O541" s="225"/>
      <c r="P541" s="225"/>
      <c r="Q541" s="250"/>
      <c r="R541" s="215" t="s">
        <v>27</v>
      </c>
      <c r="S541" s="215" t="s">
        <v>27</v>
      </c>
      <c r="T541" s="215" t="s">
        <v>27</v>
      </c>
      <c r="U541" s="225"/>
      <c r="V541" s="251"/>
      <c r="W541" s="377"/>
      <c r="X541" s="85"/>
      <c r="Y541" s="85"/>
      <c r="Z541" s="85"/>
      <c r="AA541" s="85"/>
      <c r="AB541" s="85"/>
      <c r="AC541" s="85"/>
    </row>
    <row r="542" spans="1:29" ht="27">
      <c r="A542" s="85" t="s">
        <v>2016</v>
      </c>
      <c r="B542" s="87" t="s">
        <v>2007</v>
      </c>
      <c r="C542" s="80" t="s">
        <v>2008</v>
      </c>
      <c r="D542" s="81" t="s">
        <v>2025</v>
      </c>
      <c r="E542" s="245" t="s">
        <v>27</v>
      </c>
      <c r="F542" s="87" t="s">
        <v>317</v>
      </c>
      <c r="G542" s="259"/>
      <c r="H542" s="256" t="s">
        <v>2026</v>
      </c>
      <c r="I542" s="271" t="s">
        <v>317</v>
      </c>
      <c r="J542" s="271" t="s">
        <v>317</v>
      </c>
      <c r="K542" s="271" t="s">
        <v>317</v>
      </c>
      <c r="L542" s="248"/>
      <c r="M542" s="249"/>
      <c r="N542" s="225"/>
      <c r="O542" s="225"/>
      <c r="P542" s="225"/>
      <c r="Q542" s="250"/>
      <c r="R542" s="215" t="s">
        <v>27</v>
      </c>
      <c r="S542" s="215" t="s">
        <v>27</v>
      </c>
      <c r="T542" s="215" t="s">
        <v>27</v>
      </c>
      <c r="U542" s="225"/>
      <c r="V542" s="251"/>
      <c r="W542" s="377"/>
      <c r="X542" s="85"/>
      <c r="Y542" s="85"/>
      <c r="Z542" s="85"/>
      <c r="AA542" s="85"/>
      <c r="AB542" s="85"/>
      <c r="AC542" s="85"/>
    </row>
    <row r="543" spans="1:29" ht="27">
      <c r="A543" s="85" t="s">
        <v>2016</v>
      </c>
      <c r="B543" s="87" t="s">
        <v>2007</v>
      </c>
      <c r="C543" s="80" t="s">
        <v>2027</v>
      </c>
      <c r="D543" s="81" t="s">
        <v>2028</v>
      </c>
      <c r="E543" s="245" t="s">
        <v>27</v>
      </c>
      <c r="F543" s="87" t="s">
        <v>317</v>
      </c>
      <c r="G543" s="259"/>
      <c r="H543" s="256" t="s">
        <v>2029</v>
      </c>
      <c r="I543" s="271" t="s">
        <v>317</v>
      </c>
      <c r="J543" s="271" t="s">
        <v>317</v>
      </c>
      <c r="K543" s="271" t="s">
        <v>317</v>
      </c>
      <c r="L543" s="248"/>
      <c r="M543" s="249"/>
      <c r="N543" s="225"/>
      <c r="O543" s="225"/>
      <c r="P543" s="225"/>
      <c r="Q543" s="250"/>
      <c r="R543" s="215" t="s">
        <v>27</v>
      </c>
      <c r="S543" s="215" t="s">
        <v>27</v>
      </c>
      <c r="T543" s="215" t="s">
        <v>27</v>
      </c>
      <c r="U543" s="225"/>
      <c r="V543" s="251"/>
      <c r="W543" s="377"/>
      <c r="X543" s="85"/>
      <c r="Y543" s="85"/>
      <c r="Z543" s="85"/>
      <c r="AA543" s="85"/>
      <c r="AB543" s="85"/>
      <c r="AC543" s="85"/>
    </row>
    <row r="544" spans="1:29" ht="27">
      <c r="A544" s="85" t="s">
        <v>2016</v>
      </c>
      <c r="B544" s="87" t="s">
        <v>2007</v>
      </c>
      <c r="C544" s="80" t="s">
        <v>2010</v>
      </c>
      <c r="D544" s="81" t="s">
        <v>2030</v>
      </c>
      <c r="E544" s="245" t="s">
        <v>27</v>
      </c>
      <c r="F544" s="87" t="s">
        <v>317</v>
      </c>
      <c r="G544" s="259"/>
      <c r="H544" s="256"/>
      <c r="I544" s="271" t="s">
        <v>317</v>
      </c>
      <c r="J544" s="271" t="s">
        <v>317</v>
      </c>
      <c r="K544" s="271" t="s">
        <v>317</v>
      </c>
      <c r="L544" s="248"/>
      <c r="M544" s="249"/>
      <c r="N544" s="225"/>
      <c r="O544" s="225"/>
      <c r="P544" s="225"/>
      <c r="Q544" s="250"/>
      <c r="R544" s="215" t="s">
        <v>27</v>
      </c>
      <c r="S544" s="215" t="s">
        <v>27</v>
      </c>
      <c r="T544" s="215" t="s">
        <v>27</v>
      </c>
      <c r="U544" s="225"/>
      <c r="V544" s="251"/>
      <c r="W544" s="377"/>
      <c r="X544" s="85"/>
      <c r="Y544" s="85"/>
      <c r="Z544" s="85"/>
      <c r="AA544" s="85"/>
      <c r="AB544" s="85"/>
      <c r="AC544" s="85"/>
    </row>
    <row r="545" spans="1:29" ht="27">
      <c r="A545" s="85" t="s">
        <v>2016</v>
      </c>
      <c r="B545" s="87" t="s">
        <v>2007</v>
      </c>
      <c r="C545" s="80" t="s">
        <v>2012</v>
      </c>
      <c r="D545" s="81" t="s">
        <v>2031</v>
      </c>
      <c r="E545" s="245" t="s">
        <v>27</v>
      </c>
      <c r="F545" s="87" t="s">
        <v>317</v>
      </c>
      <c r="G545" s="259"/>
      <c r="H545" s="256"/>
      <c r="I545" s="271" t="s">
        <v>317</v>
      </c>
      <c r="J545" s="271" t="s">
        <v>317</v>
      </c>
      <c r="K545" s="271" t="s">
        <v>317</v>
      </c>
      <c r="L545" s="248"/>
      <c r="M545" s="249"/>
      <c r="N545" s="225"/>
      <c r="O545" s="225"/>
      <c r="P545" s="225"/>
      <c r="Q545" s="250"/>
      <c r="R545" s="215" t="s">
        <v>27</v>
      </c>
      <c r="S545" s="215" t="s">
        <v>27</v>
      </c>
      <c r="T545" s="215" t="s">
        <v>27</v>
      </c>
      <c r="U545" s="225"/>
      <c r="V545" s="251"/>
      <c r="W545" s="377"/>
      <c r="X545" s="85"/>
      <c r="Y545" s="85"/>
      <c r="Z545" s="85"/>
      <c r="AA545" s="85"/>
      <c r="AB545" s="85"/>
      <c r="AC545" s="85"/>
    </row>
    <row r="546" spans="1:29" ht="27">
      <c r="A546" s="85" t="s">
        <v>2016</v>
      </c>
      <c r="B546" s="87" t="s">
        <v>2007</v>
      </c>
      <c r="C546" s="80" t="s">
        <v>2032</v>
      </c>
      <c r="D546" s="81" t="s">
        <v>2033</v>
      </c>
      <c r="E546" s="245" t="s">
        <v>27</v>
      </c>
      <c r="F546" s="87" t="s">
        <v>317</v>
      </c>
      <c r="G546" s="259"/>
      <c r="H546" s="256"/>
      <c r="I546" s="271" t="s">
        <v>317</v>
      </c>
      <c r="J546" s="271" t="s">
        <v>317</v>
      </c>
      <c r="K546" s="271" t="s">
        <v>317</v>
      </c>
      <c r="L546" s="248"/>
      <c r="M546" s="249"/>
      <c r="N546" s="225"/>
      <c r="O546" s="225"/>
      <c r="P546" s="225"/>
      <c r="Q546" s="250"/>
      <c r="R546" s="215" t="s">
        <v>27</v>
      </c>
      <c r="S546" s="215" t="s">
        <v>27</v>
      </c>
      <c r="T546" s="215" t="s">
        <v>27</v>
      </c>
      <c r="U546" s="225"/>
      <c r="V546" s="251"/>
      <c r="W546" s="377"/>
      <c r="X546" s="85"/>
      <c r="Y546" s="85"/>
      <c r="Z546" s="85"/>
      <c r="AA546" s="85"/>
      <c r="AB546" s="85"/>
      <c r="AC546" s="85"/>
    </row>
    <row r="547" spans="1:29" ht="27">
      <c r="A547" s="85" t="s">
        <v>2016</v>
      </c>
      <c r="B547" s="87" t="s">
        <v>2007</v>
      </c>
      <c r="C547" s="80" t="s">
        <v>2034</v>
      </c>
      <c r="D547" s="81" t="s">
        <v>2035</v>
      </c>
      <c r="E547" s="245" t="s">
        <v>27</v>
      </c>
      <c r="F547" s="87" t="s">
        <v>317</v>
      </c>
      <c r="G547" s="259"/>
      <c r="H547" s="256"/>
      <c r="I547" s="271" t="s">
        <v>317</v>
      </c>
      <c r="J547" s="271" t="s">
        <v>317</v>
      </c>
      <c r="K547" s="271" t="s">
        <v>317</v>
      </c>
      <c r="L547" s="248"/>
      <c r="M547" s="249"/>
      <c r="N547" s="225"/>
      <c r="O547" s="225"/>
      <c r="P547" s="225"/>
      <c r="Q547" s="250"/>
      <c r="R547" s="215" t="s">
        <v>27</v>
      </c>
      <c r="S547" s="215" t="s">
        <v>27</v>
      </c>
      <c r="T547" s="215" t="s">
        <v>27</v>
      </c>
      <c r="U547" s="225"/>
      <c r="V547" s="251"/>
      <c r="W547" s="377"/>
      <c r="X547" s="85"/>
      <c r="Y547" s="85"/>
      <c r="Z547" s="85"/>
      <c r="AA547" s="85"/>
      <c r="AB547" s="85"/>
      <c r="AC547" s="85"/>
    </row>
    <row r="548" spans="1:29" ht="27">
      <c r="A548" s="85" t="s">
        <v>2036</v>
      </c>
      <c r="B548" s="87" t="s">
        <v>2007</v>
      </c>
      <c r="C548" s="80" t="s">
        <v>2037</v>
      </c>
      <c r="D548" s="81" t="s">
        <v>2038</v>
      </c>
      <c r="E548" s="245" t="s">
        <v>27</v>
      </c>
      <c r="F548" s="87" t="s">
        <v>317</v>
      </c>
      <c r="G548" s="259"/>
      <c r="H548" s="256"/>
      <c r="I548" s="271" t="s">
        <v>317</v>
      </c>
      <c r="J548" s="271" t="s">
        <v>317</v>
      </c>
      <c r="K548" s="271" t="s">
        <v>317</v>
      </c>
      <c r="L548" s="248"/>
      <c r="M548" s="249"/>
      <c r="N548" s="225"/>
      <c r="O548" s="225"/>
      <c r="P548" s="225"/>
      <c r="Q548" s="250"/>
      <c r="R548" s="215" t="s">
        <v>27</v>
      </c>
      <c r="S548" s="215" t="s">
        <v>27</v>
      </c>
      <c r="T548" s="215" t="s">
        <v>27</v>
      </c>
      <c r="U548" s="225"/>
      <c r="V548" s="251"/>
      <c r="W548" s="377"/>
      <c r="X548" s="85"/>
      <c r="Y548" s="85"/>
      <c r="Z548" s="85"/>
      <c r="AA548" s="85"/>
      <c r="AB548" s="85"/>
      <c r="AC548" s="85"/>
    </row>
    <row r="549" spans="1:29" ht="27">
      <c r="A549" s="85" t="s">
        <v>2036</v>
      </c>
      <c r="B549" s="87" t="s">
        <v>2007</v>
      </c>
      <c r="C549" s="80" t="s">
        <v>2039</v>
      </c>
      <c r="D549" s="81" t="s">
        <v>2040</v>
      </c>
      <c r="E549" s="245" t="s">
        <v>27</v>
      </c>
      <c r="F549" s="87" t="s">
        <v>317</v>
      </c>
      <c r="G549" s="259"/>
      <c r="H549" s="256"/>
      <c r="I549" s="271" t="s">
        <v>317</v>
      </c>
      <c r="J549" s="271" t="s">
        <v>317</v>
      </c>
      <c r="K549" s="271" t="s">
        <v>317</v>
      </c>
      <c r="L549" s="248"/>
      <c r="M549" s="249"/>
      <c r="N549" s="225"/>
      <c r="O549" s="225"/>
      <c r="P549" s="225"/>
      <c r="Q549" s="250"/>
      <c r="R549" s="215" t="s">
        <v>27</v>
      </c>
      <c r="S549" s="215" t="s">
        <v>27</v>
      </c>
      <c r="T549" s="215" t="s">
        <v>27</v>
      </c>
      <c r="U549" s="225"/>
      <c r="V549" s="251"/>
      <c r="W549" s="377"/>
      <c r="X549" s="85"/>
      <c r="Y549" s="85"/>
      <c r="Z549" s="85"/>
      <c r="AA549" s="85"/>
      <c r="AB549" s="85"/>
      <c r="AC549" s="85"/>
    </row>
    <row r="550" spans="1:29" ht="27">
      <c r="A550" s="85" t="s">
        <v>2036</v>
      </c>
      <c r="B550" s="87" t="s">
        <v>2007</v>
      </c>
      <c r="C550" s="80" t="s">
        <v>1388</v>
      </c>
      <c r="D550" s="81" t="s">
        <v>2041</v>
      </c>
      <c r="E550" s="245" t="s">
        <v>27</v>
      </c>
      <c r="F550" s="87" t="s">
        <v>317</v>
      </c>
      <c r="G550" s="259"/>
      <c r="H550" s="256"/>
      <c r="I550" s="271" t="s">
        <v>317</v>
      </c>
      <c r="J550" s="271" t="s">
        <v>317</v>
      </c>
      <c r="K550" s="271" t="s">
        <v>317</v>
      </c>
      <c r="L550" s="248"/>
      <c r="M550" s="249"/>
      <c r="N550" s="225"/>
      <c r="O550" s="225"/>
      <c r="P550" s="225"/>
      <c r="Q550" s="250"/>
      <c r="R550" s="215" t="s">
        <v>27</v>
      </c>
      <c r="S550" s="215" t="s">
        <v>27</v>
      </c>
      <c r="T550" s="215" t="s">
        <v>27</v>
      </c>
      <c r="U550" s="225"/>
      <c r="V550" s="251"/>
      <c r="W550" s="377"/>
      <c r="X550" s="85"/>
      <c r="Y550" s="85"/>
      <c r="Z550" s="85"/>
      <c r="AA550" s="85"/>
      <c r="AB550" s="85"/>
      <c r="AC550" s="85"/>
    </row>
    <row r="551" spans="1:29" ht="27">
      <c r="A551" s="85" t="s">
        <v>2036</v>
      </c>
      <c r="B551" s="87" t="s">
        <v>2007</v>
      </c>
      <c r="C551" s="80" t="s">
        <v>2042</v>
      </c>
      <c r="D551" s="81" t="s">
        <v>2043</v>
      </c>
      <c r="E551" s="245" t="s">
        <v>27</v>
      </c>
      <c r="F551" s="87" t="s">
        <v>317</v>
      </c>
      <c r="G551" s="259"/>
      <c r="H551" s="256"/>
      <c r="I551" s="271" t="s">
        <v>317</v>
      </c>
      <c r="J551" s="271" t="s">
        <v>317</v>
      </c>
      <c r="K551" s="271" t="s">
        <v>317</v>
      </c>
      <c r="L551" s="248"/>
      <c r="M551" s="249"/>
      <c r="N551" s="225"/>
      <c r="O551" s="225"/>
      <c r="P551" s="225"/>
      <c r="Q551" s="250"/>
      <c r="R551" s="215" t="s">
        <v>27</v>
      </c>
      <c r="S551" s="215" t="s">
        <v>27</v>
      </c>
      <c r="T551" s="215" t="s">
        <v>27</v>
      </c>
      <c r="U551" s="225"/>
      <c r="V551" s="251"/>
      <c r="W551" s="377"/>
      <c r="X551" s="85"/>
      <c r="Y551" s="85"/>
      <c r="Z551" s="85"/>
      <c r="AA551" s="85"/>
      <c r="AB551" s="85"/>
      <c r="AC551" s="85"/>
    </row>
    <row r="552" spans="1:29" ht="27">
      <c r="A552" s="85" t="s">
        <v>2044</v>
      </c>
      <c r="B552" s="87" t="s">
        <v>2007</v>
      </c>
      <c r="C552" s="80" t="s">
        <v>2045</v>
      </c>
      <c r="D552" s="81" t="s">
        <v>2046</v>
      </c>
      <c r="E552" s="245" t="s">
        <v>27</v>
      </c>
      <c r="F552" s="87" t="s">
        <v>317</v>
      </c>
      <c r="G552" s="259"/>
      <c r="H552" s="256"/>
      <c r="I552" s="271" t="s">
        <v>317</v>
      </c>
      <c r="J552" s="271" t="s">
        <v>317</v>
      </c>
      <c r="K552" s="271" t="s">
        <v>317</v>
      </c>
      <c r="L552" s="248"/>
      <c r="M552" s="249"/>
      <c r="N552" s="225"/>
      <c r="O552" s="225"/>
      <c r="P552" s="225"/>
      <c r="Q552" s="250"/>
      <c r="R552" s="215" t="s">
        <v>27</v>
      </c>
      <c r="S552" s="215" t="s">
        <v>27</v>
      </c>
      <c r="T552" s="215" t="s">
        <v>27</v>
      </c>
      <c r="U552" s="225"/>
      <c r="V552" s="251"/>
      <c r="W552" s="377"/>
      <c r="X552" s="85"/>
      <c r="Y552" s="85"/>
      <c r="Z552" s="85"/>
      <c r="AA552" s="85"/>
      <c r="AB552" s="85"/>
      <c r="AC552" s="85"/>
    </row>
    <row r="553" spans="1:29" ht="27">
      <c r="A553" s="85" t="s">
        <v>2044</v>
      </c>
      <c r="B553" s="87" t="s">
        <v>2007</v>
      </c>
      <c r="C553" s="80" t="s">
        <v>1140</v>
      </c>
      <c r="D553" s="81" t="s">
        <v>2047</v>
      </c>
      <c r="E553" s="245" t="s">
        <v>27</v>
      </c>
      <c r="F553" s="87" t="s">
        <v>317</v>
      </c>
      <c r="G553" s="259"/>
      <c r="H553" s="256"/>
      <c r="I553" s="271" t="s">
        <v>317</v>
      </c>
      <c r="J553" s="271" t="s">
        <v>317</v>
      </c>
      <c r="K553" s="271" t="s">
        <v>317</v>
      </c>
      <c r="L553" s="248"/>
      <c r="M553" s="249"/>
      <c r="N553" s="225"/>
      <c r="O553" s="225"/>
      <c r="P553" s="225"/>
      <c r="Q553" s="250"/>
      <c r="R553" s="215" t="s">
        <v>27</v>
      </c>
      <c r="S553" s="215" t="s">
        <v>27</v>
      </c>
      <c r="T553" s="215" t="s">
        <v>27</v>
      </c>
      <c r="U553" s="225"/>
      <c r="V553" s="251"/>
      <c r="W553" s="377"/>
      <c r="X553" s="85"/>
      <c r="Y553" s="85"/>
      <c r="Z553" s="85"/>
      <c r="AA553" s="85"/>
      <c r="AB553" s="85"/>
      <c r="AC553" s="85"/>
    </row>
    <row r="554" spans="1:29" ht="27">
      <c r="A554" s="85" t="s">
        <v>2044</v>
      </c>
      <c r="B554" s="87" t="s">
        <v>2007</v>
      </c>
      <c r="C554" s="80" t="s">
        <v>1138</v>
      </c>
      <c r="D554" s="81" t="s">
        <v>2048</v>
      </c>
      <c r="E554" s="245" t="s">
        <v>27</v>
      </c>
      <c r="F554" s="87" t="s">
        <v>317</v>
      </c>
      <c r="G554" s="259"/>
      <c r="H554" s="256"/>
      <c r="I554" s="271" t="s">
        <v>317</v>
      </c>
      <c r="J554" s="271" t="s">
        <v>317</v>
      </c>
      <c r="K554" s="271" t="s">
        <v>317</v>
      </c>
      <c r="L554" s="248"/>
      <c r="M554" s="249"/>
      <c r="N554" s="225"/>
      <c r="O554" s="225"/>
      <c r="P554" s="225"/>
      <c r="Q554" s="250"/>
      <c r="R554" s="215" t="s">
        <v>27</v>
      </c>
      <c r="S554" s="215" t="s">
        <v>27</v>
      </c>
      <c r="T554" s="215" t="s">
        <v>27</v>
      </c>
      <c r="U554" s="225"/>
      <c r="V554" s="251"/>
      <c r="W554" s="377"/>
      <c r="X554" s="85"/>
      <c r="Y554" s="85"/>
      <c r="Z554" s="85"/>
      <c r="AA554" s="85"/>
      <c r="AB554" s="85"/>
      <c r="AC554" s="85"/>
    </row>
    <row r="555" spans="1:29" ht="27">
      <c r="A555" s="85" t="s">
        <v>2044</v>
      </c>
      <c r="B555" s="87" t="s">
        <v>2007</v>
      </c>
      <c r="C555" s="80" t="s">
        <v>2049</v>
      </c>
      <c r="D555" s="81" t="s">
        <v>2050</v>
      </c>
      <c r="E555" s="245" t="s">
        <v>27</v>
      </c>
      <c r="F555" s="87" t="s">
        <v>317</v>
      </c>
      <c r="G555" s="259"/>
      <c r="H555" s="256"/>
      <c r="I555" s="271" t="s">
        <v>317</v>
      </c>
      <c r="J555" s="271" t="s">
        <v>317</v>
      </c>
      <c r="K555" s="271" t="s">
        <v>317</v>
      </c>
      <c r="L555" s="248"/>
      <c r="M555" s="249"/>
      <c r="N555" s="225"/>
      <c r="O555" s="225"/>
      <c r="P555" s="225"/>
      <c r="Q555" s="250"/>
      <c r="R555" s="215" t="s">
        <v>27</v>
      </c>
      <c r="S555" s="215" t="s">
        <v>27</v>
      </c>
      <c r="T555" s="215" t="s">
        <v>27</v>
      </c>
      <c r="U555" s="225"/>
      <c r="V555" s="251"/>
      <c r="W555" s="377"/>
      <c r="X555" s="85"/>
      <c r="Y555" s="85"/>
      <c r="Z555" s="85"/>
      <c r="AA555" s="85"/>
      <c r="AB555" s="85"/>
      <c r="AC555" s="85"/>
    </row>
    <row r="556" spans="1:29" ht="27">
      <c r="A556" s="85" t="s">
        <v>2044</v>
      </c>
      <c r="B556" s="87" t="s">
        <v>2007</v>
      </c>
      <c r="C556" s="80" t="s">
        <v>2051</v>
      </c>
      <c r="D556" s="81" t="s">
        <v>2052</v>
      </c>
      <c r="E556" s="245" t="s">
        <v>27</v>
      </c>
      <c r="F556" s="87" t="s">
        <v>317</v>
      </c>
      <c r="G556" s="259"/>
      <c r="H556" s="256"/>
      <c r="I556" s="271" t="s">
        <v>317</v>
      </c>
      <c r="J556" s="271" t="s">
        <v>317</v>
      </c>
      <c r="K556" s="271" t="s">
        <v>317</v>
      </c>
      <c r="L556" s="248"/>
      <c r="M556" s="249"/>
      <c r="N556" s="225"/>
      <c r="O556" s="225"/>
      <c r="P556" s="225"/>
      <c r="Q556" s="250"/>
      <c r="R556" s="215" t="s">
        <v>27</v>
      </c>
      <c r="S556" s="215" t="s">
        <v>27</v>
      </c>
      <c r="T556" s="215" t="s">
        <v>27</v>
      </c>
      <c r="U556" s="225"/>
      <c r="V556" s="251"/>
      <c r="W556" s="377"/>
      <c r="X556" s="85"/>
      <c r="Y556" s="85"/>
      <c r="Z556" s="85"/>
      <c r="AA556" s="85"/>
      <c r="AB556" s="85"/>
      <c r="AC556" s="85"/>
    </row>
    <row r="557" spans="1:29" ht="27">
      <c r="A557" s="85" t="s">
        <v>2044</v>
      </c>
      <c r="B557" s="87" t="s">
        <v>2007</v>
      </c>
      <c r="C557" s="80" t="s">
        <v>1421</v>
      </c>
      <c r="D557" s="81" t="s">
        <v>2053</v>
      </c>
      <c r="E557" s="245" t="s">
        <v>27</v>
      </c>
      <c r="F557" s="87" t="s">
        <v>317</v>
      </c>
      <c r="G557" s="259"/>
      <c r="H557" s="256"/>
      <c r="I557" s="271" t="s">
        <v>317</v>
      </c>
      <c r="J557" s="271" t="s">
        <v>317</v>
      </c>
      <c r="K557" s="271" t="s">
        <v>317</v>
      </c>
      <c r="L557" s="248"/>
      <c r="M557" s="249"/>
      <c r="N557" s="225"/>
      <c r="O557" s="225"/>
      <c r="P557" s="225"/>
      <c r="Q557" s="250"/>
      <c r="R557" s="215" t="s">
        <v>27</v>
      </c>
      <c r="S557" s="215" t="s">
        <v>27</v>
      </c>
      <c r="T557" s="215" t="s">
        <v>27</v>
      </c>
      <c r="U557" s="225"/>
      <c r="V557" s="251"/>
      <c r="W557" s="377"/>
      <c r="X557" s="85"/>
      <c r="Y557" s="85"/>
      <c r="Z557" s="85"/>
      <c r="AA557" s="85"/>
      <c r="AB557" s="85"/>
      <c r="AC557" s="85"/>
    </row>
    <row r="558" spans="1:29" ht="27">
      <c r="A558" s="85" t="s">
        <v>2044</v>
      </c>
      <c r="B558" s="87" t="s">
        <v>2007</v>
      </c>
      <c r="C558" s="80" t="s">
        <v>2054</v>
      </c>
      <c r="D558" s="81" t="s">
        <v>2055</v>
      </c>
      <c r="E558" s="245" t="s">
        <v>27</v>
      </c>
      <c r="F558" s="87" t="s">
        <v>317</v>
      </c>
      <c r="G558" s="259"/>
      <c r="H558" s="256"/>
      <c r="I558" s="271" t="s">
        <v>317</v>
      </c>
      <c r="J558" s="271" t="s">
        <v>317</v>
      </c>
      <c r="K558" s="271" t="s">
        <v>317</v>
      </c>
      <c r="L558" s="248"/>
      <c r="M558" s="249"/>
      <c r="N558" s="225"/>
      <c r="O558" s="225"/>
      <c r="P558" s="225"/>
      <c r="Q558" s="250"/>
      <c r="R558" s="215" t="s">
        <v>27</v>
      </c>
      <c r="S558" s="215" t="s">
        <v>27</v>
      </c>
      <c r="T558" s="215" t="s">
        <v>27</v>
      </c>
      <c r="U558" s="225"/>
      <c r="V558" s="251"/>
      <c r="W558" s="377"/>
      <c r="X558" s="85"/>
      <c r="Y558" s="85"/>
      <c r="Z558" s="85"/>
      <c r="AA558" s="85"/>
      <c r="AB558" s="85"/>
      <c r="AC558" s="85"/>
    </row>
    <row r="559" spans="1:29" ht="27">
      <c r="A559" s="85" t="s">
        <v>2044</v>
      </c>
      <c r="B559" s="87" t="s">
        <v>2007</v>
      </c>
      <c r="C559" s="80" t="s">
        <v>2056</v>
      </c>
      <c r="D559" s="81" t="s">
        <v>2057</v>
      </c>
      <c r="E559" s="245" t="s">
        <v>27</v>
      </c>
      <c r="F559" s="87" t="s">
        <v>317</v>
      </c>
      <c r="G559" s="259"/>
      <c r="H559" s="256"/>
      <c r="I559" s="271" t="s">
        <v>317</v>
      </c>
      <c r="J559" s="271" t="s">
        <v>317</v>
      </c>
      <c r="K559" s="271" t="s">
        <v>317</v>
      </c>
      <c r="L559" s="248"/>
      <c r="M559" s="249"/>
      <c r="N559" s="225"/>
      <c r="O559" s="225"/>
      <c r="P559" s="225"/>
      <c r="Q559" s="250"/>
      <c r="R559" s="215" t="s">
        <v>27</v>
      </c>
      <c r="S559" s="215" t="s">
        <v>27</v>
      </c>
      <c r="T559" s="215" t="s">
        <v>27</v>
      </c>
      <c r="U559" s="225"/>
      <c r="V559" s="251"/>
      <c r="W559" s="377"/>
      <c r="X559" s="85"/>
      <c r="Y559" s="85"/>
      <c r="Z559" s="85"/>
      <c r="AA559" s="85"/>
      <c r="AB559" s="85"/>
      <c r="AC559" s="85"/>
    </row>
    <row r="560" spans="1:29" ht="27">
      <c r="A560" s="85" t="s">
        <v>2044</v>
      </c>
      <c r="B560" s="87" t="s">
        <v>2007</v>
      </c>
      <c r="C560" s="80" t="s">
        <v>2058</v>
      </c>
      <c r="D560" s="81" t="s">
        <v>2059</v>
      </c>
      <c r="E560" s="245" t="s">
        <v>27</v>
      </c>
      <c r="F560" s="87" t="s">
        <v>317</v>
      </c>
      <c r="G560" s="259"/>
      <c r="H560" s="256"/>
      <c r="I560" s="271" t="s">
        <v>317</v>
      </c>
      <c r="J560" s="271" t="s">
        <v>317</v>
      </c>
      <c r="K560" s="271" t="s">
        <v>317</v>
      </c>
      <c r="L560" s="248"/>
      <c r="M560" s="249"/>
      <c r="N560" s="225"/>
      <c r="O560" s="225"/>
      <c r="P560" s="225"/>
      <c r="Q560" s="250"/>
      <c r="R560" s="215" t="s">
        <v>27</v>
      </c>
      <c r="S560" s="215" t="s">
        <v>27</v>
      </c>
      <c r="T560" s="215" t="s">
        <v>27</v>
      </c>
      <c r="U560" s="225"/>
      <c r="V560" s="251"/>
      <c r="W560" s="377"/>
      <c r="X560" s="85"/>
      <c r="Y560" s="85"/>
      <c r="Z560" s="85"/>
      <c r="AA560" s="85"/>
      <c r="AB560" s="85"/>
      <c r="AC560" s="85"/>
    </row>
    <row r="561" spans="1:29" ht="27">
      <c r="A561" s="85" t="s">
        <v>2044</v>
      </c>
      <c r="B561" s="87" t="s">
        <v>2007</v>
      </c>
      <c r="C561" s="80" t="s">
        <v>2060</v>
      </c>
      <c r="D561" s="81" t="s">
        <v>2061</v>
      </c>
      <c r="E561" s="245" t="s">
        <v>27</v>
      </c>
      <c r="F561" s="87" t="s">
        <v>317</v>
      </c>
      <c r="G561" s="259"/>
      <c r="H561" s="256"/>
      <c r="I561" s="271" t="s">
        <v>317</v>
      </c>
      <c r="J561" s="271" t="s">
        <v>317</v>
      </c>
      <c r="K561" s="271" t="s">
        <v>317</v>
      </c>
      <c r="L561" s="248"/>
      <c r="M561" s="249"/>
      <c r="N561" s="225"/>
      <c r="O561" s="225"/>
      <c r="P561" s="225"/>
      <c r="Q561" s="250"/>
      <c r="R561" s="215" t="s">
        <v>27</v>
      </c>
      <c r="S561" s="215" t="s">
        <v>27</v>
      </c>
      <c r="T561" s="215" t="s">
        <v>27</v>
      </c>
      <c r="U561" s="225"/>
      <c r="V561" s="251"/>
      <c r="W561" s="377"/>
      <c r="X561" s="85"/>
      <c r="Y561" s="85"/>
      <c r="Z561" s="85"/>
      <c r="AA561" s="85"/>
      <c r="AB561" s="85"/>
      <c r="AC561" s="85"/>
    </row>
    <row r="562" spans="1:29" ht="27">
      <c r="A562" s="85" t="s">
        <v>2044</v>
      </c>
      <c r="B562" s="87" t="s">
        <v>2007</v>
      </c>
      <c r="C562" s="80" t="s">
        <v>2062</v>
      </c>
      <c r="D562" s="81" t="s">
        <v>2063</v>
      </c>
      <c r="E562" s="245" t="s">
        <v>27</v>
      </c>
      <c r="F562" s="87" t="s">
        <v>317</v>
      </c>
      <c r="G562" s="259"/>
      <c r="H562" s="256"/>
      <c r="I562" s="271" t="s">
        <v>317</v>
      </c>
      <c r="J562" s="271" t="s">
        <v>317</v>
      </c>
      <c r="K562" s="271" t="s">
        <v>317</v>
      </c>
      <c r="L562" s="248"/>
      <c r="M562" s="249"/>
      <c r="N562" s="225"/>
      <c r="O562" s="225"/>
      <c r="P562" s="225"/>
      <c r="Q562" s="250"/>
      <c r="R562" s="215" t="s">
        <v>27</v>
      </c>
      <c r="S562" s="215" t="s">
        <v>27</v>
      </c>
      <c r="T562" s="215" t="s">
        <v>27</v>
      </c>
      <c r="U562" s="225"/>
      <c r="V562" s="251"/>
      <c r="W562" s="377"/>
      <c r="X562" s="85"/>
      <c r="Y562" s="85"/>
      <c r="Z562" s="85"/>
      <c r="AA562" s="85"/>
      <c r="AB562" s="85"/>
      <c r="AC562" s="85"/>
    </row>
    <row r="563" spans="1:29" ht="27">
      <c r="A563" s="85" t="s">
        <v>2044</v>
      </c>
      <c r="B563" s="87" t="s">
        <v>2007</v>
      </c>
      <c r="C563" s="80" t="s">
        <v>2064</v>
      </c>
      <c r="D563" s="81" t="s">
        <v>2065</v>
      </c>
      <c r="E563" s="245" t="s">
        <v>27</v>
      </c>
      <c r="F563" s="87" t="s">
        <v>317</v>
      </c>
      <c r="G563" s="259"/>
      <c r="H563" s="256"/>
      <c r="I563" s="271" t="s">
        <v>317</v>
      </c>
      <c r="J563" s="271" t="s">
        <v>317</v>
      </c>
      <c r="K563" s="271" t="s">
        <v>317</v>
      </c>
      <c r="L563" s="248"/>
      <c r="M563" s="249"/>
      <c r="N563" s="225"/>
      <c r="O563" s="225"/>
      <c r="P563" s="225"/>
      <c r="Q563" s="250"/>
      <c r="R563" s="215" t="s">
        <v>27</v>
      </c>
      <c r="S563" s="215" t="s">
        <v>27</v>
      </c>
      <c r="T563" s="215" t="s">
        <v>27</v>
      </c>
      <c r="U563" s="225"/>
      <c r="V563" s="251"/>
      <c r="W563" s="377"/>
      <c r="X563" s="85"/>
      <c r="Y563" s="85"/>
      <c r="Z563" s="85"/>
      <c r="AA563" s="85"/>
      <c r="AB563" s="85"/>
      <c r="AC563" s="85"/>
    </row>
    <row r="564" spans="1:29" ht="27">
      <c r="A564" s="85" t="s">
        <v>2044</v>
      </c>
      <c r="B564" s="87" t="s">
        <v>2007</v>
      </c>
      <c r="C564" s="80" t="s">
        <v>2066</v>
      </c>
      <c r="D564" s="81" t="s">
        <v>2067</v>
      </c>
      <c r="E564" s="245" t="s">
        <v>27</v>
      </c>
      <c r="F564" s="87" t="s">
        <v>317</v>
      </c>
      <c r="G564" s="259"/>
      <c r="H564" s="256"/>
      <c r="I564" s="271" t="s">
        <v>317</v>
      </c>
      <c r="J564" s="271" t="s">
        <v>317</v>
      </c>
      <c r="K564" s="271" t="s">
        <v>317</v>
      </c>
      <c r="L564" s="248"/>
      <c r="M564" s="249"/>
      <c r="N564" s="225"/>
      <c r="O564" s="225"/>
      <c r="P564" s="225"/>
      <c r="Q564" s="250"/>
      <c r="R564" s="215" t="s">
        <v>27</v>
      </c>
      <c r="S564" s="215" t="s">
        <v>27</v>
      </c>
      <c r="T564" s="215" t="s">
        <v>27</v>
      </c>
      <c r="U564" s="225"/>
      <c r="V564" s="251"/>
      <c r="W564" s="377"/>
      <c r="X564" s="85"/>
      <c r="Y564" s="85"/>
      <c r="Z564" s="85"/>
      <c r="AA564" s="85"/>
      <c r="AB564" s="85"/>
      <c r="AC564" s="85"/>
    </row>
    <row r="565" spans="1:29" ht="27">
      <c r="A565" s="85" t="s">
        <v>2044</v>
      </c>
      <c r="B565" s="87" t="s">
        <v>2007</v>
      </c>
      <c r="C565" s="80" t="s">
        <v>2068</v>
      </c>
      <c r="D565" s="81" t="s">
        <v>2069</v>
      </c>
      <c r="E565" s="245" t="s">
        <v>27</v>
      </c>
      <c r="F565" s="87" t="s">
        <v>317</v>
      </c>
      <c r="G565" s="259"/>
      <c r="H565" s="256"/>
      <c r="I565" s="271" t="s">
        <v>317</v>
      </c>
      <c r="J565" s="271" t="s">
        <v>317</v>
      </c>
      <c r="K565" s="271" t="s">
        <v>317</v>
      </c>
      <c r="L565" s="248"/>
      <c r="M565" s="249"/>
      <c r="N565" s="225"/>
      <c r="O565" s="225"/>
      <c r="P565" s="225"/>
      <c r="Q565" s="250"/>
      <c r="R565" s="215" t="s">
        <v>27</v>
      </c>
      <c r="S565" s="215" t="s">
        <v>27</v>
      </c>
      <c r="T565" s="215" t="s">
        <v>27</v>
      </c>
      <c r="U565" s="225"/>
      <c r="V565" s="251"/>
      <c r="W565" s="377"/>
      <c r="X565" s="85"/>
      <c r="Y565" s="85"/>
      <c r="Z565" s="85"/>
      <c r="AA565" s="85"/>
      <c r="AB565" s="85"/>
      <c r="AC565" s="85"/>
    </row>
    <row r="566" spans="1:29" ht="27">
      <c r="A566" s="85" t="s">
        <v>2070</v>
      </c>
      <c r="B566" s="87" t="s">
        <v>2007</v>
      </c>
      <c r="C566" s="80" t="s">
        <v>2017</v>
      </c>
      <c r="D566" s="81" t="s">
        <v>2071</v>
      </c>
      <c r="E566" s="245" t="s">
        <v>27</v>
      </c>
      <c r="F566" s="87" t="s">
        <v>317</v>
      </c>
      <c r="G566" s="259"/>
      <c r="H566" s="256"/>
      <c r="I566" s="271" t="s">
        <v>317</v>
      </c>
      <c r="J566" s="271" t="s">
        <v>317</v>
      </c>
      <c r="K566" s="271" t="s">
        <v>317</v>
      </c>
      <c r="L566" s="248"/>
      <c r="M566" s="249"/>
      <c r="N566" s="225"/>
      <c r="O566" s="225"/>
      <c r="P566" s="225"/>
      <c r="Q566" s="250"/>
      <c r="R566" s="215" t="s">
        <v>27</v>
      </c>
      <c r="S566" s="215" t="s">
        <v>27</v>
      </c>
      <c r="T566" s="215" t="s">
        <v>27</v>
      </c>
      <c r="U566" s="225"/>
      <c r="V566" s="251"/>
      <c r="W566" s="377"/>
      <c r="X566" s="85"/>
      <c r="Y566" s="85"/>
      <c r="Z566" s="85"/>
      <c r="AA566" s="85"/>
      <c r="AB566" s="85"/>
      <c r="AC566" s="85"/>
    </row>
    <row r="567" spans="1:29" ht="27">
      <c r="A567" s="85" t="s">
        <v>2070</v>
      </c>
      <c r="B567" s="87" t="s">
        <v>2007</v>
      </c>
      <c r="C567" s="80" t="s">
        <v>2019</v>
      </c>
      <c r="D567" s="81" t="s">
        <v>2072</v>
      </c>
      <c r="E567" s="245" t="s">
        <v>27</v>
      </c>
      <c r="F567" s="87" t="s">
        <v>317</v>
      </c>
      <c r="G567" s="259"/>
      <c r="H567" s="256"/>
      <c r="I567" s="271" t="s">
        <v>317</v>
      </c>
      <c r="J567" s="271" t="s">
        <v>317</v>
      </c>
      <c r="K567" s="271" t="s">
        <v>317</v>
      </c>
      <c r="L567" s="248"/>
      <c r="M567" s="249"/>
      <c r="N567" s="225"/>
      <c r="O567" s="225"/>
      <c r="P567" s="225"/>
      <c r="Q567" s="250"/>
      <c r="R567" s="215" t="s">
        <v>27</v>
      </c>
      <c r="S567" s="215" t="s">
        <v>27</v>
      </c>
      <c r="T567" s="215" t="s">
        <v>27</v>
      </c>
      <c r="U567" s="225"/>
      <c r="V567" s="251"/>
      <c r="W567" s="377"/>
      <c r="X567" s="85"/>
      <c r="Y567" s="85"/>
      <c r="Z567" s="85"/>
      <c r="AA567" s="85"/>
      <c r="AB567" s="85"/>
      <c r="AC567" s="85"/>
    </row>
    <row r="568" spans="1:29" ht="27">
      <c r="A568" s="85" t="s">
        <v>2070</v>
      </c>
      <c r="B568" s="87" t="s">
        <v>2007</v>
      </c>
      <c r="C568" s="80" t="s">
        <v>2021</v>
      </c>
      <c r="D568" s="81" t="s">
        <v>2073</v>
      </c>
      <c r="E568" s="245" t="s">
        <v>27</v>
      </c>
      <c r="F568" s="87" t="s">
        <v>317</v>
      </c>
      <c r="G568" s="259"/>
      <c r="H568" s="256"/>
      <c r="I568" s="271" t="s">
        <v>317</v>
      </c>
      <c r="J568" s="271" t="s">
        <v>317</v>
      </c>
      <c r="K568" s="271" t="s">
        <v>317</v>
      </c>
      <c r="L568" s="248"/>
      <c r="M568" s="249"/>
      <c r="N568" s="225"/>
      <c r="O568" s="225"/>
      <c r="P568" s="225"/>
      <c r="Q568" s="250"/>
      <c r="R568" s="215" t="s">
        <v>27</v>
      </c>
      <c r="S568" s="215" t="s">
        <v>27</v>
      </c>
      <c r="T568" s="215" t="s">
        <v>27</v>
      </c>
      <c r="U568" s="225"/>
      <c r="V568" s="251"/>
      <c r="W568" s="377"/>
      <c r="X568" s="85"/>
      <c r="Y568" s="85"/>
      <c r="Z568" s="85"/>
      <c r="AA568" s="85"/>
      <c r="AB568" s="85"/>
      <c r="AC568" s="85"/>
    </row>
    <row r="569" spans="1:29" ht="27">
      <c r="A569" s="85" t="s">
        <v>2070</v>
      </c>
      <c r="B569" s="87" t="s">
        <v>2007</v>
      </c>
      <c r="C569" s="80" t="s">
        <v>2023</v>
      </c>
      <c r="D569" s="81" t="s">
        <v>2074</v>
      </c>
      <c r="E569" s="245" t="s">
        <v>27</v>
      </c>
      <c r="F569" s="87" t="s">
        <v>317</v>
      </c>
      <c r="G569" s="259"/>
      <c r="H569" s="256"/>
      <c r="I569" s="271" t="s">
        <v>317</v>
      </c>
      <c r="J569" s="271" t="s">
        <v>317</v>
      </c>
      <c r="K569" s="271" t="s">
        <v>317</v>
      </c>
      <c r="L569" s="248"/>
      <c r="M569" s="249"/>
      <c r="N569" s="225"/>
      <c r="O569" s="225"/>
      <c r="P569" s="225"/>
      <c r="Q569" s="250"/>
      <c r="R569" s="215" t="s">
        <v>27</v>
      </c>
      <c r="S569" s="215" t="s">
        <v>27</v>
      </c>
      <c r="T569" s="215" t="s">
        <v>27</v>
      </c>
      <c r="U569" s="225"/>
      <c r="V569" s="251"/>
      <c r="W569" s="377"/>
      <c r="X569" s="85"/>
      <c r="Y569" s="85"/>
      <c r="Z569" s="85"/>
      <c r="AA569" s="85"/>
      <c r="AB569" s="85"/>
      <c r="AC569" s="85"/>
    </row>
    <row r="570" spans="1:29" ht="27">
      <c r="A570" s="85" t="s">
        <v>2070</v>
      </c>
      <c r="B570" s="87" t="s">
        <v>2007</v>
      </c>
      <c r="C570" s="80" t="s">
        <v>2032</v>
      </c>
      <c r="D570" s="81" t="s">
        <v>2075</v>
      </c>
      <c r="E570" s="245" t="s">
        <v>27</v>
      </c>
      <c r="F570" s="87" t="s">
        <v>317</v>
      </c>
      <c r="G570" s="259"/>
      <c r="H570" s="256"/>
      <c r="I570" s="271" t="s">
        <v>317</v>
      </c>
      <c r="J570" s="271" t="s">
        <v>317</v>
      </c>
      <c r="K570" s="271" t="s">
        <v>317</v>
      </c>
      <c r="L570" s="248"/>
      <c r="M570" s="249"/>
      <c r="N570" s="225"/>
      <c r="O570" s="225"/>
      <c r="P570" s="225"/>
      <c r="Q570" s="250"/>
      <c r="R570" s="215" t="s">
        <v>27</v>
      </c>
      <c r="S570" s="215" t="s">
        <v>27</v>
      </c>
      <c r="T570" s="215" t="s">
        <v>27</v>
      </c>
      <c r="U570" s="225"/>
      <c r="V570" s="251"/>
      <c r="W570" s="377"/>
      <c r="X570" s="85"/>
      <c r="Y570" s="85"/>
      <c r="Z570" s="85"/>
      <c r="AA570" s="85"/>
      <c r="AB570" s="85"/>
      <c r="AC570" s="85"/>
    </row>
    <row r="571" spans="1:29" ht="27">
      <c r="A571" s="85" t="s">
        <v>2076</v>
      </c>
      <c r="B571" s="87" t="s">
        <v>2007</v>
      </c>
      <c r="C571" s="80" t="s">
        <v>2037</v>
      </c>
      <c r="D571" s="81" t="s">
        <v>2077</v>
      </c>
      <c r="E571" s="245" t="s">
        <v>27</v>
      </c>
      <c r="F571" s="87" t="s">
        <v>317</v>
      </c>
      <c r="G571" s="259"/>
      <c r="H571" s="256"/>
      <c r="I571" s="271" t="s">
        <v>317</v>
      </c>
      <c r="J571" s="271" t="s">
        <v>317</v>
      </c>
      <c r="K571" s="271" t="s">
        <v>317</v>
      </c>
      <c r="L571" s="248"/>
      <c r="M571" s="249"/>
      <c r="N571" s="225"/>
      <c r="O571" s="225"/>
      <c r="P571" s="225"/>
      <c r="Q571" s="250"/>
      <c r="R571" s="215" t="s">
        <v>27</v>
      </c>
      <c r="S571" s="215" t="s">
        <v>27</v>
      </c>
      <c r="T571" s="215" t="s">
        <v>27</v>
      </c>
      <c r="U571" s="225"/>
      <c r="V571" s="251"/>
      <c r="W571" s="377"/>
      <c r="X571" s="85"/>
      <c r="Y571" s="85"/>
      <c r="Z571" s="85"/>
      <c r="AA571" s="85"/>
      <c r="AB571" s="85"/>
      <c r="AC571" s="85"/>
    </row>
    <row r="572" spans="1:29" ht="27">
      <c r="A572" s="85" t="s">
        <v>2076</v>
      </c>
      <c r="B572" s="87" t="s">
        <v>2007</v>
      </c>
      <c r="C572" s="80" t="s">
        <v>2039</v>
      </c>
      <c r="D572" s="81" t="s">
        <v>2078</v>
      </c>
      <c r="E572" s="245" t="s">
        <v>27</v>
      </c>
      <c r="F572" s="87" t="s">
        <v>317</v>
      </c>
      <c r="G572" s="259"/>
      <c r="H572" s="256"/>
      <c r="I572" s="271" t="s">
        <v>317</v>
      </c>
      <c r="J572" s="271" t="s">
        <v>317</v>
      </c>
      <c r="K572" s="271" t="s">
        <v>317</v>
      </c>
      <c r="L572" s="248"/>
      <c r="M572" s="249"/>
      <c r="N572" s="225"/>
      <c r="O572" s="225"/>
      <c r="P572" s="225"/>
      <c r="Q572" s="250"/>
      <c r="R572" s="215" t="s">
        <v>27</v>
      </c>
      <c r="S572" s="215" t="s">
        <v>27</v>
      </c>
      <c r="T572" s="215" t="s">
        <v>27</v>
      </c>
      <c r="U572" s="225"/>
      <c r="V572" s="251"/>
      <c r="W572" s="377"/>
      <c r="X572" s="85"/>
      <c r="Y572" s="85"/>
      <c r="Z572" s="85"/>
      <c r="AA572" s="85"/>
      <c r="AB572" s="85"/>
      <c r="AC572" s="85"/>
    </row>
    <row r="573" spans="1:29" ht="27">
      <c r="A573" s="85" t="s">
        <v>2076</v>
      </c>
      <c r="B573" s="87" t="s">
        <v>2007</v>
      </c>
      <c r="C573" s="80" t="s">
        <v>1388</v>
      </c>
      <c r="D573" s="81" t="s">
        <v>2079</v>
      </c>
      <c r="E573" s="245" t="s">
        <v>27</v>
      </c>
      <c r="F573" s="87" t="s">
        <v>317</v>
      </c>
      <c r="G573" s="259"/>
      <c r="H573" s="256"/>
      <c r="I573" s="271" t="s">
        <v>317</v>
      </c>
      <c r="J573" s="271" t="s">
        <v>317</v>
      </c>
      <c r="K573" s="271" t="s">
        <v>317</v>
      </c>
      <c r="L573" s="248"/>
      <c r="M573" s="249"/>
      <c r="N573" s="225"/>
      <c r="O573" s="225"/>
      <c r="P573" s="225"/>
      <c r="Q573" s="250"/>
      <c r="R573" s="215" t="s">
        <v>27</v>
      </c>
      <c r="S573" s="215" t="s">
        <v>27</v>
      </c>
      <c r="T573" s="215" t="s">
        <v>27</v>
      </c>
      <c r="U573" s="225"/>
      <c r="V573" s="251"/>
      <c r="W573" s="377"/>
      <c r="X573" s="85"/>
      <c r="Y573" s="85"/>
      <c r="Z573" s="85"/>
      <c r="AA573" s="85"/>
      <c r="AB573" s="85"/>
      <c r="AC573" s="85"/>
    </row>
    <row r="574" spans="1:29" ht="27">
      <c r="A574" s="85" t="s">
        <v>2076</v>
      </c>
      <c r="B574" s="87" t="s">
        <v>2007</v>
      </c>
      <c r="C574" s="80" t="s">
        <v>2042</v>
      </c>
      <c r="D574" s="81" t="s">
        <v>2080</v>
      </c>
      <c r="E574" s="245" t="s">
        <v>27</v>
      </c>
      <c r="F574" s="87" t="s">
        <v>317</v>
      </c>
      <c r="G574" s="259"/>
      <c r="H574" s="256"/>
      <c r="I574" s="271" t="s">
        <v>317</v>
      </c>
      <c r="J574" s="271" t="s">
        <v>317</v>
      </c>
      <c r="K574" s="271" t="s">
        <v>317</v>
      </c>
      <c r="L574" s="248"/>
      <c r="M574" s="249"/>
      <c r="N574" s="225"/>
      <c r="O574" s="225"/>
      <c r="P574" s="225"/>
      <c r="Q574" s="250"/>
      <c r="R574" s="215" t="s">
        <v>27</v>
      </c>
      <c r="S574" s="228" t="s">
        <v>27</v>
      </c>
      <c r="T574" s="215" t="s">
        <v>27</v>
      </c>
      <c r="U574" s="225"/>
      <c r="V574" s="251"/>
      <c r="W574" s="377"/>
      <c r="X574" s="85"/>
      <c r="Y574" s="85"/>
      <c r="Z574" s="85"/>
      <c r="AA574" s="85"/>
      <c r="AB574" s="85"/>
      <c r="AC574" s="85"/>
    </row>
    <row r="575" spans="1:29" ht="27">
      <c r="A575" s="85" t="s">
        <v>2081</v>
      </c>
      <c r="B575" s="87" t="s">
        <v>2007</v>
      </c>
      <c r="C575" s="80" t="s">
        <v>438</v>
      </c>
      <c r="D575" s="81" t="s">
        <v>2082</v>
      </c>
      <c r="E575" s="87" t="s">
        <v>325</v>
      </c>
      <c r="F575" s="87" t="s">
        <v>326</v>
      </c>
      <c r="G575" s="246" t="s">
        <v>2083</v>
      </c>
      <c r="H575" s="234" t="s">
        <v>2084</v>
      </c>
      <c r="I575" s="225" t="s">
        <v>24</v>
      </c>
      <c r="J575" s="248" t="s">
        <v>24</v>
      </c>
      <c r="K575" s="257" t="s">
        <v>337</v>
      </c>
      <c r="L575" s="248" t="s">
        <v>329</v>
      </c>
      <c r="M575" s="283" t="s">
        <v>1527</v>
      </c>
      <c r="N575" s="106" t="s">
        <v>1527</v>
      </c>
      <c r="O575" s="106" t="s">
        <v>1527</v>
      </c>
      <c r="P575" s="106"/>
      <c r="Q575" s="309"/>
      <c r="R575" s="226" t="s">
        <v>28</v>
      </c>
      <c r="S575" s="131" t="s">
        <v>28</v>
      </c>
      <c r="T575" s="227" t="s">
        <v>28</v>
      </c>
      <c r="U575" s="225" t="s">
        <v>341</v>
      </c>
      <c r="V575" s="251" t="s">
        <v>2085</v>
      </c>
      <c r="W575" s="377"/>
      <c r="X575" s="87"/>
      <c r="Y575" s="87" t="s">
        <v>377</v>
      </c>
      <c r="Z575" s="87"/>
      <c r="AA575" s="87"/>
      <c r="AB575" s="87"/>
      <c r="AC575" s="87"/>
    </row>
    <row r="576" spans="1:29" ht="288.75">
      <c r="A576" s="85" t="s">
        <v>2081</v>
      </c>
      <c r="B576" s="87" t="s">
        <v>2007</v>
      </c>
      <c r="C576" s="80" t="s">
        <v>1411</v>
      </c>
      <c r="D576" s="81" t="s">
        <v>2086</v>
      </c>
      <c r="E576" s="87" t="s">
        <v>325</v>
      </c>
      <c r="F576" s="87" t="s">
        <v>326</v>
      </c>
      <c r="G576" s="246" t="s">
        <v>2087</v>
      </c>
      <c r="H576" s="256" t="s">
        <v>2088</v>
      </c>
      <c r="I576" s="225" t="s">
        <v>28</v>
      </c>
      <c r="J576" s="248" t="s">
        <v>28</v>
      </c>
      <c r="K576" s="225" t="s">
        <v>28</v>
      </c>
      <c r="L576" s="248" t="s">
        <v>329</v>
      </c>
      <c r="M576" s="224" t="s">
        <v>27</v>
      </c>
      <c r="N576" s="107" t="s">
        <v>27</v>
      </c>
      <c r="O576" s="107" t="s">
        <v>27</v>
      </c>
      <c r="P576" s="81" t="s">
        <v>2089</v>
      </c>
      <c r="Q576" s="254" t="s">
        <v>944</v>
      </c>
      <c r="R576" s="224" t="s">
        <v>27</v>
      </c>
      <c r="S576" s="229" t="s">
        <v>27</v>
      </c>
      <c r="T576" s="107" t="s">
        <v>27</v>
      </c>
      <c r="U576" s="225" t="s">
        <v>341</v>
      </c>
      <c r="V576" s="251" t="s">
        <v>2090</v>
      </c>
      <c r="W576" s="377"/>
      <c r="X576" s="85"/>
      <c r="Y576" s="85"/>
      <c r="Z576" s="85"/>
      <c r="AA576" s="85"/>
      <c r="AB576" s="85"/>
      <c r="AC576" s="85"/>
    </row>
    <row r="577" spans="1:29" ht="288.75">
      <c r="A577" s="85" t="s">
        <v>2081</v>
      </c>
      <c r="B577" s="87" t="s">
        <v>2007</v>
      </c>
      <c r="C577" s="80" t="s">
        <v>1407</v>
      </c>
      <c r="D577" s="81" t="s">
        <v>2091</v>
      </c>
      <c r="E577" s="87" t="s">
        <v>325</v>
      </c>
      <c r="F577" s="87" t="s">
        <v>326</v>
      </c>
      <c r="G577" s="246" t="s">
        <v>2092</v>
      </c>
      <c r="H577" s="256" t="s">
        <v>2088</v>
      </c>
      <c r="I577" s="225" t="s">
        <v>28</v>
      </c>
      <c r="J577" s="248" t="s">
        <v>28</v>
      </c>
      <c r="K577" s="225" t="s">
        <v>28</v>
      </c>
      <c r="L577" s="248" t="s">
        <v>329</v>
      </c>
      <c r="M577" s="283" t="s">
        <v>24</v>
      </c>
      <c r="N577" s="106" t="s">
        <v>24</v>
      </c>
      <c r="O577" s="106" t="s">
        <v>24</v>
      </c>
      <c r="P577" s="106"/>
      <c r="Q577" s="309"/>
      <c r="R577" s="226" t="s">
        <v>28</v>
      </c>
      <c r="S577" s="230" t="s">
        <v>28</v>
      </c>
      <c r="T577" s="227" t="s">
        <v>28</v>
      </c>
      <c r="U577" s="225" t="s">
        <v>341</v>
      </c>
      <c r="V577" s="251" t="s">
        <v>2085</v>
      </c>
      <c r="W577" s="377"/>
      <c r="X577" s="87"/>
      <c r="Y577" s="87" t="s">
        <v>377</v>
      </c>
      <c r="Z577" s="87"/>
      <c r="AA577" s="87"/>
      <c r="AB577" s="87"/>
      <c r="AC577" s="87"/>
    </row>
    <row r="578" spans="1:29" ht="288.75">
      <c r="A578" s="85" t="s">
        <v>2081</v>
      </c>
      <c r="B578" s="87" t="s">
        <v>2007</v>
      </c>
      <c r="C578" s="80" t="s">
        <v>1140</v>
      </c>
      <c r="D578" s="81" t="s">
        <v>2093</v>
      </c>
      <c r="E578" s="87" t="s">
        <v>325</v>
      </c>
      <c r="F578" s="87" t="s">
        <v>326</v>
      </c>
      <c r="G578" s="246" t="s">
        <v>2094</v>
      </c>
      <c r="H578" s="256" t="s">
        <v>2088</v>
      </c>
      <c r="I578" s="225" t="s">
        <v>28</v>
      </c>
      <c r="J578" s="248" t="s">
        <v>28</v>
      </c>
      <c r="K578" s="225" t="s">
        <v>28</v>
      </c>
      <c r="L578" s="248" t="s">
        <v>329</v>
      </c>
      <c r="M578" s="283" t="s">
        <v>24</v>
      </c>
      <c r="N578" s="106" t="s">
        <v>24</v>
      </c>
      <c r="O578" s="106" t="s">
        <v>24</v>
      </c>
      <c r="P578" s="106"/>
      <c r="Q578" s="309"/>
      <c r="R578" s="226" t="s">
        <v>28</v>
      </c>
      <c r="S578" s="230" t="s">
        <v>28</v>
      </c>
      <c r="T578" s="227" t="s">
        <v>28</v>
      </c>
      <c r="U578" s="225" t="s">
        <v>341</v>
      </c>
      <c r="V578" s="251" t="s">
        <v>2085</v>
      </c>
      <c r="W578" s="377"/>
      <c r="X578" s="87"/>
      <c r="Y578" s="87" t="s">
        <v>377</v>
      </c>
      <c r="Z578" s="87"/>
      <c r="AA578" s="87"/>
      <c r="AB578" s="87"/>
      <c r="AC578" s="87"/>
    </row>
    <row r="579" spans="1:29" ht="302.25">
      <c r="A579" s="85" t="s">
        <v>2081</v>
      </c>
      <c r="B579" s="87" t="s">
        <v>2007</v>
      </c>
      <c r="C579" s="80" t="s">
        <v>1138</v>
      </c>
      <c r="D579" s="272" t="s">
        <v>2095</v>
      </c>
      <c r="E579" s="87" t="s">
        <v>325</v>
      </c>
      <c r="F579" s="87" t="s">
        <v>326</v>
      </c>
      <c r="G579" s="246" t="s">
        <v>2096</v>
      </c>
      <c r="H579" s="256" t="s">
        <v>2088</v>
      </c>
      <c r="I579" s="225" t="s">
        <v>28</v>
      </c>
      <c r="J579" s="248" t="s">
        <v>28</v>
      </c>
      <c r="K579" s="225" t="s">
        <v>28</v>
      </c>
      <c r="L579" s="248" t="s">
        <v>329</v>
      </c>
      <c r="M579" s="283" t="s">
        <v>24</v>
      </c>
      <c r="N579" s="106" t="s">
        <v>24</v>
      </c>
      <c r="O579" s="106" t="s">
        <v>24</v>
      </c>
      <c r="P579" s="106"/>
      <c r="Q579" s="309"/>
      <c r="R579" s="226" t="s">
        <v>28</v>
      </c>
      <c r="S579" s="230" t="s">
        <v>28</v>
      </c>
      <c r="T579" s="227" t="s">
        <v>28</v>
      </c>
      <c r="U579" s="225" t="s">
        <v>341</v>
      </c>
      <c r="V579" s="251" t="s">
        <v>2085</v>
      </c>
      <c r="W579" s="377"/>
      <c r="X579" s="87"/>
      <c r="Y579" s="87" t="s">
        <v>377</v>
      </c>
      <c r="Z579" s="87"/>
      <c r="AA579" s="87"/>
      <c r="AB579" s="87"/>
      <c r="AC579" s="87"/>
    </row>
    <row r="580" spans="1:29" ht="288.75">
      <c r="A580" s="85" t="s">
        <v>2081</v>
      </c>
      <c r="B580" s="87" t="s">
        <v>2007</v>
      </c>
      <c r="C580" s="353" t="s">
        <v>1421</v>
      </c>
      <c r="D580" s="81" t="s">
        <v>2097</v>
      </c>
      <c r="E580" s="354" t="s">
        <v>325</v>
      </c>
      <c r="F580" s="87" t="s">
        <v>326</v>
      </c>
      <c r="G580" s="246" t="s">
        <v>2098</v>
      </c>
      <c r="H580" s="256" t="s">
        <v>2088</v>
      </c>
      <c r="I580" s="225" t="s">
        <v>28</v>
      </c>
      <c r="J580" s="248" t="s">
        <v>28</v>
      </c>
      <c r="K580" s="225" t="s">
        <v>28</v>
      </c>
      <c r="L580" s="248" t="s">
        <v>329</v>
      </c>
      <c r="M580" s="283" t="s">
        <v>24</v>
      </c>
      <c r="N580" s="106" t="s">
        <v>24</v>
      </c>
      <c r="O580" s="106" t="s">
        <v>24</v>
      </c>
      <c r="P580" s="106"/>
      <c r="Q580" s="309"/>
      <c r="R580" s="226" t="s">
        <v>28</v>
      </c>
      <c r="S580" s="230" t="s">
        <v>28</v>
      </c>
      <c r="T580" s="227" t="s">
        <v>28</v>
      </c>
      <c r="U580" s="225" t="s">
        <v>341</v>
      </c>
      <c r="V580" s="251" t="s">
        <v>2085</v>
      </c>
      <c r="W580" s="377"/>
      <c r="X580" s="87"/>
      <c r="Y580" s="87" t="s">
        <v>377</v>
      </c>
      <c r="Z580" s="87"/>
      <c r="AA580" s="87"/>
      <c r="AB580" s="87"/>
      <c r="AC580" s="87"/>
    </row>
    <row r="581" spans="1:29" ht="302.25">
      <c r="A581" s="85" t="s">
        <v>2081</v>
      </c>
      <c r="B581" s="87" t="s">
        <v>2007</v>
      </c>
      <c r="C581" s="80" t="s">
        <v>530</v>
      </c>
      <c r="D581" s="276" t="s">
        <v>2099</v>
      </c>
      <c r="E581" s="87" t="s">
        <v>325</v>
      </c>
      <c r="F581" s="87" t="s">
        <v>326</v>
      </c>
      <c r="G581" s="246" t="s">
        <v>2100</v>
      </c>
      <c r="H581" s="256" t="s">
        <v>2088</v>
      </c>
      <c r="I581" s="225" t="s">
        <v>28</v>
      </c>
      <c r="J581" s="248" t="s">
        <v>28</v>
      </c>
      <c r="K581" s="225" t="s">
        <v>28</v>
      </c>
      <c r="L581" s="248" t="s">
        <v>329</v>
      </c>
      <c r="M581" s="283" t="s">
        <v>24</v>
      </c>
      <c r="N581" s="106" t="s">
        <v>24</v>
      </c>
      <c r="O581" s="106" t="s">
        <v>24</v>
      </c>
      <c r="P581" s="81" t="s">
        <v>1196</v>
      </c>
      <c r="Q581" s="254" t="s">
        <v>477</v>
      </c>
      <c r="R581" s="226" t="s">
        <v>28</v>
      </c>
      <c r="S581" s="131" t="s">
        <v>28</v>
      </c>
      <c r="T581" s="227" t="s">
        <v>28</v>
      </c>
      <c r="U581" s="225" t="s">
        <v>341</v>
      </c>
      <c r="V581" s="251" t="s">
        <v>2085</v>
      </c>
      <c r="W581" s="377"/>
      <c r="X581" s="87"/>
      <c r="Y581" s="87" t="s">
        <v>377</v>
      </c>
      <c r="Z581" s="87"/>
      <c r="AA581" s="87"/>
      <c r="AB581" s="87"/>
      <c r="AC581" s="87"/>
    </row>
    <row r="582" spans="1:29" ht="27">
      <c r="A582" s="85" t="s">
        <v>2081</v>
      </c>
      <c r="B582" s="87" t="s">
        <v>2007</v>
      </c>
      <c r="C582" s="80" t="s">
        <v>2101</v>
      </c>
      <c r="D582" s="81" t="s">
        <v>2102</v>
      </c>
      <c r="E582" s="245" t="s">
        <v>27</v>
      </c>
      <c r="F582" s="87" t="s">
        <v>317</v>
      </c>
      <c r="G582" s="259"/>
      <c r="H582" s="256"/>
      <c r="I582" s="271" t="s">
        <v>317</v>
      </c>
      <c r="J582" s="271" t="s">
        <v>317</v>
      </c>
      <c r="K582" s="271" t="s">
        <v>317</v>
      </c>
      <c r="L582" s="248"/>
      <c r="M582" s="249"/>
      <c r="N582" s="225"/>
      <c r="O582" s="225"/>
      <c r="P582" s="225"/>
      <c r="Q582" s="250"/>
      <c r="R582" s="215" t="s">
        <v>27</v>
      </c>
      <c r="S582" s="231" t="s">
        <v>27</v>
      </c>
      <c r="T582" s="215" t="s">
        <v>27</v>
      </c>
      <c r="U582" s="225"/>
      <c r="V582" s="251"/>
      <c r="W582" s="377"/>
      <c r="X582" s="85"/>
      <c r="Y582" s="85"/>
      <c r="Z582" s="85"/>
      <c r="AA582" s="85"/>
      <c r="AB582" s="85"/>
      <c r="AC582" s="85"/>
    </row>
    <row r="583" spans="1:29" ht="27">
      <c r="A583" s="85" t="s">
        <v>2081</v>
      </c>
      <c r="B583" s="87" t="s">
        <v>2007</v>
      </c>
      <c r="C583" s="80" t="s">
        <v>2103</v>
      </c>
      <c r="D583" s="81" t="s">
        <v>2104</v>
      </c>
      <c r="E583" s="245" t="s">
        <v>27</v>
      </c>
      <c r="F583" s="87" t="s">
        <v>317</v>
      </c>
      <c r="G583" s="259"/>
      <c r="H583" s="256"/>
      <c r="I583" s="271" t="s">
        <v>317</v>
      </c>
      <c r="J583" s="271" t="s">
        <v>317</v>
      </c>
      <c r="K583" s="271" t="s">
        <v>317</v>
      </c>
      <c r="L583" s="248"/>
      <c r="M583" s="249"/>
      <c r="N583" s="225"/>
      <c r="O583" s="225"/>
      <c r="P583" s="225"/>
      <c r="Q583" s="250"/>
      <c r="R583" s="215" t="s">
        <v>27</v>
      </c>
      <c r="S583" s="215" t="s">
        <v>27</v>
      </c>
      <c r="T583" s="215" t="s">
        <v>27</v>
      </c>
      <c r="U583" s="225"/>
      <c r="V583" s="251"/>
      <c r="W583" s="377"/>
      <c r="X583" s="85"/>
      <c r="Y583" s="85"/>
      <c r="Z583" s="85"/>
      <c r="AA583" s="85"/>
      <c r="AB583" s="85"/>
      <c r="AC583" s="85"/>
    </row>
    <row r="584" spans="1:29" ht="27">
      <c r="A584" s="85" t="s">
        <v>2081</v>
      </c>
      <c r="B584" s="87" t="s">
        <v>2007</v>
      </c>
      <c r="C584" s="80" t="s">
        <v>426</v>
      </c>
      <c r="D584" s="81" t="s">
        <v>2105</v>
      </c>
      <c r="E584" s="245" t="s">
        <v>27</v>
      </c>
      <c r="F584" s="87" t="s">
        <v>317</v>
      </c>
      <c r="G584" s="259"/>
      <c r="H584" s="256"/>
      <c r="I584" s="271" t="s">
        <v>317</v>
      </c>
      <c r="J584" s="271" t="s">
        <v>317</v>
      </c>
      <c r="K584" s="271" t="s">
        <v>317</v>
      </c>
      <c r="L584" s="248"/>
      <c r="M584" s="249"/>
      <c r="N584" s="225"/>
      <c r="O584" s="225"/>
      <c r="P584" s="225"/>
      <c r="Q584" s="250"/>
      <c r="R584" s="215" t="s">
        <v>27</v>
      </c>
      <c r="S584" s="215" t="s">
        <v>27</v>
      </c>
      <c r="T584" s="215" t="s">
        <v>27</v>
      </c>
      <c r="U584" s="225"/>
      <c r="V584" s="251"/>
      <c r="W584" s="377"/>
      <c r="X584" s="85"/>
      <c r="Y584" s="85"/>
      <c r="Z584" s="85"/>
      <c r="AA584" s="85"/>
      <c r="AB584" s="85"/>
      <c r="AC584" s="85"/>
    </row>
    <row r="585" spans="1:29" ht="27">
      <c r="A585" s="85" t="s">
        <v>2081</v>
      </c>
      <c r="B585" s="87" t="s">
        <v>2007</v>
      </c>
      <c r="C585" s="80" t="s">
        <v>430</v>
      </c>
      <c r="D585" s="81" t="s">
        <v>2106</v>
      </c>
      <c r="E585" s="245" t="s">
        <v>27</v>
      </c>
      <c r="F585" s="87" t="s">
        <v>317</v>
      </c>
      <c r="G585" s="259"/>
      <c r="H585" s="256"/>
      <c r="I585" s="271" t="s">
        <v>317</v>
      </c>
      <c r="J585" s="271" t="s">
        <v>317</v>
      </c>
      <c r="K585" s="271" t="s">
        <v>317</v>
      </c>
      <c r="L585" s="248"/>
      <c r="M585" s="249"/>
      <c r="N585" s="225"/>
      <c r="O585" s="225"/>
      <c r="P585" s="225"/>
      <c r="Q585" s="250"/>
      <c r="R585" s="215" t="s">
        <v>27</v>
      </c>
      <c r="S585" s="215" t="s">
        <v>27</v>
      </c>
      <c r="T585" s="215" t="s">
        <v>27</v>
      </c>
      <c r="U585" s="225"/>
      <c r="V585" s="251"/>
      <c r="W585" s="377"/>
      <c r="X585" s="85"/>
      <c r="Y585" s="85"/>
      <c r="Z585" s="85"/>
      <c r="AA585" s="85"/>
      <c r="AB585" s="85"/>
      <c r="AC585" s="85"/>
    </row>
    <row r="586" spans="1:29" ht="27">
      <c r="A586" s="85" t="s">
        <v>2081</v>
      </c>
      <c r="B586" s="87" t="s">
        <v>2007</v>
      </c>
      <c r="C586" s="80" t="s">
        <v>2107</v>
      </c>
      <c r="D586" s="81" t="s">
        <v>2108</v>
      </c>
      <c r="E586" s="245" t="s">
        <v>27</v>
      </c>
      <c r="F586" s="87" t="s">
        <v>317</v>
      </c>
      <c r="G586" s="259"/>
      <c r="H586" s="256"/>
      <c r="I586" s="271" t="s">
        <v>317</v>
      </c>
      <c r="J586" s="271" t="s">
        <v>317</v>
      </c>
      <c r="K586" s="271" t="s">
        <v>317</v>
      </c>
      <c r="L586" s="248"/>
      <c r="M586" s="249"/>
      <c r="N586" s="225"/>
      <c r="O586" s="225"/>
      <c r="P586" s="225"/>
      <c r="Q586" s="250"/>
      <c r="R586" s="215" t="s">
        <v>27</v>
      </c>
      <c r="S586" s="215" t="s">
        <v>27</v>
      </c>
      <c r="T586" s="215" t="s">
        <v>27</v>
      </c>
      <c r="U586" s="225"/>
      <c r="V586" s="251"/>
      <c r="W586" s="377"/>
      <c r="X586" s="85"/>
      <c r="Y586" s="85"/>
      <c r="Z586" s="85"/>
      <c r="AA586" s="85"/>
      <c r="AB586" s="85"/>
      <c r="AC586" s="85"/>
    </row>
    <row r="587" spans="1:29" ht="27">
      <c r="A587" s="85" t="s">
        <v>2081</v>
      </c>
      <c r="B587" s="87" t="s">
        <v>2007</v>
      </c>
      <c r="C587" s="80" t="s">
        <v>2109</v>
      </c>
      <c r="D587" s="81" t="s">
        <v>2110</v>
      </c>
      <c r="E587" s="245" t="s">
        <v>27</v>
      </c>
      <c r="F587" s="87" t="s">
        <v>317</v>
      </c>
      <c r="G587" s="259"/>
      <c r="H587" s="256"/>
      <c r="I587" s="271" t="s">
        <v>317</v>
      </c>
      <c r="J587" s="271" t="s">
        <v>317</v>
      </c>
      <c r="K587" s="271" t="s">
        <v>317</v>
      </c>
      <c r="L587" s="248"/>
      <c r="M587" s="249"/>
      <c r="N587" s="225"/>
      <c r="O587" s="225"/>
      <c r="P587" s="225"/>
      <c r="Q587" s="250"/>
      <c r="R587" s="215" t="s">
        <v>27</v>
      </c>
      <c r="S587" s="215" t="s">
        <v>27</v>
      </c>
      <c r="T587" s="215" t="s">
        <v>27</v>
      </c>
      <c r="U587" s="225"/>
      <c r="V587" s="251"/>
      <c r="W587" s="377"/>
      <c r="X587" s="85"/>
      <c r="Y587" s="85"/>
      <c r="Z587" s="85"/>
      <c r="AA587" s="85"/>
      <c r="AB587" s="85"/>
      <c r="AC587" s="85"/>
    </row>
    <row r="588" spans="1:29" ht="27">
      <c r="A588" s="85" t="s">
        <v>1331</v>
      </c>
      <c r="B588" s="87" t="s">
        <v>2007</v>
      </c>
      <c r="C588" s="80" t="s">
        <v>2111</v>
      </c>
      <c r="D588" s="81" t="s">
        <v>2112</v>
      </c>
      <c r="E588" s="87" t="s">
        <v>325</v>
      </c>
      <c r="F588" s="87" t="s">
        <v>326</v>
      </c>
      <c r="G588" s="246" t="s">
        <v>2113</v>
      </c>
      <c r="H588" s="234" t="s">
        <v>2114</v>
      </c>
      <c r="I588" s="248" t="s">
        <v>24</v>
      </c>
      <c r="J588" s="248" t="s">
        <v>24</v>
      </c>
      <c r="K588" s="248" t="s">
        <v>24</v>
      </c>
      <c r="L588" s="248" t="s">
        <v>329</v>
      </c>
      <c r="M588" s="283" t="s">
        <v>24</v>
      </c>
      <c r="N588" s="106" t="s">
        <v>24</v>
      </c>
      <c r="O588" s="106" t="s">
        <v>24</v>
      </c>
      <c r="P588" s="106"/>
      <c r="Q588" s="309"/>
      <c r="R588" s="215" t="s">
        <v>24</v>
      </c>
      <c r="S588" s="225" t="s">
        <v>24</v>
      </c>
      <c r="T588" s="225" t="s">
        <v>24</v>
      </c>
      <c r="U588" s="225" t="s">
        <v>329</v>
      </c>
      <c r="V588" s="251" t="s">
        <v>2115</v>
      </c>
      <c r="W588" s="377"/>
      <c r="X588" s="85"/>
      <c r="Y588" s="85"/>
      <c r="Z588" s="85"/>
      <c r="AA588" s="85"/>
      <c r="AB588" s="85"/>
      <c r="AC588" s="85"/>
    </row>
    <row r="589" spans="1:29" ht="409.6">
      <c r="A589" s="85" t="s">
        <v>2116</v>
      </c>
      <c r="B589" s="87" t="s">
        <v>2007</v>
      </c>
      <c r="C589" s="80" t="s">
        <v>2117</v>
      </c>
      <c r="D589" s="81" t="s">
        <v>2118</v>
      </c>
      <c r="E589" s="245" t="s">
        <v>27</v>
      </c>
      <c r="F589" s="87" t="s">
        <v>317</v>
      </c>
      <c r="G589" s="259"/>
      <c r="H589" s="256"/>
      <c r="I589" s="271" t="s">
        <v>317</v>
      </c>
      <c r="J589" s="271" t="s">
        <v>317</v>
      </c>
      <c r="K589" s="271" t="s">
        <v>317</v>
      </c>
      <c r="L589" s="248"/>
      <c r="M589" s="249"/>
      <c r="N589" s="225"/>
      <c r="O589" s="225"/>
      <c r="P589" s="225"/>
      <c r="Q589" s="250"/>
      <c r="R589" s="215" t="s">
        <v>27</v>
      </c>
      <c r="S589" s="215" t="s">
        <v>27</v>
      </c>
      <c r="T589" s="215" t="s">
        <v>27</v>
      </c>
      <c r="U589" s="225"/>
      <c r="V589" s="251"/>
      <c r="W589" s="377"/>
      <c r="X589" s="85"/>
      <c r="Y589" s="85"/>
      <c r="Z589" s="85"/>
      <c r="AA589" s="85"/>
      <c r="AB589" s="85"/>
      <c r="AC589" s="85"/>
    </row>
    <row r="590" spans="1:29" ht="27">
      <c r="A590" s="85" t="s">
        <v>2116</v>
      </c>
      <c r="B590" s="87" t="s">
        <v>2007</v>
      </c>
      <c r="C590" s="80" t="s">
        <v>2119</v>
      </c>
      <c r="D590" s="81" t="s">
        <v>2120</v>
      </c>
      <c r="E590" s="245" t="s">
        <v>27</v>
      </c>
      <c r="F590" s="87" t="s">
        <v>317</v>
      </c>
      <c r="G590" s="259"/>
      <c r="H590" s="256"/>
      <c r="I590" s="271" t="s">
        <v>317</v>
      </c>
      <c r="J590" s="271" t="s">
        <v>317</v>
      </c>
      <c r="K590" s="271" t="s">
        <v>317</v>
      </c>
      <c r="L590" s="248"/>
      <c r="M590" s="249"/>
      <c r="N590" s="225"/>
      <c r="O590" s="225"/>
      <c r="P590" s="225"/>
      <c r="Q590" s="250"/>
      <c r="R590" s="215" t="s">
        <v>27</v>
      </c>
      <c r="S590" s="215" t="s">
        <v>27</v>
      </c>
      <c r="T590" s="215" t="s">
        <v>27</v>
      </c>
      <c r="U590" s="225"/>
      <c r="V590" s="251"/>
      <c r="W590" s="377"/>
      <c r="X590" s="85"/>
      <c r="Y590" s="85"/>
      <c r="Z590" s="85"/>
      <c r="AA590" s="85"/>
      <c r="AB590" s="85"/>
      <c r="AC590" s="85"/>
    </row>
    <row r="591" spans="1:29" ht="27">
      <c r="A591" s="85" t="s">
        <v>2116</v>
      </c>
      <c r="B591" s="87" t="s">
        <v>2007</v>
      </c>
      <c r="C591" s="80" t="s">
        <v>2121</v>
      </c>
      <c r="D591" s="81" t="s">
        <v>2122</v>
      </c>
      <c r="E591" s="245" t="s">
        <v>27</v>
      </c>
      <c r="F591" s="87" t="s">
        <v>317</v>
      </c>
      <c r="G591" s="259"/>
      <c r="H591" s="256"/>
      <c r="I591" s="271" t="s">
        <v>317</v>
      </c>
      <c r="J591" s="271" t="s">
        <v>317</v>
      </c>
      <c r="K591" s="271" t="s">
        <v>317</v>
      </c>
      <c r="L591" s="248"/>
      <c r="M591" s="249"/>
      <c r="N591" s="225"/>
      <c r="O591" s="225"/>
      <c r="P591" s="225"/>
      <c r="Q591" s="250"/>
      <c r="R591" s="215" t="s">
        <v>27</v>
      </c>
      <c r="S591" s="215" t="s">
        <v>27</v>
      </c>
      <c r="T591" s="215" t="s">
        <v>27</v>
      </c>
      <c r="U591" s="225"/>
      <c r="V591" s="251"/>
      <c r="W591" s="377"/>
      <c r="X591" s="85"/>
      <c r="Y591" s="85"/>
      <c r="Z591" s="85"/>
      <c r="AA591" s="85"/>
      <c r="AB591" s="85"/>
      <c r="AC591" s="85"/>
    </row>
    <row r="592" spans="1:29" ht="27">
      <c r="A592" s="355" t="s">
        <v>2116</v>
      </c>
      <c r="B592" s="87" t="s">
        <v>2007</v>
      </c>
      <c r="C592" s="356" t="s">
        <v>2123</v>
      </c>
      <c r="D592" s="272" t="s">
        <v>2124</v>
      </c>
      <c r="E592" s="245" t="s">
        <v>27</v>
      </c>
      <c r="F592" s="87" t="s">
        <v>317</v>
      </c>
      <c r="G592" s="322"/>
      <c r="H592" s="330"/>
      <c r="I592" s="271" t="s">
        <v>317</v>
      </c>
      <c r="J592" s="271" t="s">
        <v>317</v>
      </c>
      <c r="K592" s="271" t="s">
        <v>317</v>
      </c>
      <c r="L592" s="248"/>
      <c r="M592" s="249"/>
      <c r="N592" s="225"/>
      <c r="O592" s="225"/>
      <c r="P592" s="225"/>
      <c r="Q592" s="250"/>
      <c r="R592" s="215" t="s">
        <v>27</v>
      </c>
      <c r="S592" s="215" t="s">
        <v>27</v>
      </c>
      <c r="T592" s="215" t="s">
        <v>27</v>
      </c>
      <c r="U592" s="225"/>
      <c r="V592" s="251"/>
      <c r="W592" s="377"/>
      <c r="X592" s="85"/>
      <c r="Y592" s="85"/>
      <c r="Z592" s="85"/>
      <c r="AA592" s="85"/>
      <c r="AB592" s="85"/>
      <c r="AC592" s="85"/>
    </row>
    <row r="593" spans="1:29" ht="27">
      <c r="A593" s="85" t="s">
        <v>2125</v>
      </c>
      <c r="B593" s="87" t="s">
        <v>2007</v>
      </c>
      <c r="C593" s="80" t="s">
        <v>2126</v>
      </c>
      <c r="D593" s="107" t="s">
        <v>2127</v>
      </c>
      <c r="E593" s="357" t="s">
        <v>325</v>
      </c>
      <c r="F593" s="358" t="s">
        <v>326</v>
      </c>
      <c r="G593" s="234" t="s">
        <v>2128</v>
      </c>
      <c r="H593" s="317"/>
      <c r="I593" s="274" t="s">
        <v>24</v>
      </c>
      <c r="J593" s="274" t="s">
        <v>24</v>
      </c>
      <c r="K593" s="274" t="s">
        <v>24</v>
      </c>
      <c r="L593" s="248" t="s">
        <v>329</v>
      </c>
      <c r="M593" s="283" t="s">
        <v>24</v>
      </c>
      <c r="N593" s="106" t="s">
        <v>24</v>
      </c>
      <c r="O593" s="106" t="s">
        <v>24</v>
      </c>
      <c r="P593" s="106"/>
      <c r="Q593" s="309"/>
      <c r="R593" s="215" t="s">
        <v>24</v>
      </c>
      <c r="S593" s="225" t="s">
        <v>24</v>
      </c>
      <c r="T593" s="225" t="s">
        <v>24</v>
      </c>
      <c r="U593" s="225" t="s">
        <v>329</v>
      </c>
      <c r="V593" s="251"/>
      <c r="W593" s="377"/>
      <c r="X593" s="85"/>
      <c r="Y593" s="85"/>
      <c r="Z593" s="85"/>
      <c r="AA593" s="85"/>
      <c r="AB593" s="85"/>
      <c r="AC593" s="85"/>
    </row>
    <row r="594" spans="1:29" ht="409.6">
      <c r="A594" s="85" t="s">
        <v>2125</v>
      </c>
      <c r="B594" s="87" t="s">
        <v>2007</v>
      </c>
      <c r="C594" s="80" t="s">
        <v>2129</v>
      </c>
      <c r="D594" s="107" t="s">
        <v>2130</v>
      </c>
      <c r="E594" s="357" t="s">
        <v>325</v>
      </c>
      <c r="F594" s="358" t="s">
        <v>326</v>
      </c>
      <c r="G594" s="234" t="s">
        <v>2131</v>
      </c>
      <c r="H594" s="346"/>
      <c r="I594" s="274" t="s">
        <v>24</v>
      </c>
      <c r="J594" s="274" t="s">
        <v>24</v>
      </c>
      <c r="K594" s="274" t="s">
        <v>24</v>
      </c>
      <c r="L594" s="248" t="s">
        <v>329</v>
      </c>
      <c r="M594" s="283" t="s">
        <v>24</v>
      </c>
      <c r="N594" s="106" t="s">
        <v>24</v>
      </c>
      <c r="O594" s="106" t="s">
        <v>24</v>
      </c>
      <c r="P594" s="106"/>
      <c r="Q594" s="309"/>
      <c r="R594" s="215" t="s">
        <v>24</v>
      </c>
      <c r="S594" s="225" t="s">
        <v>24</v>
      </c>
      <c r="T594" s="225" t="s">
        <v>24</v>
      </c>
      <c r="U594" s="225" t="s">
        <v>329</v>
      </c>
      <c r="V594" s="251"/>
      <c r="W594" s="377"/>
      <c r="X594" s="85"/>
      <c r="Y594" s="85"/>
      <c r="Z594" s="85"/>
      <c r="AA594" s="85"/>
      <c r="AB594" s="85"/>
      <c r="AC594" s="85"/>
    </row>
    <row r="595" spans="1:29" ht="409.6">
      <c r="A595" s="85" t="s">
        <v>2125</v>
      </c>
      <c r="B595" s="87" t="s">
        <v>2007</v>
      </c>
      <c r="C595" s="356" t="s">
        <v>2132</v>
      </c>
      <c r="D595" s="107" t="s">
        <v>2133</v>
      </c>
      <c r="E595" s="357" t="s">
        <v>325</v>
      </c>
      <c r="F595" s="358" t="s">
        <v>326</v>
      </c>
      <c r="G595" s="234" t="s">
        <v>2134</v>
      </c>
      <c r="H595" s="346"/>
      <c r="I595" s="274" t="s">
        <v>24</v>
      </c>
      <c r="J595" s="274" t="s">
        <v>24</v>
      </c>
      <c r="K595" s="274" t="s">
        <v>24</v>
      </c>
      <c r="L595" s="248" t="s">
        <v>329</v>
      </c>
      <c r="M595" s="283" t="s">
        <v>24</v>
      </c>
      <c r="N595" s="106" t="s">
        <v>24</v>
      </c>
      <c r="O595" s="106" t="s">
        <v>24</v>
      </c>
      <c r="P595" s="106"/>
      <c r="Q595" s="309"/>
      <c r="R595" s="215" t="s">
        <v>24</v>
      </c>
      <c r="S595" s="225" t="s">
        <v>24</v>
      </c>
      <c r="T595" s="225" t="s">
        <v>24</v>
      </c>
      <c r="U595" s="225" t="s">
        <v>329</v>
      </c>
      <c r="V595" s="251"/>
      <c r="W595" s="377"/>
      <c r="X595" s="85"/>
      <c r="Y595" s="85"/>
      <c r="Z595" s="85"/>
      <c r="AA595" s="85"/>
      <c r="AB595" s="85"/>
      <c r="AC595" s="85"/>
    </row>
    <row r="596" spans="1:29" ht="409.6">
      <c r="A596" s="85" t="s">
        <v>2125</v>
      </c>
      <c r="B596" s="87" t="s">
        <v>2007</v>
      </c>
      <c r="C596" s="80" t="s">
        <v>2135</v>
      </c>
      <c r="D596" s="107" t="s">
        <v>2136</v>
      </c>
      <c r="E596" s="357" t="s">
        <v>325</v>
      </c>
      <c r="F596" s="358" t="s">
        <v>326</v>
      </c>
      <c r="G596" s="234" t="s">
        <v>2137</v>
      </c>
      <c r="H596" s="346"/>
      <c r="I596" s="274" t="s">
        <v>24</v>
      </c>
      <c r="J596" s="274" t="s">
        <v>24</v>
      </c>
      <c r="K596" s="274" t="s">
        <v>24</v>
      </c>
      <c r="L596" s="248" t="s">
        <v>329</v>
      </c>
      <c r="M596" s="283" t="s">
        <v>24</v>
      </c>
      <c r="N596" s="106" t="s">
        <v>24</v>
      </c>
      <c r="O596" s="106" t="s">
        <v>24</v>
      </c>
      <c r="P596" s="106"/>
      <c r="Q596" s="309"/>
      <c r="R596" s="312" t="s">
        <v>24</v>
      </c>
      <c r="S596" s="106" t="s">
        <v>24</v>
      </c>
      <c r="T596" s="106" t="s">
        <v>24</v>
      </c>
      <c r="U596" s="106" t="s">
        <v>329</v>
      </c>
      <c r="V596" s="251"/>
      <c r="W596" s="377"/>
      <c r="X596" s="85"/>
      <c r="Y596" s="85"/>
      <c r="Z596" s="85"/>
      <c r="AA596" s="85"/>
      <c r="AB596" s="85"/>
      <c r="AC596" s="85"/>
    </row>
    <row r="597" spans="1:29" ht="409.6">
      <c r="A597" s="355" t="s">
        <v>2138</v>
      </c>
      <c r="B597" s="87" t="s">
        <v>2007</v>
      </c>
      <c r="C597" s="356" t="s">
        <v>2126</v>
      </c>
      <c r="D597" s="281" t="s">
        <v>2139</v>
      </c>
      <c r="E597" s="357" t="s">
        <v>325</v>
      </c>
      <c r="F597" s="342" t="s">
        <v>326</v>
      </c>
      <c r="G597" s="432" t="s">
        <v>2140</v>
      </c>
      <c r="H597" s="234"/>
      <c r="I597" s="274" t="s">
        <v>24</v>
      </c>
      <c r="J597" s="274" t="s">
        <v>24</v>
      </c>
      <c r="K597" s="274" t="s">
        <v>24</v>
      </c>
      <c r="L597" s="248" t="s">
        <v>329</v>
      </c>
      <c r="M597" s="283" t="s">
        <v>24</v>
      </c>
      <c r="N597" s="106" t="s">
        <v>24</v>
      </c>
      <c r="O597" s="106" t="s">
        <v>24</v>
      </c>
      <c r="P597" s="106"/>
      <c r="Q597" s="309"/>
      <c r="R597" s="312" t="s">
        <v>24</v>
      </c>
      <c r="S597" s="106" t="s">
        <v>24</v>
      </c>
      <c r="T597" s="106" t="s">
        <v>24</v>
      </c>
      <c r="U597" s="106" t="s">
        <v>329</v>
      </c>
      <c r="V597" s="251"/>
      <c r="W597" s="377"/>
      <c r="X597" s="85"/>
      <c r="Y597" s="85"/>
      <c r="Z597" s="85"/>
      <c r="AA597" s="85"/>
      <c r="AB597" s="85"/>
      <c r="AC597" s="85"/>
    </row>
    <row r="598" spans="1:29" ht="14.25">
      <c r="A598" s="355" t="s">
        <v>2138</v>
      </c>
      <c r="B598" s="87" t="s">
        <v>2007</v>
      </c>
      <c r="C598" s="80" t="s">
        <v>2129</v>
      </c>
      <c r="D598" s="281" t="s">
        <v>2141</v>
      </c>
      <c r="E598" s="357" t="s">
        <v>325</v>
      </c>
      <c r="F598" s="342" t="s">
        <v>326</v>
      </c>
      <c r="G598" s="433"/>
      <c r="H598" s="256"/>
      <c r="I598" s="274" t="s">
        <v>24</v>
      </c>
      <c r="J598" s="274" t="s">
        <v>24</v>
      </c>
      <c r="K598" s="274" t="s">
        <v>24</v>
      </c>
      <c r="L598" s="248" t="s">
        <v>329</v>
      </c>
      <c r="M598" s="283" t="s">
        <v>24</v>
      </c>
      <c r="N598" s="106" t="s">
        <v>24</v>
      </c>
      <c r="O598" s="106" t="s">
        <v>24</v>
      </c>
      <c r="P598" s="106"/>
      <c r="Q598" s="309"/>
      <c r="R598" s="312" t="s">
        <v>24</v>
      </c>
      <c r="S598" s="106" t="s">
        <v>24</v>
      </c>
      <c r="T598" s="106" t="s">
        <v>24</v>
      </c>
      <c r="U598" s="106" t="s">
        <v>329</v>
      </c>
      <c r="V598" s="251"/>
      <c r="W598" s="377"/>
      <c r="X598" s="85"/>
      <c r="Y598" s="85"/>
      <c r="Z598" s="85"/>
      <c r="AA598" s="85"/>
      <c r="AB598" s="85"/>
      <c r="AC598" s="85"/>
    </row>
    <row r="599" spans="1:29" ht="14.25">
      <c r="A599" s="355" t="s">
        <v>2138</v>
      </c>
      <c r="B599" s="87" t="s">
        <v>2007</v>
      </c>
      <c r="C599" s="359" t="s">
        <v>2132</v>
      </c>
      <c r="D599" s="360" t="s">
        <v>2142</v>
      </c>
      <c r="E599" s="357" t="s">
        <v>325</v>
      </c>
      <c r="F599" s="342" t="s">
        <v>326</v>
      </c>
      <c r="G599" s="433"/>
      <c r="H599" s="256"/>
      <c r="I599" s="274" t="s">
        <v>24</v>
      </c>
      <c r="J599" s="274" t="s">
        <v>24</v>
      </c>
      <c r="K599" s="274" t="s">
        <v>24</v>
      </c>
      <c r="L599" s="248" t="s">
        <v>329</v>
      </c>
      <c r="M599" s="283" t="s">
        <v>24</v>
      </c>
      <c r="N599" s="106" t="s">
        <v>24</v>
      </c>
      <c r="O599" s="106" t="s">
        <v>24</v>
      </c>
      <c r="P599" s="106"/>
      <c r="Q599" s="309"/>
      <c r="R599" s="312" t="s">
        <v>24</v>
      </c>
      <c r="S599" s="106" t="s">
        <v>24</v>
      </c>
      <c r="T599" s="106" t="s">
        <v>24</v>
      </c>
      <c r="U599" s="106" t="s">
        <v>329</v>
      </c>
      <c r="V599" s="251"/>
      <c r="W599" s="377"/>
      <c r="X599" s="85"/>
      <c r="Y599" s="85"/>
      <c r="Z599" s="85"/>
      <c r="AA599" s="85"/>
      <c r="AB599" s="85"/>
      <c r="AC599" s="85"/>
    </row>
    <row r="600" spans="1:29" ht="14.25">
      <c r="A600" s="85" t="s">
        <v>2138</v>
      </c>
      <c r="B600" s="87" t="s">
        <v>2007</v>
      </c>
      <c r="C600" s="80" t="s">
        <v>2135</v>
      </c>
      <c r="D600" s="275" t="s">
        <v>2143</v>
      </c>
      <c r="E600" s="357" t="s">
        <v>325</v>
      </c>
      <c r="F600" s="342" t="s">
        <v>326</v>
      </c>
      <c r="G600" s="434"/>
      <c r="H600" s="256"/>
      <c r="I600" s="274" t="s">
        <v>24</v>
      </c>
      <c r="J600" s="274" t="s">
        <v>24</v>
      </c>
      <c r="K600" s="274" t="s">
        <v>24</v>
      </c>
      <c r="L600" s="248" t="s">
        <v>329</v>
      </c>
      <c r="M600" s="283" t="s">
        <v>24</v>
      </c>
      <c r="N600" s="106" t="s">
        <v>24</v>
      </c>
      <c r="O600" s="106" t="s">
        <v>24</v>
      </c>
      <c r="P600" s="106"/>
      <c r="Q600" s="309"/>
      <c r="R600" s="312" t="s">
        <v>24</v>
      </c>
      <c r="S600" s="106" t="s">
        <v>24</v>
      </c>
      <c r="T600" s="106" t="s">
        <v>24</v>
      </c>
      <c r="U600" s="106" t="s">
        <v>329</v>
      </c>
      <c r="V600" s="251"/>
      <c r="W600" s="377"/>
      <c r="X600" s="85"/>
      <c r="Y600" s="85"/>
      <c r="Z600" s="85"/>
      <c r="AA600" s="85"/>
      <c r="AB600" s="85"/>
      <c r="AC600" s="85"/>
    </row>
    <row r="601" spans="1:29" ht="14.25">
      <c r="A601" s="85" t="s">
        <v>2144</v>
      </c>
      <c r="B601" s="87" t="s">
        <v>2007</v>
      </c>
      <c r="C601" s="80" t="s">
        <v>86</v>
      </c>
      <c r="D601" s="338" t="s">
        <v>2145</v>
      </c>
      <c r="E601" s="245" t="s">
        <v>27</v>
      </c>
      <c r="F601" s="361" t="s">
        <v>317</v>
      </c>
      <c r="G601" s="259"/>
      <c r="H601" s="256"/>
      <c r="I601" s="271" t="s">
        <v>317</v>
      </c>
      <c r="J601" s="271" t="s">
        <v>317</v>
      </c>
      <c r="K601" s="271" t="s">
        <v>317</v>
      </c>
      <c r="L601" s="248"/>
      <c r="M601" s="249"/>
      <c r="N601" s="225"/>
      <c r="O601" s="225"/>
      <c r="P601" s="225"/>
      <c r="Q601" s="250"/>
      <c r="R601" s="215" t="s">
        <v>27</v>
      </c>
      <c r="S601" s="215" t="s">
        <v>27</v>
      </c>
      <c r="T601" s="215" t="s">
        <v>27</v>
      </c>
      <c r="U601" s="225"/>
      <c r="V601" s="251"/>
      <c r="W601" s="377"/>
      <c r="X601" s="85"/>
      <c r="Y601" s="85"/>
      <c r="Z601" s="85"/>
      <c r="AA601" s="85"/>
      <c r="AB601" s="85"/>
      <c r="AC601" s="85"/>
    </row>
    <row r="602" spans="1:29" ht="15" customHeight="1">
      <c r="A602" s="85" t="s">
        <v>2144</v>
      </c>
      <c r="B602" s="87" t="s">
        <v>2007</v>
      </c>
      <c r="C602" s="80" t="s">
        <v>2146</v>
      </c>
      <c r="D602" s="338" t="s">
        <v>2147</v>
      </c>
      <c r="E602" s="245" t="s">
        <v>27</v>
      </c>
      <c r="F602" s="361" t="s">
        <v>317</v>
      </c>
      <c r="G602" s="259"/>
      <c r="H602" s="256"/>
      <c r="I602" s="271" t="s">
        <v>317</v>
      </c>
      <c r="J602" s="271" t="s">
        <v>317</v>
      </c>
      <c r="K602" s="271" t="s">
        <v>317</v>
      </c>
      <c r="L602" s="248"/>
      <c r="M602" s="249"/>
      <c r="N602" s="225"/>
      <c r="O602" s="225"/>
      <c r="P602" s="225"/>
      <c r="Q602" s="250"/>
      <c r="R602" s="215" t="s">
        <v>27</v>
      </c>
      <c r="S602" s="215" t="s">
        <v>27</v>
      </c>
      <c r="T602" s="215" t="s">
        <v>27</v>
      </c>
      <c r="U602" s="225"/>
      <c r="V602" s="251"/>
      <c r="W602" s="377"/>
      <c r="X602" s="85"/>
      <c r="Y602" s="85"/>
      <c r="Z602" s="85"/>
      <c r="AA602" s="85"/>
      <c r="AB602" s="85"/>
      <c r="AC602" s="85"/>
    </row>
    <row r="603" spans="1:29" ht="15" customHeight="1">
      <c r="A603" s="85" t="s">
        <v>2148</v>
      </c>
      <c r="B603" s="87" t="s">
        <v>2007</v>
      </c>
      <c r="C603" s="80" t="s">
        <v>2149</v>
      </c>
      <c r="D603" s="338" t="s">
        <v>2150</v>
      </c>
      <c r="E603" s="245" t="s">
        <v>27</v>
      </c>
      <c r="F603" s="361" t="s">
        <v>317</v>
      </c>
      <c r="G603" s="259"/>
      <c r="H603" s="256"/>
      <c r="I603" s="271" t="s">
        <v>317</v>
      </c>
      <c r="J603" s="271" t="s">
        <v>317</v>
      </c>
      <c r="K603" s="271" t="s">
        <v>317</v>
      </c>
      <c r="L603" s="248"/>
      <c r="M603" s="249"/>
      <c r="N603" s="225"/>
      <c r="O603" s="225"/>
      <c r="P603" s="225"/>
      <c r="Q603" s="250"/>
      <c r="R603" s="215" t="s">
        <v>27</v>
      </c>
      <c r="S603" s="215" t="s">
        <v>27</v>
      </c>
      <c r="T603" s="215" t="s">
        <v>27</v>
      </c>
      <c r="U603" s="225"/>
      <c r="V603" s="251"/>
      <c r="W603" s="377"/>
      <c r="X603" s="85"/>
      <c r="Y603" s="85"/>
      <c r="Z603" s="85"/>
      <c r="AA603" s="85"/>
      <c r="AB603" s="85"/>
      <c r="AC603" s="85"/>
    </row>
    <row r="604" spans="1:29" ht="15" customHeight="1">
      <c r="A604" s="85" t="s">
        <v>2151</v>
      </c>
      <c r="B604" s="87" t="s">
        <v>2007</v>
      </c>
      <c r="C604" s="80" t="s">
        <v>2117</v>
      </c>
      <c r="D604" s="338" t="s">
        <v>2152</v>
      </c>
      <c r="E604" s="245" t="s">
        <v>27</v>
      </c>
      <c r="F604" s="361" t="s">
        <v>317</v>
      </c>
      <c r="G604" s="259"/>
      <c r="H604" s="256"/>
      <c r="I604" s="271" t="s">
        <v>317</v>
      </c>
      <c r="J604" s="271" t="s">
        <v>317</v>
      </c>
      <c r="K604" s="271" t="s">
        <v>317</v>
      </c>
      <c r="L604" s="248"/>
      <c r="M604" s="249"/>
      <c r="N604" s="225"/>
      <c r="O604" s="225"/>
      <c r="P604" s="225"/>
      <c r="Q604" s="250"/>
      <c r="R604" s="215" t="s">
        <v>27</v>
      </c>
      <c r="S604" s="215" t="s">
        <v>27</v>
      </c>
      <c r="T604" s="215" t="s">
        <v>27</v>
      </c>
      <c r="U604" s="225"/>
      <c r="V604" s="251"/>
      <c r="W604" s="377"/>
      <c r="X604" s="85"/>
      <c r="Y604" s="85"/>
      <c r="Z604" s="85"/>
      <c r="AA604" s="85"/>
      <c r="AB604" s="85"/>
      <c r="AC604" s="85"/>
    </row>
    <row r="605" spans="1:29" ht="15" customHeight="1">
      <c r="A605" s="85" t="s">
        <v>2151</v>
      </c>
      <c r="B605" s="87" t="s">
        <v>2007</v>
      </c>
      <c r="C605" s="80" t="s">
        <v>2119</v>
      </c>
      <c r="D605" s="338" t="s">
        <v>2153</v>
      </c>
      <c r="E605" s="245" t="s">
        <v>27</v>
      </c>
      <c r="F605" s="361" t="s">
        <v>317</v>
      </c>
      <c r="G605" s="259"/>
      <c r="H605" s="256"/>
      <c r="I605" s="271" t="s">
        <v>317</v>
      </c>
      <c r="J605" s="271" t="s">
        <v>317</v>
      </c>
      <c r="K605" s="271" t="s">
        <v>317</v>
      </c>
      <c r="L605" s="248"/>
      <c r="M605" s="249"/>
      <c r="N605" s="225"/>
      <c r="O605" s="225"/>
      <c r="P605" s="225"/>
      <c r="Q605" s="250"/>
      <c r="R605" s="215" t="s">
        <v>27</v>
      </c>
      <c r="S605" s="215" t="s">
        <v>27</v>
      </c>
      <c r="T605" s="215" t="s">
        <v>27</v>
      </c>
      <c r="U605" s="225"/>
      <c r="V605" s="251"/>
      <c r="W605" s="377"/>
      <c r="X605" s="85"/>
      <c r="Y605" s="85"/>
      <c r="Z605" s="85"/>
      <c r="AA605" s="85"/>
      <c r="AB605" s="85"/>
      <c r="AC605" s="85"/>
    </row>
    <row r="606" spans="1:29" ht="15" customHeight="1">
      <c r="A606" s="85" t="s">
        <v>2151</v>
      </c>
      <c r="B606" s="87" t="s">
        <v>2007</v>
      </c>
      <c r="C606" s="80" t="s">
        <v>2121</v>
      </c>
      <c r="D606" s="338" t="s">
        <v>2154</v>
      </c>
      <c r="E606" s="245" t="s">
        <v>27</v>
      </c>
      <c r="F606" s="361" t="s">
        <v>317</v>
      </c>
      <c r="G606" s="259"/>
      <c r="H606" s="256"/>
      <c r="I606" s="271" t="s">
        <v>317</v>
      </c>
      <c r="J606" s="271" t="s">
        <v>317</v>
      </c>
      <c r="K606" s="271" t="s">
        <v>317</v>
      </c>
      <c r="L606" s="248"/>
      <c r="M606" s="249"/>
      <c r="N606" s="225"/>
      <c r="O606" s="225"/>
      <c r="P606" s="225"/>
      <c r="Q606" s="250"/>
      <c r="R606" s="215" t="s">
        <v>27</v>
      </c>
      <c r="S606" s="215" t="s">
        <v>27</v>
      </c>
      <c r="T606" s="215" t="s">
        <v>27</v>
      </c>
      <c r="U606" s="225"/>
      <c r="V606" s="251"/>
      <c r="W606" s="377"/>
      <c r="X606" s="85"/>
      <c r="Y606" s="85"/>
      <c r="Z606" s="85"/>
      <c r="AA606" s="85"/>
      <c r="AB606" s="85"/>
      <c r="AC606" s="85"/>
    </row>
    <row r="607" spans="1:29" ht="15" customHeight="1">
      <c r="A607" s="85" t="s">
        <v>2151</v>
      </c>
      <c r="B607" s="87" t="s">
        <v>2007</v>
      </c>
      <c r="C607" s="356" t="s">
        <v>2123</v>
      </c>
      <c r="D607" s="338" t="s">
        <v>2155</v>
      </c>
      <c r="E607" s="245" t="s">
        <v>27</v>
      </c>
      <c r="F607" s="361" t="s">
        <v>317</v>
      </c>
      <c r="G607" s="259"/>
      <c r="H607" s="256"/>
      <c r="I607" s="271" t="s">
        <v>317</v>
      </c>
      <c r="J607" s="271" t="s">
        <v>317</v>
      </c>
      <c r="K607" s="271" t="s">
        <v>317</v>
      </c>
      <c r="L607" s="248"/>
      <c r="M607" s="249"/>
      <c r="N607" s="225"/>
      <c r="O607" s="225"/>
      <c r="P607" s="225"/>
      <c r="Q607" s="250"/>
      <c r="R607" s="215" t="s">
        <v>27</v>
      </c>
      <c r="S607" s="215" t="s">
        <v>27</v>
      </c>
      <c r="T607" s="215" t="s">
        <v>27</v>
      </c>
      <c r="U607" s="225"/>
      <c r="V607" s="251"/>
      <c r="W607" s="377"/>
      <c r="X607" s="85"/>
      <c r="Y607" s="85"/>
      <c r="Z607" s="85"/>
      <c r="AA607" s="85"/>
      <c r="AB607" s="85"/>
      <c r="AC607" s="85"/>
    </row>
    <row r="608" spans="1:29" ht="15" customHeight="1">
      <c r="A608" s="85" t="s">
        <v>2156</v>
      </c>
      <c r="B608" s="87" t="s">
        <v>2007</v>
      </c>
      <c r="C608" s="80" t="s">
        <v>2017</v>
      </c>
      <c r="D608" s="338" t="s">
        <v>2157</v>
      </c>
      <c r="E608" s="245" t="s">
        <v>27</v>
      </c>
      <c r="F608" s="361" t="s">
        <v>317</v>
      </c>
      <c r="G608" s="420" t="s">
        <v>2158</v>
      </c>
      <c r="H608" s="256"/>
      <c r="I608" s="271" t="s">
        <v>317</v>
      </c>
      <c r="J608" s="271" t="s">
        <v>317</v>
      </c>
      <c r="K608" s="271" t="s">
        <v>317</v>
      </c>
      <c r="L608" s="248" t="s">
        <v>329</v>
      </c>
      <c r="M608" s="249"/>
      <c r="N608" s="225"/>
      <c r="O608" s="225"/>
      <c r="P608" s="225"/>
      <c r="Q608" s="250"/>
      <c r="R608" s="215" t="s">
        <v>27</v>
      </c>
      <c r="S608" s="215" t="s">
        <v>27</v>
      </c>
      <c r="T608" s="215" t="s">
        <v>27</v>
      </c>
      <c r="U608" s="225"/>
      <c r="V608" s="430" t="s">
        <v>2159</v>
      </c>
      <c r="W608" s="377"/>
      <c r="X608" s="85"/>
      <c r="Y608" s="85"/>
      <c r="Z608" s="85"/>
      <c r="AA608" s="85"/>
      <c r="AB608" s="85"/>
      <c r="AC608" s="85"/>
    </row>
    <row r="609" spans="1:29" ht="15" customHeight="1">
      <c r="A609" s="85" t="s">
        <v>2156</v>
      </c>
      <c r="B609" s="87" t="s">
        <v>2007</v>
      </c>
      <c r="C609" s="80" t="s">
        <v>2019</v>
      </c>
      <c r="D609" s="338" t="s">
        <v>2160</v>
      </c>
      <c r="E609" s="245" t="s">
        <v>27</v>
      </c>
      <c r="F609" s="361" t="s">
        <v>317</v>
      </c>
      <c r="G609" s="438"/>
      <c r="H609" s="256"/>
      <c r="I609" s="271" t="s">
        <v>317</v>
      </c>
      <c r="J609" s="271" t="s">
        <v>317</v>
      </c>
      <c r="K609" s="271" t="s">
        <v>317</v>
      </c>
      <c r="L609" s="248" t="s">
        <v>329</v>
      </c>
      <c r="M609" s="249"/>
      <c r="N609" s="225"/>
      <c r="O609" s="225"/>
      <c r="P609" s="225"/>
      <c r="Q609" s="250"/>
      <c r="R609" s="215" t="s">
        <v>27</v>
      </c>
      <c r="S609" s="215" t="s">
        <v>27</v>
      </c>
      <c r="T609" s="215" t="s">
        <v>27</v>
      </c>
      <c r="U609" s="225"/>
      <c r="V609" s="430"/>
      <c r="W609" s="377"/>
      <c r="X609" s="85"/>
      <c r="Y609" s="85"/>
      <c r="Z609" s="85"/>
      <c r="AA609" s="85"/>
      <c r="AB609" s="85"/>
      <c r="AC609" s="85"/>
    </row>
    <row r="610" spans="1:29" ht="15" customHeight="1">
      <c r="A610" s="85" t="s">
        <v>2156</v>
      </c>
      <c r="B610" s="87" t="s">
        <v>2007</v>
      </c>
      <c r="C610" s="80" t="s">
        <v>2021</v>
      </c>
      <c r="D610" s="338" t="s">
        <v>2161</v>
      </c>
      <c r="E610" s="245" t="s">
        <v>27</v>
      </c>
      <c r="F610" s="361" t="s">
        <v>317</v>
      </c>
      <c r="G610" s="438"/>
      <c r="H610" s="256"/>
      <c r="I610" s="271" t="s">
        <v>317</v>
      </c>
      <c r="J610" s="271" t="s">
        <v>317</v>
      </c>
      <c r="K610" s="271" t="s">
        <v>317</v>
      </c>
      <c r="L610" s="248" t="s">
        <v>329</v>
      </c>
      <c r="M610" s="249"/>
      <c r="N610" s="225"/>
      <c r="O610" s="225"/>
      <c r="P610" s="225"/>
      <c r="Q610" s="250"/>
      <c r="R610" s="215" t="s">
        <v>27</v>
      </c>
      <c r="S610" s="215" t="s">
        <v>27</v>
      </c>
      <c r="T610" s="215" t="s">
        <v>27</v>
      </c>
      <c r="U610" s="225"/>
      <c r="V610" s="430"/>
      <c r="W610" s="377"/>
      <c r="X610" s="85"/>
      <c r="Y610" s="85"/>
      <c r="Z610" s="85"/>
      <c r="AA610" s="85"/>
      <c r="AB610" s="85"/>
      <c r="AC610" s="85"/>
    </row>
    <row r="611" spans="1:29" ht="15" customHeight="1">
      <c r="A611" s="85" t="s">
        <v>2156</v>
      </c>
      <c r="B611" s="87" t="s">
        <v>2007</v>
      </c>
      <c r="C611" s="80" t="s">
        <v>2023</v>
      </c>
      <c r="D611" s="338" t="s">
        <v>2162</v>
      </c>
      <c r="E611" s="245" t="s">
        <v>27</v>
      </c>
      <c r="F611" s="361" t="s">
        <v>317</v>
      </c>
      <c r="G611" s="438"/>
      <c r="H611" s="256"/>
      <c r="I611" s="271" t="s">
        <v>317</v>
      </c>
      <c r="J611" s="271" t="s">
        <v>317</v>
      </c>
      <c r="K611" s="271" t="s">
        <v>317</v>
      </c>
      <c r="L611" s="248" t="s">
        <v>329</v>
      </c>
      <c r="M611" s="249"/>
      <c r="N611" s="225"/>
      <c r="O611" s="225"/>
      <c r="P611" s="225"/>
      <c r="Q611" s="250"/>
      <c r="R611" s="215" t="s">
        <v>27</v>
      </c>
      <c r="S611" s="215" t="s">
        <v>27</v>
      </c>
      <c r="T611" s="215" t="s">
        <v>27</v>
      </c>
      <c r="U611" s="225"/>
      <c r="V611" s="430"/>
      <c r="W611" s="377"/>
      <c r="X611" s="85"/>
      <c r="Y611" s="85"/>
      <c r="Z611" s="85"/>
      <c r="AA611" s="85"/>
      <c r="AB611" s="85"/>
      <c r="AC611" s="85"/>
    </row>
    <row r="612" spans="1:29" ht="15" customHeight="1">
      <c r="A612" s="85" t="s">
        <v>2156</v>
      </c>
      <c r="B612" s="87" t="s">
        <v>2007</v>
      </c>
      <c r="C612" s="80" t="s">
        <v>2163</v>
      </c>
      <c r="D612" s="338" t="s">
        <v>2164</v>
      </c>
      <c r="E612" s="245" t="s">
        <v>27</v>
      </c>
      <c r="F612" s="361" t="s">
        <v>317</v>
      </c>
      <c r="G612" s="438"/>
      <c r="H612" s="256"/>
      <c r="I612" s="271" t="s">
        <v>317</v>
      </c>
      <c r="J612" s="271" t="s">
        <v>317</v>
      </c>
      <c r="K612" s="271" t="s">
        <v>317</v>
      </c>
      <c r="L612" s="248" t="s">
        <v>329</v>
      </c>
      <c r="M612" s="249"/>
      <c r="N612" s="225"/>
      <c r="O612" s="225"/>
      <c r="P612" s="225"/>
      <c r="Q612" s="250"/>
      <c r="R612" s="215" t="s">
        <v>27</v>
      </c>
      <c r="S612" s="215" t="s">
        <v>27</v>
      </c>
      <c r="T612" s="215" t="s">
        <v>27</v>
      </c>
      <c r="U612" s="225"/>
      <c r="V612" s="430"/>
      <c r="W612" s="377"/>
      <c r="X612" s="85"/>
      <c r="Y612" s="85"/>
      <c r="Z612" s="85"/>
      <c r="AA612" s="85"/>
      <c r="AB612" s="85"/>
      <c r="AC612" s="85"/>
    </row>
    <row r="613" spans="1:29" ht="15" customHeight="1">
      <c r="A613" s="85" t="s">
        <v>2156</v>
      </c>
      <c r="B613" s="87" t="s">
        <v>2007</v>
      </c>
      <c r="C613" s="80" t="s">
        <v>2032</v>
      </c>
      <c r="D613" s="338" t="s">
        <v>2165</v>
      </c>
      <c r="E613" s="245" t="s">
        <v>27</v>
      </c>
      <c r="F613" s="361" t="s">
        <v>317</v>
      </c>
      <c r="G613" s="438"/>
      <c r="H613" s="256"/>
      <c r="I613" s="271" t="s">
        <v>317</v>
      </c>
      <c r="J613" s="271" t="s">
        <v>317</v>
      </c>
      <c r="K613" s="271" t="s">
        <v>317</v>
      </c>
      <c r="L613" s="248" t="s">
        <v>329</v>
      </c>
      <c r="M613" s="249"/>
      <c r="N613" s="225"/>
      <c r="O613" s="225"/>
      <c r="P613" s="225"/>
      <c r="Q613" s="250"/>
      <c r="R613" s="215" t="s">
        <v>27</v>
      </c>
      <c r="S613" s="215" t="s">
        <v>27</v>
      </c>
      <c r="T613" s="215" t="s">
        <v>27</v>
      </c>
      <c r="U613" s="225"/>
      <c r="V613" s="430"/>
      <c r="W613" s="377"/>
      <c r="X613" s="85"/>
      <c r="Y613" s="85"/>
      <c r="Z613" s="85"/>
      <c r="AA613" s="85"/>
      <c r="AB613" s="85"/>
      <c r="AC613" s="85"/>
    </row>
    <row r="614" spans="1:29" ht="15" customHeight="1">
      <c r="A614" s="85" t="s">
        <v>2166</v>
      </c>
      <c r="B614" s="87" t="s">
        <v>2007</v>
      </c>
      <c r="C614" s="80" t="s">
        <v>2037</v>
      </c>
      <c r="D614" s="338" t="s">
        <v>2167</v>
      </c>
      <c r="E614" s="245" t="s">
        <v>27</v>
      </c>
      <c r="F614" s="361" t="s">
        <v>317</v>
      </c>
      <c r="G614" s="438"/>
      <c r="H614" s="256"/>
      <c r="I614" s="271" t="s">
        <v>317</v>
      </c>
      <c r="J614" s="271" t="s">
        <v>317</v>
      </c>
      <c r="K614" s="271" t="s">
        <v>317</v>
      </c>
      <c r="L614" s="248" t="s">
        <v>329</v>
      </c>
      <c r="M614" s="249"/>
      <c r="N614" s="225"/>
      <c r="O614" s="225"/>
      <c r="P614" s="225"/>
      <c r="Q614" s="250"/>
      <c r="R614" s="215" t="s">
        <v>27</v>
      </c>
      <c r="S614" s="215" t="s">
        <v>27</v>
      </c>
      <c r="T614" s="215" t="s">
        <v>27</v>
      </c>
      <c r="U614" s="225"/>
      <c r="V614" s="430"/>
      <c r="W614" s="377"/>
      <c r="X614" s="85"/>
      <c r="Y614" s="85"/>
      <c r="Z614" s="85"/>
      <c r="AA614" s="85"/>
      <c r="AB614" s="85"/>
      <c r="AC614" s="85"/>
    </row>
    <row r="615" spans="1:29" ht="15" customHeight="1">
      <c r="A615" s="85" t="s">
        <v>2166</v>
      </c>
      <c r="B615" s="87" t="s">
        <v>2007</v>
      </c>
      <c r="C615" s="80" t="s">
        <v>2039</v>
      </c>
      <c r="D615" s="338" t="s">
        <v>2168</v>
      </c>
      <c r="E615" s="245" t="s">
        <v>27</v>
      </c>
      <c r="F615" s="361" t="s">
        <v>317</v>
      </c>
      <c r="G615" s="438"/>
      <c r="H615" s="256"/>
      <c r="I615" s="271" t="s">
        <v>317</v>
      </c>
      <c r="J615" s="271" t="s">
        <v>317</v>
      </c>
      <c r="K615" s="271" t="s">
        <v>317</v>
      </c>
      <c r="L615" s="248" t="s">
        <v>329</v>
      </c>
      <c r="M615" s="249"/>
      <c r="N615" s="225"/>
      <c r="O615" s="225"/>
      <c r="P615" s="225"/>
      <c r="Q615" s="250"/>
      <c r="R615" s="215" t="s">
        <v>27</v>
      </c>
      <c r="S615" s="215" t="s">
        <v>27</v>
      </c>
      <c r="T615" s="215" t="s">
        <v>27</v>
      </c>
      <c r="U615" s="225"/>
      <c r="V615" s="430"/>
      <c r="W615" s="377"/>
      <c r="X615" s="85"/>
      <c r="Y615" s="85"/>
      <c r="Z615" s="85"/>
      <c r="AA615" s="85"/>
      <c r="AB615" s="85"/>
      <c r="AC615" s="85"/>
    </row>
    <row r="616" spans="1:29" ht="15" customHeight="1">
      <c r="A616" s="85" t="s">
        <v>2166</v>
      </c>
      <c r="B616" s="87" t="s">
        <v>2007</v>
      </c>
      <c r="C616" s="80" t="s">
        <v>1388</v>
      </c>
      <c r="D616" s="338" t="s">
        <v>2169</v>
      </c>
      <c r="E616" s="245" t="s">
        <v>27</v>
      </c>
      <c r="F616" s="361" t="s">
        <v>317</v>
      </c>
      <c r="G616" s="438"/>
      <c r="H616" s="256"/>
      <c r="I616" s="271" t="s">
        <v>317</v>
      </c>
      <c r="J616" s="271" t="s">
        <v>317</v>
      </c>
      <c r="K616" s="271" t="s">
        <v>317</v>
      </c>
      <c r="L616" s="248" t="s">
        <v>329</v>
      </c>
      <c r="M616" s="249"/>
      <c r="N616" s="225"/>
      <c r="O616" s="225"/>
      <c r="P616" s="225"/>
      <c r="Q616" s="250"/>
      <c r="R616" s="215" t="s">
        <v>27</v>
      </c>
      <c r="S616" s="215" t="s">
        <v>27</v>
      </c>
      <c r="T616" s="215" t="s">
        <v>27</v>
      </c>
      <c r="U616" s="225"/>
      <c r="V616" s="430"/>
      <c r="W616" s="377"/>
      <c r="X616" s="85"/>
      <c r="Y616" s="85"/>
      <c r="Z616" s="85"/>
      <c r="AA616" s="85"/>
      <c r="AB616" s="85"/>
      <c r="AC616" s="85"/>
    </row>
    <row r="617" spans="1:29" ht="15" customHeight="1">
      <c r="A617" s="85" t="s">
        <v>2166</v>
      </c>
      <c r="B617" s="87" t="s">
        <v>2007</v>
      </c>
      <c r="C617" s="80" t="s">
        <v>2042</v>
      </c>
      <c r="D617" s="338" t="s">
        <v>2170</v>
      </c>
      <c r="E617" s="245" t="s">
        <v>27</v>
      </c>
      <c r="F617" s="361" t="s">
        <v>317</v>
      </c>
      <c r="G617" s="438"/>
      <c r="H617" s="256"/>
      <c r="I617" s="271" t="s">
        <v>317</v>
      </c>
      <c r="J617" s="271" t="s">
        <v>317</v>
      </c>
      <c r="K617" s="271" t="s">
        <v>317</v>
      </c>
      <c r="L617" s="248" t="s">
        <v>329</v>
      </c>
      <c r="M617" s="249"/>
      <c r="N617" s="225"/>
      <c r="O617" s="225"/>
      <c r="P617" s="225"/>
      <c r="Q617" s="250"/>
      <c r="R617" s="215" t="s">
        <v>27</v>
      </c>
      <c r="S617" s="215" t="s">
        <v>27</v>
      </c>
      <c r="T617" s="215" t="s">
        <v>27</v>
      </c>
      <c r="U617" s="225"/>
      <c r="V617" s="430"/>
      <c r="W617" s="377"/>
      <c r="X617" s="85"/>
      <c r="Y617" s="85"/>
      <c r="Z617" s="85"/>
      <c r="AA617" s="85"/>
      <c r="AB617" s="85"/>
      <c r="AC617" s="85"/>
    </row>
    <row r="618" spans="1:29" ht="15" customHeight="1">
      <c r="A618" s="85" t="s">
        <v>2171</v>
      </c>
      <c r="B618" s="87" t="s">
        <v>2007</v>
      </c>
      <c r="C618" s="80" t="s">
        <v>438</v>
      </c>
      <c r="D618" s="338" t="s">
        <v>2172</v>
      </c>
      <c r="E618" s="245" t="s">
        <v>27</v>
      </c>
      <c r="F618" s="361" t="s">
        <v>317</v>
      </c>
      <c r="G618" s="438"/>
      <c r="H618" s="256"/>
      <c r="I618" s="271" t="s">
        <v>317</v>
      </c>
      <c r="J618" s="271" t="s">
        <v>317</v>
      </c>
      <c r="K618" s="271" t="s">
        <v>317</v>
      </c>
      <c r="L618" s="248" t="s">
        <v>329</v>
      </c>
      <c r="M618" s="249"/>
      <c r="N618" s="225"/>
      <c r="O618" s="225"/>
      <c r="P618" s="225"/>
      <c r="Q618" s="250"/>
      <c r="R618" s="215" t="s">
        <v>27</v>
      </c>
      <c r="S618" s="215" t="s">
        <v>27</v>
      </c>
      <c r="T618" s="215" t="s">
        <v>27</v>
      </c>
      <c r="U618" s="225"/>
      <c r="V618" s="430"/>
      <c r="W618" s="377"/>
      <c r="X618" s="85"/>
      <c r="Y618" s="85"/>
      <c r="Z618" s="85"/>
      <c r="AA618" s="85"/>
      <c r="AB618" s="85"/>
      <c r="AC618" s="85"/>
    </row>
    <row r="619" spans="1:29" ht="15" customHeight="1">
      <c r="A619" s="85" t="s">
        <v>2171</v>
      </c>
      <c r="B619" s="87" t="s">
        <v>2007</v>
      </c>
      <c r="C619" s="80" t="s">
        <v>1411</v>
      </c>
      <c r="D619" s="338" t="s">
        <v>2173</v>
      </c>
      <c r="E619" s="245" t="s">
        <v>27</v>
      </c>
      <c r="F619" s="361" t="s">
        <v>317</v>
      </c>
      <c r="G619" s="438"/>
      <c r="H619" s="256"/>
      <c r="I619" s="271" t="s">
        <v>317</v>
      </c>
      <c r="J619" s="271" t="s">
        <v>317</v>
      </c>
      <c r="K619" s="271" t="s">
        <v>317</v>
      </c>
      <c r="L619" s="248" t="s">
        <v>329</v>
      </c>
      <c r="M619" s="249"/>
      <c r="N619" s="225"/>
      <c r="O619" s="225"/>
      <c r="P619" s="225"/>
      <c r="Q619" s="250"/>
      <c r="R619" s="215" t="s">
        <v>27</v>
      </c>
      <c r="S619" s="215" t="s">
        <v>27</v>
      </c>
      <c r="T619" s="215" t="s">
        <v>27</v>
      </c>
      <c r="U619" s="225"/>
      <c r="V619" s="430"/>
      <c r="W619" s="377"/>
      <c r="X619" s="85"/>
      <c r="Y619" s="85"/>
      <c r="Z619" s="85"/>
      <c r="AA619" s="85"/>
      <c r="AB619" s="85"/>
      <c r="AC619" s="85"/>
    </row>
    <row r="620" spans="1:29" ht="15" customHeight="1">
      <c r="A620" s="85" t="s">
        <v>2171</v>
      </c>
      <c r="B620" s="87" t="s">
        <v>2007</v>
      </c>
      <c r="C620" s="80" t="s">
        <v>1407</v>
      </c>
      <c r="D620" s="338" t="s">
        <v>2174</v>
      </c>
      <c r="E620" s="245" t="s">
        <v>27</v>
      </c>
      <c r="F620" s="361" t="s">
        <v>317</v>
      </c>
      <c r="G620" s="438"/>
      <c r="H620" s="256"/>
      <c r="I620" s="271" t="s">
        <v>317</v>
      </c>
      <c r="J620" s="271" t="s">
        <v>317</v>
      </c>
      <c r="K620" s="271" t="s">
        <v>317</v>
      </c>
      <c r="L620" s="248" t="s">
        <v>329</v>
      </c>
      <c r="M620" s="249"/>
      <c r="N620" s="225"/>
      <c r="O620" s="225"/>
      <c r="P620" s="225"/>
      <c r="Q620" s="250"/>
      <c r="R620" s="215" t="s">
        <v>27</v>
      </c>
      <c r="S620" s="215" t="s">
        <v>27</v>
      </c>
      <c r="T620" s="215" t="s">
        <v>27</v>
      </c>
      <c r="U620" s="225"/>
      <c r="V620" s="430"/>
      <c r="W620" s="377"/>
      <c r="X620" s="85"/>
      <c r="Y620" s="85"/>
      <c r="Z620" s="85"/>
      <c r="AA620" s="85"/>
      <c r="AB620" s="85"/>
      <c r="AC620" s="85"/>
    </row>
    <row r="621" spans="1:29" ht="15" customHeight="1">
      <c r="A621" s="85" t="s">
        <v>2171</v>
      </c>
      <c r="B621" s="87" t="s">
        <v>2007</v>
      </c>
      <c r="C621" s="80" t="s">
        <v>1140</v>
      </c>
      <c r="D621" s="338" t="s">
        <v>2175</v>
      </c>
      <c r="E621" s="245" t="s">
        <v>27</v>
      </c>
      <c r="F621" s="361" t="s">
        <v>317</v>
      </c>
      <c r="G621" s="438"/>
      <c r="H621" s="256"/>
      <c r="I621" s="271" t="s">
        <v>317</v>
      </c>
      <c r="J621" s="271" t="s">
        <v>317</v>
      </c>
      <c r="K621" s="271" t="s">
        <v>317</v>
      </c>
      <c r="L621" s="248" t="s">
        <v>329</v>
      </c>
      <c r="M621" s="249"/>
      <c r="N621" s="225"/>
      <c r="O621" s="225"/>
      <c r="P621" s="225"/>
      <c r="Q621" s="250"/>
      <c r="R621" s="215" t="s">
        <v>27</v>
      </c>
      <c r="S621" s="215" t="s">
        <v>27</v>
      </c>
      <c r="T621" s="215" t="s">
        <v>27</v>
      </c>
      <c r="U621" s="225"/>
      <c r="V621" s="430"/>
      <c r="W621" s="377"/>
      <c r="X621" s="85"/>
      <c r="Y621" s="85"/>
      <c r="Z621" s="85"/>
      <c r="AA621" s="85"/>
      <c r="AB621" s="85"/>
      <c r="AC621" s="85"/>
    </row>
    <row r="622" spans="1:29" ht="15" customHeight="1">
      <c r="A622" s="85" t="s">
        <v>2171</v>
      </c>
      <c r="B622" s="87" t="s">
        <v>2007</v>
      </c>
      <c r="C622" s="80" t="s">
        <v>1138</v>
      </c>
      <c r="D622" s="338" t="s">
        <v>2176</v>
      </c>
      <c r="E622" s="245" t="s">
        <v>27</v>
      </c>
      <c r="F622" s="361" t="s">
        <v>317</v>
      </c>
      <c r="G622" s="438"/>
      <c r="H622" s="256"/>
      <c r="I622" s="271" t="s">
        <v>317</v>
      </c>
      <c r="J622" s="271" t="s">
        <v>317</v>
      </c>
      <c r="K622" s="271" t="s">
        <v>317</v>
      </c>
      <c r="L622" s="248" t="s">
        <v>329</v>
      </c>
      <c r="M622" s="249"/>
      <c r="N622" s="225"/>
      <c r="O622" s="225"/>
      <c r="P622" s="225"/>
      <c r="Q622" s="250"/>
      <c r="R622" s="215" t="s">
        <v>27</v>
      </c>
      <c r="S622" s="215" t="s">
        <v>27</v>
      </c>
      <c r="T622" s="215" t="s">
        <v>27</v>
      </c>
      <c r="U622" s="225"/>
      <c r="V622" s="430"/>
      <c r="W622" s="377"/>
      <c r="X622" s="85"/>
      <c r="Y622" s="85"/>
      <c r="Z622" s="85"/>
      <c r="AA622" s="85"/>
      <c r="AB622" s="85"/>
      <c r="AC622" s="85"/>
    </row>
    <row r="623" spans="1:29" ht="15" customHeight="1">
      <c r="A623" s="85" t="s">
        <v>2171</v>
      </c>
      <c r="B623" s="87" t="s">
        <v>2007</v>
      </c>
      <c r="C623" s="80" t="s">
        <v>1421</v>
      </c>
      <c r="D623" s="338" t="s">
        <v>2177</v>
      </c>
      <c r="E623" s="245" t="s">
        <v>27</v>
      </c>
      <c r="F623" s="361" t="s">
        <v>317</v>
      </c>
      <c r="G623" s="438"/>
      <c r="H623" s="256"/>
      <c r="I623" s="271" t="s">
        <v>317</v>
      </c>
      <c r="J623" s="271" t="s">
        <v>317</v>
      </c>
      <c r="K623" s="271" t="s">
        <v>317</v>
      </c>
      <c r="L623" s="248" t="s">
        <v>329</v>
      </c>
      <c r="M623" s="249"/>
      <c r="N623" s="225"/>
      <c r="O623" s="225"/>
      <c r="P623" s="225"/>
      <c r="Q623" s="250"/>
      <c r="R623" s="215" t="s">
        <v>27</v>
      </c>
      <c r="S623" s="215" t="s">
        <v>27</v>
      </c>
      <c r="T623" s="215" t="s">
        <v>27</v>
      </c>
      <c r="U623" s="225"/>
      <c r="V623" s="430"/>
      <c r="W623" s="377"/>
      <c r="X623" s="85"/>
      <c r="Y623" s="85"/>
      <c r="Z623" s="85"/>
      <c r="AA623" s="85"/>
      <c r="AB623" s="85"/>
      <c r="AC623" s="85"/>
    </row>
    <row r="624" spans="1:29" ht="15" customHeight="1">
      <c r="A624" s="85" t="s">
        <v>2171</v>
      </c>
      <c r="B624" s="87" t="s">
        <v>2007</v>
      </c>
      <c r="C624" s="80" t="s">
        <v>530</v>
      </c>
      <c r="D624" s="338" t="s">
        <v>2178</v>
      </c>
      <c r="E624" s="245" t="s">
        <v>27</v>
      </c>
      <c r="F624" s="361" t="s">
        <v>317</v>
      </c>
      <c r="G624" s="438"/>
      <c r="H624" s="256"/>
      <c r="I624" s="271" t="s">
        <v>317</v>
      </c>
      <c r="J624" s="271" t="s">
        <v>317</v>
      </c>
      <c r="K624" s="271" t="s">
        <v>317</v>
      </c>
      <c r="L624" s="248" t="s">
        <v>329</v>
      </c>
      <c r="M624" s="249"/>
      <c r="N624" s="225"/>
      <c r="O624" s="225"/>
      <c r="P624" s="225"/>
      <c r="Q624" s="250"/>
      <c r="R624" s="215" t="s">
        <v>27</v>
      </c>
      <c r="S624" s="215" t="s">
        <v>27</v>
      </c>
      <c r="T624" s="215" t="s">
        <v>27</v>
      </c>
      <c r="U624" s="225"/>
      <c r="V624" s="430"/>
      <c r="W624" s="377"/>
      <c r="X624" s="85"/>
      <c r="Y624" s="85"/>
      <c r="Z624" s="85"/>
      <c r="AA624" s="85"/>
      <c r="AB624" s="85"/>
      <c r="AC624" s="85"/>
    </row>
    <row r="625" spans="1:29" ht="15" customHeight="1">
      <c r="A625" s="85" t="s">
        <v>2171</v>
      </c>
      <c r="B625" s="87" t="s">
        <v>2007</v>
      </c>
      <c r="C625" s="80" t="s">
        <v>2101</v>
      </c>
      <c r="D625" s="338" t="s">
        <v>2179</v>
      </c>
      <c r="E625" s="245" t="s">
        <v>27</v>
      </c>
      <c r="F625" s="361" t="s">
        <v>317</v>
      </c>
      <c r="G625" s="438"/>
      <c r="H625" s="256"/>
      <c r="I625" s="271" t="s">
        <v>317</v>
      </c>
      <c r="J625" s="271" t="s">
        <v>317</v>
      </c>
      <c r="K625" s="271" t="s">
        <v>317</v>
      </c>
      <c r="L625" s="248" t="s">
        <v>329</v>
      </c>
      <c r="M625" s="249"/>
      <c r="N625" s="225"/>
      <c r="O625" s="225"/>
      <c r="P625" s="225"/>
      <c r="Q625" s="250"/>
      <c r="R625" s="215" t="s">
        <v>27</v>
      </c>
      <c r="S625" s="215" t="s">
        <v>27</v>
      </c>
      <c r="T625" s="215" t="s">
        <v>27</v>
      </c>
      <c r="U625" s="225"/>
      <c r="V625" s="430"/>
      <c r="W625" s="377"/>
      <c r="X625" s="85"/>
      <c r="Y625" s="85"/>
      <c r="Z625" s="85"/>
      <c r="AA625" s="85"/>
      <c r="AB625" s="85"/>
      <c r="AC625" s="85"/>
    </row>
    <row r="626" spans="1:29" ht="15" customHeight="1">
      <c r="A626" s="85" t="s">
        <v>2171</v>
      </c>
      <c r="B626" s="87" t="s">
        <v>2007</v>
      </c>
      <c r="C626" s="80" t="s">
        <v>2103</v>
      </c>
      <c r="D626" s="338" t="s">
        <v>2180</v>
      </c>
      <c r="E626" s="245" t="s">
        <v>27</v>
      </c>
      <c r="F626" s="361" t="s">
        <v>317</v>
      </c>
      <c r="G626" s="438"/>
      <c r="H626" s="256"/>
      <c r="I626" s="271" t="s">
        <v>317</v>
      </c>
      <c r="J626" s="271" t="s">
        <v>317</v>
      </c>
      <c r="K626" s="271" t="s">
        <v>317</v>
      </c>
      <c r="L626" s="248" t="s">
        <v>329</v>
      </c>
      <c r="M626" s="249"/>
      <c r="N626" s="225"/>
      <c r="O626" s="225"/>
      <c r="P626" s="225"/>
      <c r="Q626" s="250"/>
      <c r="R626" s="215" t="s">
        <v>27</v>
      </c>
      <c r="S626" s="215" t="s">
        <v>27</v>
      </c>
      <c r="T626" s="215" t="s">
        <v>27</v>
      </c>
      <c r="U626" s="225"/>
      <c r="V626" s="430"/>
      <c r="W626" s="377"/>
      <c r="X626" s="85"/>
      <c r="Y626" s="85"/>
      <c r="Z626" s="85"/>
      <c r="AA626" s="85"/>
      <c r="AB626" s="85"/>
      <c r="AC626" s="85"/>
    </row>
    <row r="627" spans="1:29" ht="15" customHeight="1">
      <c r="A627" s="85" t="s">
        <v>2171</v>
      </c>
      <c r="B627" s="87" t="s">
        <v>2007</v>
      </c>
      <c r="C627" s="80" t="s">
        <v>426</v>
      </c>
      <c r="D627" s="338" t="s">
        <v>2181</v>
      </c>
      <c r="E627" s="245" t="s">
        <v>27</v>
      </c>
      <c r="F627" s="361" t="s">
        <v>317</v>
      </c>
      <c r="G627" s="438"/>
      <c r="H627" s="256"/>
      <c r="I627" s="271" t="s">
        <v>317</v>
      </c>
      <c r="J627" s="271" t="s">
        <v>317</v>
      </c>
      <c r="K627" s="271" t="s">
        <v>317</v>
      </c>
      <c r="L627" s="248" t="s">
        <v>329</v>
      </c>
      <c r="M627" s="249"/>
      <c r="N627" s="225"/>
      <c r="O627" s="225"/>
      <c r="P627" s="225"/>
      <c r="Q627" s="250"/>
      <c r="R627" s="215" t="s">
        <v>27</v>
      </c>
      <c r="S627" s="215" t="s">
        <v>27</v>
      </c>
      <c r="T627" s="215" t="s">
        <v>27</v>
      </c>
      <c r="U627" s="225"/>
      <c r="V627" s="430"/>
      <c r="W627" s="377"/>
      <c r="X627" s="85"/>
      <c r="Y627" s="85"/>
      <c r="Z627" s="85"/>
      <c r="AA627" s="85"/>
      <c r="AB627" s="85"/>
      <c r="AC627" s="85"/>
    </row>
    <row r="628" spans="1:29" ht="15" customHeight="1">
      <c r="A628" s="85" t="s">
        <v>2171</v>
      </c>
      <c r="B628" s="87" t="s">
        <v>2007</v>
      </c>
      <c r="C628" s="80" t="s">
        <v>430</v>
      </c>
      <c r="D628" s="338" t="s">
        <v>2182</v>
      </c>
      <c r="E628" s="245" t="s">
        <v>27</v>
      </c>
      <c r="F628" s="361" t="s">
        <v>317</v>
      </c>
      <c r="G628" s="438"/>
      <c r="H628" s="256"/>
      <c r="I628" s="271" t="s">
        <v>317</v>
      </c>
      <c r="J628" s="271" t="s">
        <v>317</v>
      </c>
      <c r="K628" s="271" t="s">
        <v>317</v>
      </c>
      <c r="L628" s="248" t="s">
        <v>329</v>
      </c>
      <c r="M628" s="249"/>
      <c r="N628" s="225"/>
      <c r="O628" s="225"/>
      <c r="P628" s="225"/>
      <c r="Q628" s="250"/>
      <c r="R628" s="215" t="s">
        <v>27</v>
      </c>
      <c r="S628" s="215" t="s">
        <v>27</v>
      </c>
      <c r="T628" s="215" t="s">
        <v>27</v>
      </c>
      <c r="U628" s="225"/>
      <c r="V628" s="430"/>
      <c r="W628" s="377"/>
      <c r="X628" s="85"/>
      <c r="Y628" s="85"/>
      <c r="Z628" s="85"/>
      <c r="AA628" s="85"/>
      <c r="AB628" s="85"/>
      <c r="AC628" s="85"/>
    </row>
    <row r="629" spans="1:29" ht="15" customHeight="1">
      <c r="A629" s="85" t="s">
        <v>2171</v>
      </c>
      <c r="B629" s="87" t="s">
        <v>2007</v>
      </c>
      <c r="C629" s="80" t="s">
        <v>2107</v>
      </c>
      <c r="D629" s="338" t="s">
        <v>2183</v>
      </c>
      <c r="E629" s="245" t="s">
        <v>27</v>
      </c>
      <c r="F629" s="361" t="s">
        <v>317</v>
      </c>
      <c r="G629" s="438"/>
      <c r="H629" s="256"/>
      <c r="I629" s="271" t="s">
        <v>317</v>
      </c>
      <c r="J629" s="271" t="s">
        <v>317</v>
      </c>
      <c r="K629" s="271" t="s">
        <v>317</v>
      </c>
      <c r="L629" s="248" t="s">
        <v>329</v>
      </c>
      <c r="M629" s="249"/>
      <c r="N629" s="225"/>
      <c r="O629" s="225"/>
      <c r="P629" s="225"/>
      <c r="Q629" s="250"/>
      <c r="R629" s="215" t="s">
        <v>27</v>
      </c>
      <c r="S629" s="215" t="s">
        <v>27</v>
      </c>
      <c r="T629" s="215" t="s">
        <v>27</v>
      </c>
      <c r="U629" s="225"/>
      <c r="V629" s="430"/>
      <c r="W629" s="377"/>
      <c r="X629" s="85"/>
      <c r="Y629" s="85"/>
      <c r="Z629" s="85"/>
      <c r="AA629" s="85"/>
      <c r="AB629" s="85"/>
      <c r="AC629" s="85"/>
    </row>
    <row r="630" spans="1:29" ht="15" customHeight="1">
      <c r="A630" s="85" t="s">
        <v>2171</v>
      </c>
      <c r="B630" s="87" t="s">
        <v>2007</v>
      </c>
      <c r="C630" s="80" t="s">
        <v>2109</v>
      </c>
      <c r="D630" s="338" t="s">
        <v>2184</v>
      </c>
      <c r="E630" s="245" t="s">
        <v>27</v>
      </c>
      <c r="F630" s="361" t="s">
        <v>317</v>
      </c>
      <c r="G630" s="439"/>
      <c r="H630" s="256"/>
      <c r="I630" s="271" t="s">
        <v>317</v>
      </c>
      <c r="J630" s="271" t="s">
        <v>317</v>
      </c>
      <c r="K630" s="271" t="s">
        <v>317</v>
      </c>
      <c r="L630" s="248" t="s">
        <v>329</v>
      </c>
      <c r="M630" s="249"/>
      <c r="N630" s="225"/>
      <c r="O630" s="225"/>
      <c r="P630" s="225"/>
      <c r="Q630" s="250"/>
      <c r="R630" s="215" t="s">
        <v>27</v>
      </c>
      <c r="S630" s="215" t="s">
        <v>27</v>
      </c>
      <c r="T630" s="215" t="s">
        <v>27</v>
      </c>
      <c r="U630" s="225"/>
      <c r="V630" s="430"/>
      <c r="W630" s="377"/>
      <c r="X630" s="85"/>
      <c r="Y630" s="85"/>
      <c r="Z630" s="85"/>
      <c r="AA630" s="85"/>
      <c r="AB630" s="85"/>
      <c r="AC630" s="85"/>
    </row>
    <row r="631" spans="1:29" ht="15" customHeight="1">
      <c r="A631" s="85" t="s">
        <v>2185</v>
      </c>
      <c r="B631" s="87" t="s">
        <v>2007</v>
      </c>
      <c r="C631" s="80" t="s">
        <v>2117</v>
      </c>
      <c r="D631" s="338" t="s">
        <v>2186</v>
      </c>
      <c r="E631" s="245" t="s">
        <v>27</v>
      </c>
      <c r="F631" s="361" t="s">
        <v>317</v>
      </c>
      <c r="G631" s="259"/>
      <c r="H631" s="256"/>
      <c r="I631" s="271" t="s">
        <v>317</v>
      </c>
      <c r="J631" s="271" t="s">
        <v>317</v>
      </c>
      <c r="K631" s="271" t="s">
        <v>317</v>
      </c>
      <c r="L631" s="248"/>
      <c r="M631" s="249"/>
      <c r="N631" s="225"/>
      <c r="O631" s="225"/>
      <c r="P631" s="225"/>
      <c r="Q631" s="250"/>
      <c r="R631" s="215" t="s">
        <v>27</v>
      </c>
      <c r="S631" s="215" t="s">
        <v>27</v>
      </c>
      <c r="T631" s="215" t="s">
        <v>27</v>
      </c>
      <c r="U631" s="225"/>
      <c r="V631" s="251"/>
      <c r="W631" s="377"/>
      <c r="X631" s="85"/>
      <c r="Y631" s="85"/>
      <c r="Z631" s="85"/>
      <c r="AA631" s="85"/>
      <c r="AB631" s="85"/>
      <c r="AC631" s="85"/>
    </row>
    <row r="632" spans="1:29" ht="15" customHeight="1">
      <c r="A632" s="85" t="s">
        <v>2185</v>
      </c>
      <c r="B632" s="87" t="s">
        <v>2007</v>
      </c>
      <c r="C632" s="80" t="s">
        <v>2119</v>
      </c>
      <c r="D632" s="338" t="s">
        <v>2187</v>
      </c>
      <c r="E632" s="245" t="s">
        <v>27</v>
      </c>
      <c r="F632" s="361" t="s">
        <v>317</v>
      </c>
      <c r="G632" s="259"/>
      <c r="H632" s="256"/>
      <c r="I632" s="271" t="s">
        <v>317</v>
      </c>
      <c r="J632" s="271" t="s">
        <v>317</v>
      </c>
      <c r="K632" s="271" t="s">
        <v>317</v>
      </c>
      <c r="L632" s="248"/>
      <c r="M632" s="249"/>
      <c r="N632" s="225"/>
      <c r="O632" s="225"/>
      <c r="P632" s="225"/>
      <c r="Q632" s="250"/>
      <c r="R632" s="215" t="s">
        <v>27</v>
      </c>
      <c r="S632" s="215" t="s">
        <v>27</v>
      </c>
      <c r="T632" s="215" t="s">
        <v>27</v>
      </c>
      <c r="U632" s="225"/>
      <c r="V632" s="251"/>
      <c r="W632" s="377"/>
      <c r="X632" s="85"/>
      <c r="Y632" s="85"/>
      <c r="Z632" s="85"/>
      <c r="AA632" s="85"/>
      <c r="AB632" s="85"/>
      <c r="AC632" s="85"/>
    </row>
    <row r="633" spans="1:29" ht="15" customHeight="1">
      <c r="A633" s="85" t="s">
        <v>2185</v>
      </c>
      <c r="B633" s="87" t="s">
        <v>2007</v>
      </c>
      <c r="C633" s="80" t="s">
        <v>2121</v>
      </c>
      <c r="D633" s="338" t="s">
        <v>2188</v>
      </c>
      <c r="E633" s="245" t="s">
        <v>27</v>
      </c>
      <c r="F633" s="361" t="s">
        <v>317</v>
      </c>
      <c r="G633" s="259"/>
      <c r="H633" s="256"/>
      <c r="I633" s="271" t="s">
        <v>317</v>
      </c>
      <c r="J633" s="271" t="s">
        <v>317</v>
      </c>
      <c r="K633" s="271" t="s">
        <v>317</v>
      </c>
      <c r="L633" s="248"/>
      <c r="M633" s="249"/>
      <c r="N633" s="225"/>
      <c r="O633" s="225"/>
      <c r="P633" s="225"/>
      <c r="Q633" s="250"/>
      <c r="R633" s="215" t="s">
        <v>27</v>
      </c>
      <c r="S633" s="215" t="s">
        <v>27</v>
      </c>
      <c r="T633" s="215" t="s">
        <v>27</v>
      </c>
      <c r="U633" s="225"/>
      <c r="V633" s="251"/>
      <c r="W633" s="377"/>
      <c r="X633" s="85"/>
      <c r="Y633" s="85"/>
      <c r="Z633" s="85"/>
      <c r="AA633" s="85"/>
      <c r="AB633" s="85"/>
      <c r="AC633" s="85"/>
    </row>
    <row r="634" spans="1:29" ht="15" customHeight="1">
      <c r="A634" s="85" t="s">
        <v>2185</v>
      </c>
      <c r="B634" s="87" t="s">
        <v>2007</v>
      </c>
      <c r="C634" s="80" t="s">
        <v>2123</v>
      </c>
      <c r="D634" s="338" t="s">
        <v>2189</v>
      </c>
      <c r="E634" s="245" t="s">
        <v>27</v>
      </c>
      <c r="F634" s="361" t="s">
        <v>317</v>
      </c>
      <c r="G634" s="259"/>
      <c r="H634" s="256"/>
      <c r="I634" s="271" t="s">
        <v>317</v>
      </c>
      <c r="J634" s="271" t="s">
        <v>317</v>
      </c>
      <c r="K634" s="271" t="s">
        <v>317</v>
      </c>
      <c r="L634" s="248"/>
      <c r="M634" s="249"/>
      <c r="N634" s="225"/>
      <c r="O634" s="225"/>
      <c r="P634" s="225"/>
      <c r="Q634" s="250"/>
      <c r="R634" s="215" t="s">
        <v>27</v>
      </c>
      <c r="S634" s="215" t="s">
        <v>27</v>
      </c>
      <c r="T634" s="215" t="s">
        <v>27</v>
      </c>
      <c r="U634" s="225"/>
      <c r="V634" s="251"/>
      <c r="W634" s="377"/>
      <c r="X634" s="85"/>
      <c r="Y634" s="85"/>
      <c r="Z634" s="85"/>
      <c r="AA634" s="85"/>
      <c r="AB634" s="85"/>
      <c r="AC634" s="85"/>
    </row>
    <row r="635" spans="1:29" ht="15" customHeight="1">
      <c r="A635" s="85" t="s">
        <v>2185</v>
      </c>
      <c r="B635" s="87" t="s">
        <v>2007</v>
      </c>
      <c r="C635" s="80" t="s">
        <v>2190</v>
      </c>
      <c r="D635" s="338" t="s">
        <v>2191</v>
      </c>
      <c r="E635" s="245" t="s">
        <v>27</v>
      </c>
      <c r="F635" s="361" t="s">
        <v>317</v>
      </c>
      <c r="G635" s="259"/>
      <c r="H635" s="256"/>
      <c r="I635" s="271" t="s">
        <v>317</v>
      </c>
      <c r="J635" s="271" t="s">
        <v>317</v>
      </c>
      <c r="K635" s="271" t="s">
        <v>317</v>
      </c>
      <c r="L635" s="248"/>
      <c r="M635" s="249"/>
      <c r="N635" s="225"/>
      <c r="O635" s="225"/>
      <c r="P635" s="225"/>
      <c r="Q635" s="250"/>
      <c r="R635" s="215" t="s">
        <v>27</v>
      </c>
      <c r="S635" s="215" t="s">
        <v>27</v>
      </c>
      <c r="T635" s="215" t="s">
        <v>27</v>
      </c>
      <c r="U635" s="225"/>
      <c r="V635" s="251"/>
      <c r="W635" s="377"/>
      <c r="X635" s="85"/>
      <c r="Y635" s="85"/>
      <c r="Z635" s="85"/>
      <c r="AA635" s="85"/>
      <c r="AB635" s="85"/>
      <c r="AC635" s="85"/>
    </row>
    <row r="636" spans="1:29" ht="15" customHeight="1">
      <c r="A636" s="85" t="s">
        <v>2192</v>
      </c>
      <c r="B636" s="87" t="s">
        <v>2007</v>
      </c>
      <c r="C636" s="80" t="s">
        <v>2126</v>
      </c>
      <c r="D636" s="338" t="s">
        <v>2193</v>
      </c>
      <c r="E636" s="245" t="s">
        <v>27</v>
      </c>
      <c r="F636" s="361" t="s">
        <v>317</v>
      </c>
      <c r="G636" s="259"/>
      <c r="H636" s="256"/>
      <c r="I636" s="271" t="s">
        <v>317</v>
      </c>
      <c r="J636" s="271" t="s">
        <v>317</v>
      </c>
      <c r="K636" s="271" t="s">
        <v>317</v>
      </c>
      <c r="L636" s="248"/>
      <c r="M636" s="249"/>
      <c r="N636" s="225"/>
      <c r="O636" s="225"/>
      <c r="P636" s="225"/>
      <c r="Q636" s="250"/>
      <c r="R636" s="215" t="s">
        <v>27</v>
      </c>
      <c r="S636" s="215" t="s">
        <v>27</v>
      </c>
      <c r="T636" s="215" t="s">
        <v>27</v>
      </c>
      <c r="U636" s="225"/>
      <c r="V636" s="251"/>
      <c r="W636" s="377"/>
      <c r="X636" s="85"/>
      <c r="Y636" s="85"/>
      <c r="Z636" s="85"/>
      <c r="AA636" s="85"/>
      <c r="AB636" s="85"/>
      <c r="AC636" s="85"/>
    </row>
    <row r="637" spans="1:29" ht="15" customHeight="1">
      <c r="A637" s="85" t="s">
        <v>2192</v>
      </c>
      <c r="B637" s="87" t="s">
        <v>2007</v>
      </c>
      <c r="C637" s="80" t="s">
        <v>2129</v>
      </c>
      <c r="D637" s="338" t="s">
        <v>2193</v>
      </c>
      <c r="E637" s="245" t="s">
        <v>27</v>
      </c>
      <c r="F637" s="361" t="s">
        <v>317</v>
      </c>
      <c r="G637" s="259"/>
      <c r="H637" s="256"/>
      <c r="I637" s="271" t="s">
        <v>317</v>
      </c>
      <c r="J637" s="271" t="s">
        <v>317</v>
      </c>
      <c r="K637" s="271" t="s">
        <v>317</v>
      </c>
      <c r="L637" s="248"/>
      <c r="M637" s="249"/>
      <c r="N637" s="225"/>
      <c r="O637" s="225"/>
      <c r="P637" s="225"/>
      <c r="Q637" s="250"/>
      <c r="R637" s="215" t="s">
        <v>27</v>
      </c>
      <c r="S637" s="215" t="s">
        <v>27</v>
      </c>
      <c r="T637" s="215" t="s">
        <v>27</v>
      </c>
      <c r="U637" s="225"/>
      <c r="V637" s="251"/>
      <c r="W637" s="377"/>
      <c r="X637" s="85"/>
      <c r="Y637" s="85"/>
      <c r="Z637" s="85"/>
      <c r="AA637" s="85"/>
      <c r="AB637" s="85"/>
      <c r="AC637" s="85"/>
    </row>
    <row r="638" spans="1:29" ht="15" customHeight="1">
      <c r="A638" s="85" t="s">
        <v>2192</v>
      </c>
      <c r="B638" s="87" t="s">
        <v>2007</v>
      </c>
      <c r="C638" s="80" t="s">
        <v>2132</v>
      </c>
      <c r="D638" s="338" t="s">
        <v>2193</v>
      </c>
      <c r="E638" s="245" t="s">
        <v>27</v>
      </c>
      <c r="F638" s="361" t="s">
        <v>317</v>
      </c>
      <c r="G638" s="259"/>
      <c r="H638" s="256"/>
      <c r="I638" s="271" t="s">
        <v>317</v>
      </c>
      <c r="J638" s="271" t="s">
        <v>317</v>
      </c>
      <c r="K638" s="271" t="s">
        <v>317</v>
      </c>
      <c r="L638" s="248"/>
      <c r="M638" s="249"/>
      <c r="N638" s="225"/>
      <c r="O638" s="225"/>
      <c r="P638" s="225"/>
      <c r="Q638" s="250"/>
      <c r="R638" s="215" t="s">
        <v>27</v>
      </c>
      <c r="S638" s="215" t="s">
        <v>27</v>
      </c>
      <c r="T638" s="215" t="s">
        <v>27</v>
      </c>
      <c r="U638" s="225"/>
      <c r="V638" s="251"/>
      <c r="W638" s="377"/>
      <c r="X638" s="85"/>
      <c r="Y638" s="85"/>
      <c r="Z638" s="85"/>
      <c r="AA638" s="85"/>
      <c r="AB638" s="85"/>
      <c r="AC638" s="85"/>
    </row>
    <row r="639" spans="1:29" ht="15" customHeight="1">
      <c r="A639" s="85" t="s">
        <v>2192</v>
      </c>
      <c r="B639" s="87" t="s">
        <v>2007</v>
      </c>
      <c r="C639" s="80" t="s">
        <v>2135</v>
      </c>
      <c r="D639" s="338" t="s">
        <v>2194</v>
      </c>
      <c r="E639" s="245" t="s">
        <v>27</v>
      </c>
      <c r="F639" s="361" t="s">
        <v>317</v>
      </c>
      <c r="G639" s="259"/>
      <c r="H639" s="256"/>
      <c r="I639" s="271" t="s">
        <v>317</v>
      </c>
      <c r="J639" s="271" t="s">
        <v>317</v>
      </c>
      <c r="K639" s="271" t="s">
        <v>317</v>
      </c>
      <c r="L639" s="248"/>
      <c r="M639" s="249"/>
      <c r="N639" s="225"/>
      <c r="O639" s="225"/>
      <c r="P639" s="225"/>
      <c r="Q639" s="250"/>
      <c r="R639" s="215" t="s">
        <v>27</v>
      </c>
      <c r="S639" s="215" t="s">
        <v>27</v>
      </c>
      <c r="T639" s="215" t="s">
        <v>27</v>
      </c>
      <c r="U639" s="225"/>
      <c r="V639" s="251"/>
      <c r="W639" s="377"/>
      <c r="X639" s="85"/>
      <c r="Y639" s="85"/>
      <c r="Z639" s="85"/>
      <c r="AA639" s="85"/>
      <c r="AB639" s="85"/>
      <c r="AC639" s="85"/>
    </row>
    <row r="640" spans="1:29" ht="15" customHeight="1">
      <c r="A640" s="85" t="s">
        <v>2192</v>
      </c>
      <c r="B640" s="87" t="s">
        <v>2007</v>
      </c>
      <c r="C640" s="80" t="s">
        <v>2195</v>
      </c>
      <c r="D640" s="338" t="s">
        <v>2194</v>
      </c>
      <c r="E640" s="245" t="s">
        <v>27</v>
      </c>
      <c r="F640" s="361" t="s">
        <v>317</v>
      </c>
      <c r="G640" s="259"/>
      <c r="H640" s="256"/>
      <c r="I640" s="271" t="s">
        <v>317</v>
      </c>
      <c r="J640" s="271" t="s">
        <v>317</v>
      </c>
      <c r="K640" s="271" t="s">
        <v>317</v>
      </c>
      <c r="L640" s="248"/>
      <c r="M640" s="249"/>
      <c r="N640" s="225"/>
      <c r="O640" s="225"/>
      <c r="P640" s="225"/>
      <c r="Q640" s="250"/>
      <c r="R640" s="215" t="s">
        <v>27</v>
      </c>
      <c r="S640" s="215" t="s">
        <v>27</v>
      </c>
      <c r="T640" s="215" t="s">
        <v>27</v>
      </c>
      <c r="U640" s="225"/>
      <c r="V640" s="251"/>
      <c r="W640" s="377"/>
      <c r="X640" s="85"/>
      <c r="Y640" s="85"/>
      <c r="Z640" s="85"/>
      <c r="AA640" s="85"/>
      <c r="AB640" s="85"/>
      <c r="AC640" s="85"/>
    </row>
    <row r="641" spans="1:29" ht="15" customHeight="1">
      <c r="A641" s="85" t="s">
        <v>2192</v>
      </c>
      <c r="B641" s="87" t="s">
        <v>2007</v>
      </c>
      <c r="C641" s="80" t="s">
        <v>2196</v>
      </c>
      <c r="D641" s="338" t="s">
        <v>2194</v>
      </c>
      <c r="E641" s="245" t="s">
        <v>27</v>
      </c>
      <c r="F641" s="361" t="s">
        <v>317</v>
      </c>
      <c r="G641" s="259"/>
      <c r="H641" s="256"/>
      <c r="I641" s="271" t="s">
        <v>317</v>
      </c>
      <c r="J641" s="271" t="s">
        <v>317</v>
      </c>
      <c r="K641" s="271" t="s">
        <v>317</v>
      </c>
      <c r="L641" s="248"/>
      <c r="M641" s="249"/>
      <c r="N641" s="225"/>
      <c r="O641" s="225"/>
      <c r="P641" s="225"/>
      <c r="Q641" s="250"/>
      <c r="R641" s="215" t="s">
        <v>27</v>
      </c>
      <c r="S641" s="215" t="s">
        <v>27</v>
      </c>
      <c r="T641" s="215" t="s">
        <v>27</v>
      </c>
      <c r="U641" s="225"/>
      <c r="V641" s="251"/>
      <c r="W641" s="377"/>
      <c r="X641" s="85"/>
      <c r="Y641" s="85"/>
      <c r="Z641" s="85"/>
      <c r="AA641" s="85"/>
      <c r="AB641" s="85"/>
      <c r="AC641" s="85"/>
    </row>
    <row r="642" spans="1:29" ht="15" customHeight="1">
      <c r="A642" s="85" t="s">
        <v>2192</v>
      </c>
      <c r="B642" s="87" t="s">
        <v>2007</v>
      </c>
      <c r="C642" s="80" t="s">
        <v>2197</v>
      </c>
      <c r="D642" s="338" t="s">
        <v>2194</v>
      </c>
      <c r="E642" s="245" t="s">
        <v>27</v>
      </c>
      <c r="F642" s="361" t="s">
        <v>317</v>
      </c>
      <c r="G642" s="259"/>
      <c r="H642" s="256"/>
      <c r="I642" s="271" t="s">
        <v>317</v>
      </c>
      <c r="J642" s="271" t="s">
        <v>317</v>
      </c>
      <c r="K642" s="271" t="s">
        <v>317</v>
      </c>
      <c r="L642" s="248"/>
      <c r="M642" s="249"/>
      <c r="N642" s="225"/>
      <c r="O642" s="225"/>
      <c r="P642" s="225"/>
      <c r="Q642" s="250"/>
      <c r="R642" s="215" t="s">
        <v>27</v>
      </c>
      <c r="S642" s="215" t="s">
        <v>27</v>
      </c>
      <c r="T642" s="215" t="s">
        <v>27</v>
      </c>
      <c r="U642" s="225"/>
      <c r="V642" s="251"/>
      <c r="W642" s="377"/>
      <c r="X642" s="85"/>
      <c r="Y642" s="85"/>
      <c r="Z642" s="85"/>
      <c r="AA642" s="85"/>
      <c r="AB642" s="85"/>
      <c r="AC642" s="85"/>
    </row>
    <row r="643" spans="1:29" ht="15" customHeight="1">
      <c r="A643" s="85" t="s">
        <v>2192</v>
      </c>
      <c r="B643" s="87" t="s">
        <v>2007</v>
      </c>
      <c r="C643" s="80" t="s">
        <v>2198</v>
      </c>
      <c r="D643" s="338" t="s">
        <v>2194</v>
      </c>
      <c r="E643" s="245" t="s">
        <v>27</v>
      </c>
      <c r="F643" s="361" t="s">
        <v>317</v>
      </c>
      <c r="G643" s="259"/>
      <c r="H643" s="256"/>
      <c r="I643" s="271" t="s">
        <v>317</v>
      </c>
      <c r="J643" s="271" t="s">
        <v>317</v>
      </c>
      <c r="K643" s="271" t="s">
        <v>317</v>
      </c>
      <c r="L643" s="248"/>
      <c r="M643" s="249"/>
      <c r="N643" s="225"/>
      <c r="O643" s="225"/>
      <c r="P643" s="225"/>
      <c r="Q643" s="250"/>
      <c r="R643" s="215" t="s">
        <v>27</v>
      </c>
      <c r="S643" s="215" t="s">
        <v>27</v>
      </c>
      <c r="T643" s="215" t="s">
        <v>27</v>
      </c>
      <c r="U643" s="225"/>
      <c r="V643" s="251"/>
      <c r="W643" s="377"/>
      <c r="X643" s="85"/>
      <c r="Y643" s="85"/>
      <c r="Z643" s="85"/>
      <c r="AA643" s="85"/>
      <c r="AB643" s="85"/>
      <c r="AC643" s="85"/>
    </row>
    <row r="644" spans="1:29" ht="15" customHeight="1">
      <c r="A644" s="85" t="s">
        <v>2199</v>
      </c>
      <c r="B644" s="87" t="s">
        <v>2007</v>
      </c>
      <c r="C644" s="80" t="s">
        <v>2200</v>
      </c>
      <c r="D644" s="338" t="s">
        <v>2201</v>
      </c>
      <c r="E644" s="245" t="s">
        <v>27</v>
      </c>
      <c r="F644" s="361" t="s">
        <v>317</v>
      </c>
      <c r="G644" s="259"/>
      <c r="H644" s="256"/>
      <c r="I644" s="271" t="s">
        <v>317</v>
      </c>
      <c r="J644" s="271" t="s">
        <v>317</v>
      </c>
      <c r="K644" s="271" t="s">
        <v>317</v>
      </c>
      <c r="L644" s="248"/>
      <c r="M644" s="249"/>
      <c r="N644" s="225"/>
      <c r="O644" s="225"/>
      <c r="P644" s="225"/>
      <c r="Q644" s="250"/>
      <c r="R644" s="215" t="s">
        <v>27</v>
      </c>
      <c r="S644" s="215" t="s">
        <v>27</v>
      </c>
      <c r="T644" s="215" t="s">
        <v>27</v>
      </c>
      <c r="U644" s="225"/>
      <c r="V644" s="251"/>
      <c r="W644" s="377"/>
      <c r="X644" s="85"/>
      <c r="Y644" s="85"/>
      <c r="Z644" s="85"/>
      <c r="AA644" s="85"/>
      <c r="AB644" s="85"/>
      <c r="AC644" s="85"/>
    </row>
    <row r="645" spans="1:29" ht="15" customHeight="1">
      <c r="A645" s="85" t="s">
        <v>2199</v>
      </c>
      <c r="B645" s="87" t="s">
        <v>2007</v>
      </c>
      <c r="C645" s="80" t="s">
        <v>2202</v>
      </c>
      <c r="D645" s="338" t="s">
        <v>2203</v>
      </c>
      <c r="E645" s="245" t="s">
        <v>27</v>
      </c>
      <c r="F645" s="361" t="s">
        <v>317</v>
      </c>
      <c r="G645" s="259"/>
      <c r="H645" s="256"/>
      <c r="I645" s="271" t="s">
        <v>317</v>
      </c>
      <c r="J645" s="271" t="s">
        <v>317</v>
      </c>
      <c r="K645" s="271" t="s">
        <v>317</v>
      </c>
      <c r="L645" s="248"/>
      <c r="M645" s="249"/>
      <c r="N645" s="225"/>
      <c r="O645" s="225"/>
      <c r="P645" s="225"/>
      <c r="Q645" s="250"/>
      <c r="R645" s="215" t="s">
        <v>27</v>
      </c>
      <c r="S645" s="215" t="s">
        <v>27</v>
      </c>
      <c r="T645" s="215" t="s">
        <v>27</v>
      </c>
      <c r="U645" s="225"/>
      <c r="V645" s="251"/>
      <c r="W645" s="377"/>
      <c r="X645" s="85"/>
      <c r="Y645" s="85"/>
      <c r="Z645" s="85"/>
      <c r="AA645" s="85"/>
      <c r="AB645" s="85"/>
      <c r="AC645" s="85"/>
    </row>
    <row r="646" spans="1:29" ht="15" customHeight="1">
      <c r="A646" s="85" t="s">
        <v>2204</v>
      </c>
      <c r="B646" s="87" t="s">
        <v>2007</v>
      </c>
      <c r="C646" s="80" t="s">
        <v>2200</v>
      </c>
      <c r="D646" s="338" t="s">
        <v>2205</v>
      </c>
      <c r="E646" s="245" t="s">
        <v>27</v>
      </c>
      <c r="F646" s="361" t="s">
        <v>317</v>
      </c>
      <c r="G646" s="259"/>
      <c r="H646" s="256"/>
      <c r="I646" s="271" t="s">
        <v>317</v>
      </c>
      <c r="J646" s="271" t="s">
        <v>317</v>
      </c>
      <c r="K646" s="271" t="s">
        <v>317</v>
      </c>
      <c r="L646" s="248"/>
      <c r="M646" s="249"/>
      <c r="N646" s="225"/>
      <c r="O646" s="225"/>
      <c r="P646" s="225"/>
      <c r="Q646" s="250"/>
      <c r="R646" s="215" t="s">
        <v>27</v>
      </c>
      <c r="S646" s="215" t="s">
        <v>27</v>
      </c>
      <c r="T646" s="215" t="s">
        <v>27</v>
      </c>
      <c r="U646" s="225"/>
      <c r="V646" s="251"/>
      <c r="W646" s="377"/>
      <c r="X646" s="85"/>
      <c r="Y646" s="85"/>
      <c r="Z646" s="85"/>
      <c r="AA646" s="85"/>
      <c r="AB646" s="85"/>
      <c r="AC646" s="85"/>
    </row>
    <row r="647" spans="1:29" ht="15" customHeight="1">
      <c r="A647" s="85" t="s">
        <v>2204</v>
      </c>
      <c r="B647" s="87" t="s">
        <v>2007</v>
      </c>
      <c r="C647" s="80" t="s">
        <v>2202</v>
      </c>
      <c r="D647" s="338" t="s">
        <v>2206</v>
      </c>
      <c r="E647" s="245" t="s">
        <v>27</v>
      </c>
      <c r="F647" s="361" t="s">
        <v>317</v>
      </c>
      <c r="G647" s="259"/>
      <c r="H647" s="256"/>
      <c r="I647" s="271" t="s">
        <v>317</v>
      </c>
      <c r="J647" s="271" t="s">
        <v>317</v>
      </c>
      <c r="K647" s="271" t="s">
        <v>317</v>
      </c>
      <c r="L647" s="248"/>
      <c r="M647" s="249"/>
      <c r="N647" s="225"/>
      <c r="O647" s="225"/>
      <c r="P647" s="225"/>
      <c r="Q647" s="250"/>
      <c r="R647" s="215" t="s">
        <v>27</v>
      </c>
      <c r="S647" s="215" t="s">
        <v>27</v>
      </c>
      <c r="T647" s="215" t="s">
        <v>27</v>
      </c>
      <c r="U647" s="225"/>
      <c r="V647" s="251"/>
      <c r="W647" s="377"/>
      <c r="X647" s="85"/>
      <c r="Y647" s="85"/>
      <c r="Z647" s="85"/>
      <c r="AA647" s="85"/>
      <c r="AB647" s="85"/>
      <c r="AC647" s="85"/>
    </row>
    <row r="648" spans="1:29" ht="15" customHeight="1">
      <c r="A648" s="85" t="s">
        <v>2207</v>
      </c>
      <c r="B648" s="87" t="s">
        <v>2007</v>
      </c>
      <c r="C648" s="80" t="s">
        <v>2200</v>
      </c>
      <c r="D648" s="338" t="s">
        <v>2208</v>
      </c>
      <c r="E648" s="245" t="s">
        <v>27</v>
      </c>
      <c r="F648" s="361" t="s">
        <v>317</v>
      </c>
      <c r="G648" s="259"/>
      <c r="H648" s="256"/>
      <c r="I648" s="271" t="s">
        <v>317</v>
      </c>
      <c r="J648" s="271" t="s">
        <v>317</v>
      </c>
      <c r="K648" s="271" t="s">
        <v>317</v>
      </c>
      <c r="L648" s="248"/>
      <c r="M648" s="249"/>
      <c r="N648" s="225"/>
      <c r="O648" s="225"/>
      <c r="P648" s="225"/>
      <c r="Q648" s="250"/>
      <c r="R648" s="215" t="s">
        <v>27</v>
      </c>
      <c r="S648" s="215" t="s">
        <v>27</v>
      </c>
      <c r="T648" s="215" t="s">
        <v>27</v>
      </c>
      <c r="U648" s="225"/>
      <c r="V648" s="251"/>
      <c r="W648" s="377"/>
      <c r="X648" s="85"/>
      <c r="Y648" s="85"/>
      <c r="Z648" s="85"/>
      <c r="AA648" s="85"/>
      <c r="AB648" s="85"/>
      <c r="AC648" s="85"/>
    </row>
    <row r="649" spans="1:29" ht="15" customHeight="1">
      <c r="A649" s="85" t="s">
        <v>2207</v>
      </c>
      <c r="B649" s="87" t="s">
        <v>2007</v>
      </c>
      <c r="C649" s="80" t="s">
        <v>2202</v>
      </c>
      <c r="D649" s="338" t="s">
        <v>2209</v>
      </c>
      <c r="E649" s="245" t="s">
        <v>27</v>
      </c>
      <c r="F649" s="361" t="s">
        <v>317</v>
      </c>
      <c r="G649" s="259"/>
      <c r="H649" s="256"/>
      <c r="I649" s="271" t="s">
        <v>317</v>
      </c>
      <c r="J649" s="271" t="s">
        <v>317</v>
      </c>
      <c r="K649" s="271" t="s">
        <v>317</v>
      </c>
      <c r="L649" s="248"/>
      <c r="M649" s="249"/>
      <c r="N649" s="225"/>
      <c r="O649" s="225"/>
      <c r="P649" s="225"/>
      <c r="Q649" s="250"/>
      <c r="R649" s="215" t="s">
        <v>27</v>
      </c>
      <c r="S649" s="215" t="s">
        <v>27</v>
      </c>
      <c r="T649" s="215" t="s">
        <v>27</v>
      </c>
      <c r="U649" s="225"/>
      <c r="V649" s="251"/>
      <c r="W649" s="377"/>
      <c r="X649" s="85"/>
      <c r="Y649" s="85"/>
      <c r="Z649" s="85"/>
      <c r="AA649" s="85"/>
      <c r="AB649" s="85"/>
      <c r="AC649" s="85"/>
    </row>
    <row r="650" spans="1:29" ht="15" customHeight="1">
      <c r="A650" s="85" t="s">
        <v>2210</v>
      </c>
      <c r="B650" s="87" t="s">
        <v>2007</v>
      </c>
      <c r="C650" s="80" t="s">
        <v>2200</v>
      </c>
      <c r="D650" s="338" t="s">
        <v>2211</v>
      </c>
      <c r="E650" s="245" t="s">
        <v>27</v>
      </c>
      <c r="F650" s="361" t="s">
        <v>317</v>
      </c>
      <c r="G650" s="259"/>
      <c r="H650" s="256"/>
      <c r="I650" s="271" t="s">
        <v>317</v>
      </c>
      <c r="J650" s="271" t="s">
        <v>317</v>
      </c>
      <c r="K650" s="271" t="s">
        <v>317</v>
      </c>
      <c r="L650" s="248"/>
      <c r="M650" s="249"/>
      <c r="N650" s="225"/>
      <c r="O650" s="225"/>
      <c r="P650" s="225"/>
      <c r="Q650" s="250"/>
      <c r="R650" s="215" t="s">
        <v>27</v>
      </c>
      <c r="S650" s="215" t="s">
        <v>27</v>
      </c>
      <c r="T650" s="215" t="s">
        <v>27</v>
      </c>
      <c r="U650" s="225"/>
      <c r="V650" s="251"/>
      <c r="W650" s="377"/>
      <c r="X650" s="85"/>
      <c r="Y650" s="85"/>
      <c r="Z650" s="85"/>
      <c r="AA650" s="85"/>
      <c r="AB650" s="85"/>
      <c r="AC650" s="85"/>
    </row>
    <row r="651" spans="1:29" ht="15" customHeight="1">
      <c r="A651" s="85" t="s">
        <v>2210</v>
      </c>
      <c r="B651" s="87" t="s">
        <v>2007</v>
      </c>
      <c r="C651" s="80" t="s">
        <v>2202</v>
      </c>
      <c r="D651" s="338" t="s">
        <v>2212</v>
      </c>
      <c r="E651" s="245" t="s">
        <v>27</v>
      </c>
      <c r="F651" s="361" t="s">
        <v>317</v>
      </c>
      <c r="G651" s="259"/>
      <c r="H651" s="256"/>
      <c r="I651" s="271" t="s">
        <v>317</v>
      </c>
      <c r="J651" s="271" t="s">
        <v>317</v>
      </c>
      <c r="K651" s="271" t="s">
        <v>317</v>
      </c>
      <c r="L651" s="248"/>
      <c r="M651" s="249"/>
      <c r="N651" s="225"/>
      <c r="O651" s="225"/>
      <c r="P651" s="225"/>
      <c r="Q651" s="250"/>
      <c r="R651" s="215" t="s">
        <v>27</v>
      </c>
      <c r="S651" s="215" t="s">
        <v>27</v>
      </c>
      <c r="T651" s="215" t="s">
        <v>27</v>
      </c>
      <c r="U651" s="225"/>
      <c r="V651" s="251"/>
      <c r="W651" s="377"/>
      <c r="X651" s="85"/>
      <c r="Y651" s="85"/>
      <c r="Z651" s="85"/>
      <c r="AA651" s="85"/>
      <c r="AB651" s="85"/>
      <c r="AC651" s="85"/>
    </row>
    <row r="652" spans="1:29" ht="15" customHeight="1">
      <c r="A652" s="85" t="s">
        <v>2213</v>
      </c>
      <c r="B652" s="87" t="s">
        <v>2007</v>
      </c>
      <c r="C652" s="80" t="s">
        <v>2126</v>
      </c>
      <c r="D652" s="338" t="s">
        <v>2214</v>
      </c>
      <c r="E652" s="245" t="s">
        <v>27</v>
      </c>
      <c r="F652" s="361" t="s">
        <v>317</v>
      </c>
      <c r="G652" s="259"/>
      <c r="H652" s="256"/>
      <c r="I652" s="271" t="s">
        <v>317</v>
      </c>
      <c r="J652" s="271" t="s">
        <v>317</v>
      </c>
      <c r="K652" s="271" t="s">
        <v>317</v>
      </c>
      <c r="L652" s="248"/>
      <c r="M652" s="249"/>
      <c r="N652" s="225"/>
      <c r="O652" s="225"/>
      <c r="P652" s="225"/>
      <c r="Q652" s="250"/>
      <c r="R652" s="215" t="s">
        <v>27</v>
      </c>
      <c r="S652" s="215" t="s">
        <v>27</v>
      </c>
      <c r="T652" s="215" t="s">
        <v>27</v>
      </c>
      <c r="U652" s="225"/>
      <c r="V652" s="251"/>
      <c r="W652" s="377"/>
      <c r="X652" s="85"/>
      <c r="Y652" s="85"/>
      <c r="Z652" s="85"/>
      <c r="AA652" s="85"/>
      <c r="AB652" s="85"/>
      <c r="AC652" s="85"/>
    </row>
    <row r="653" spans="1:29" ht="15" customHeight="1">
      <c r="A653" s="355" t="s">
        <v>2213</v>
      </c>
      <c r="B653" s="87" t="s">
        <v>2007</v>
      </c>
      <c r="C653" s="356" t="s">
        <v>2129</v>
      </c>
      <c r="D653" s="362" t="s">
        <v>2215</v>
      </c>
      <c r="E653" s="245" t="s">
        <v>27</v>
      </c>
      <c r="F653" s="361" t="s">
        <v>317</v>
      </c>
      <c r="G653" s="259"/>
      <c r="H653" s="256"/>
      <c r="I653" s="271" t="s">
        <v>317</v>
      </c>
      <c r="J653" s="271" t="s">
        <v>317</v>
      </c>
      <c r="K653" s="271" t="s">
        <v>317</v>
      </c>
      <c r="L653" s="248"/>
      <c r="M653" s="249"/>
      <c r="N653" s="225"/>
      <c r="O653" s="225"/>
      <c r="P653" s="225"/>
      <c r="Q653" s="250"/>
      <c r="R653" s="215" t="s">
        <v>27</v>
      </c>
      <c r="S653" s="215" t="s">
        <v>27</v>
      </c>
      <c r="T653" s="215" t="s">
        <v>27</v>
      </c>
      <c r="U653" s="225"/>
      <c r="V653" s="251"/>
      <c r="W653" s="377"/>
      <c r="X653" s="85"/>
      <c r="Y653" s="85"/>
      <c r="Z653" s="85"/>
      <c r="AA653" s="85"/>
      <c r="AB653" s="85"/>
      <c r="AC653" s="85"/>
    </row>
    <row r="654" spans="1:29" ht="15" customHeight="1">
      <c r="A654" s="85" t="s">
        <v>2213</v>
      </c>
      <c r="B654" s="87" t="s">
        <v>2007</v>
      </c>
      <c r="C654" s="80" t="s">
        <v>2132</v>
      </c>
      <c r="D654" s="85" t="s">
        <v>2216</v>
      </c>
      <c r="E654" s="245" t="s">
        <v>27</v>
      </c>
      <c r="F654" s="361" t="s">
        <v>317</v>
      </c>
      <c r="G654" s="259"/>
      <c r="H654" s="256"/>
      <c r="I654" s="271" t="s">
        <v>317</v>
      </c>
      <c r="J654" s="271" t="s">
        <v>317</v>
      </c>
      <c r="K654" s="271" t="s">
        <v>317</v>
      </c>
      <c r="L654" s="248"/>
      <c r="M654" s="249"/>
      <c r="N654" s="225"/>
      <c r="O654" s="225"/>
      <c r="P654" s="225"/>
      <c r="Q654" s="250"/>
      <c r="R654" s="215" t="s">
        <v>27</v>
      </c>
      <c r="S654" s="215" t="s">
        <v>27</v>
      </c>
      <c r="T654" s="215" t="s">
        <v>27</v>
      </c>
      <c r="U654" s="225"/>
      <c r="V654" s="251"/>
      <c r="W654" s="377"/>
      <c r="X654" s="85"/>
      <c r="Y654" s="85"/>
      <c r="Z654" s="85"/>
      <c r="AA654" s="85"/>
      <c r="AB654" s="85"/>
      <c r="AC654" s="85"/>
    </row>
    <row r="655" spans="1:29" ht="15" customHeight="1">
      <c r="A655" s="85" t="s">
        <v>2213</v>
      </c>
      <c r="B655" s="87" t="s">
        <v>2007</v>
      </c>
      <c r="C655" s="80" t="s">
        <v>2135</v>
      </c>
      <c r="D655" s="85" t="s">
        <v>2217</v>
      </c>
      <c r="E655" s="245" t="s">
        <v>27</v>
      </c>
      <c r="F655" s="361" t="s">
        <v>317</v>
      </c>
      <c r="G655" s="259"/>
      <c r="H655" s="256"/>
      <c r="I655" s="271" t="s">
        <v>317</v>
      </c>
      <c r="J655" s="271" t="s">
        <v>317</v>
      </c>
      <c r="K655" s="271" t="s">
        <v>317</v>
      </c>
      <c r="L655" s="248"/>
      <c r="M655" s="249"/>
      <c r="N655" s="225"/>
      <c r="O655" s="225"/>
      <c r="P655" s="225"/>
      <c r="Q655" s="250"/>
      <c r="R655" s="215" t="s">
        <v>27</v>
      </c>
      <c r="S655" s="215" t="s">
        <v>27</v>
      </c>
      <c r="T655" s="215" t="s">
        <v>27</v>
      </c>
      <c r="U655" s="225"/>
      <c r="V655" s="251"/>
      <c r="W655" s="377"/>
      <c r="X655" s="85"/>
      <c r="Y655" s="85"/>
      <c r="Z655" s="85"/>
      <c r="AA655" s="85"/>
      <c r="AB655" s="85"/>
      <c r="AC655" s="85"/>
    </row>
    <row r="656" spans="1:29" ht="15" customHeight="1">
      <c r="A656" s="85" t="s">
        <v>2213</v>
      </c>
      <c r="B656" s="87" t="s">
        <v>2007</v>
      </c>
      <c r="C656" s="80" t="s">
        <v>2195</v>
      </c>
      <c r="D656" s="85" t="s">
        <v>2218</v>
      </c>
      <c r="E656" s="245" t="s">
        <v>27</v>
      </c>
      <c r="F656" s="361" t="s">
        <v>317</v>
      </c>
      <c r="G656" s="259"/>
      <c r="H656" s="256"/>
      <c r="I656" s="271" t="s">
        <v>317</v>
      </c>
      <c r="J656" s="271" t="s">
        <v>317</v>
      </c>
      <c r="K656" s="271" t="s">
        <v>317</v>
      </c>
      <c r="L656" s="248"/>
      <c r="M656" s="249"/>
      <c r="N656" s="225"/>
      <c r="O656" s="225"/>
      <c r="P656" s="225"/>
      <c r="Q656" s="250"/>
      <c r="R656" s="215" t="s">
        <v>27</v>
      </c>
      <c r="S656" s="215" t="s">
        <v>27</v>
      </c>
      <c r="T656" s="215" t="s">
        <v>27</v>
      </c>
      <c r="U656" s="225"/>
      <c r="V656" s="251"/>
      <c r="W656" s="377"/>
      <c r="X656" s="85"/>
      <c r="Y656" s="85"/>
      <c r="Z656" s="85"/>
      <c r="AA656" s="85"/>
      <c r="AB656" s="85"/>
      <c r="AC656" s="85"/>
    </row>
    <row r="657" spans="1:29" ht="15" customHeight="1">
      <c r="A657" s="85" t="s">
        <v>2213</v>
      </c>
      <c r="B657" s="87" t="s">
        <v>2007</v>
      </c>
      <c r="C657" s="80" t="s">
        <v>2196</v>
      </c>
      <c r="D657" s="85" t="s">
        <v>2219</v>
      </c>
      <c r="E657" s="245" t="s">
        <v>27</v>
      </c>
      <c r="F657" s="361" t="s">
        <v>317</v>
      </c>
      <c r="G657" s="259"/>
      <c r="H657" s="256"/>
      <c r="I657" s="271" t="s">
        <v>317</v>
      </c>
      <c r="J657" s="271" t="s">
        <v>317</v>
      </c>
      <c r="K657" s="271" t="s">
        <v>317</v>
      </c>
      <c r="L657" s="248"/>
      <c r="M657" s="249"/>
      <c r="N657" s="225"/>
      <c r="O657" s="225"/>
      <c r="P657" s="225"/>
      <c r="Q657" s="250"/>
      <c r="R657" s="215" t="s">
        <v>27</v>
      </c>
      <c r="S657" s="215" t="s">
        <v>27</v>
      </c>
      <c r="T657" s="215" t="s">
        <v>27</v>
      </c>
      <c r="U657" s="225"/>
      <c r="V657" s="251"/>
      <c r="W657" s="377"/>
      <c r="X657" s="85"/>
      <c r="Y657" s="85"/>
      <c r="Z657" s="85"/>
      <c r="AA657" s="85"/>
      <c r="AB657" s="85"/>
      <c r="AC657" s="85"/>
    </row>
    <row r="658" spans="1:29" ht="15" customHeight="1">
      <c r="A658" s="85" t="s">
        <v>2213</v>
      </c>
      <c r="B658" s="87" t="s">
        <v>2007</v>
      </c>
      <c r="C658" s="80" t="s">
        <v>2197</v>
      </c>
      <c r="D658" s="85" t="s">
        <v>2220</v>
      </c>
      <c r="E658" s="245" t="s">
        <v>27</v>
      </c>
      <c r="F658" s="361" t="s">
        <v>317</v>
      </c>
      <c r="G658" s="259"/>
      <c r="H658" s="256"/>
      <c r="I658" s="271" t="s">
        <v>317</v>
      </c>
      <c r="J658" s="271" t="s">
        <v>317</v>
      </c>
      <c r="K658" s="271" t="s">
        <v>317</v>
      </c>
      <c r="L658" s="248"/>
      <c r="M658" s="249"/>
      <c r="N658" s="225"/>
      <c r="O658" s="225"/>
      <c r="P658" s="225"/>
      <c r="Q658" s="250"/>
      <c r="R658" s="215" t="s">
        <v>27</v>
      </c>
      <c r="S658" s="215" t="s">
        <v>27</v>
      </c>
      <c r="T658" s="215" t="s">
        <v>27</v>
      </c>
      <c r="U658" s="225"/>
      <c r="V658" s="251"/>
      <c r="W658" s="377"/>
      <c r="X658" s="85"/>
      <c r="Y658" s="85"/>
      <c r="Z658" s="85"/>
      <c r="AA658" s="85"/>
      <c r="AB658" s="85"/>
      <c r="AC658" s="85"/>
    </row>
    <row r="659" spans="1:29" ht="15" customHeight="1">
      <c r="A659" s="85" t="s">
        <v>2213</v>
      </c>
      <c r="B659" s="87" t="s">
        <v>2007</v>
      </c>
      <c r="C659" s="80" t="s">
        <v>2198</v>
      </c>
      <c r="D659" s="85" t="s">
        <v>2221</v>
      </c>
      <c r="E659" s="245" t="s">
        <v>27</v>
      </c>
      <c r="F659" s="361" t="s">
        <v>317</v>
      </c>
      <c r="G659" s="259"/>
      <c r="H659" s="256"/>
      <c r="I659" s="271" t="s">
        <v>317</v>
      </c>
      <c r="J659" s="271" t="s">
        <v>317</v>
      </c>
      <c r="K659" s="271" t="s">
        <v>317</v>
      </c>
      <c r="L659" s="248"/>
      <c r="M659" s="249"/>
      <c r="N659" s="225"/>
      <c r="O659" s="225"/>
      <c r="P659" s="225"/>
      <c r="Q659" s="250"/>
      <c r="R659" s="215" t="s">
        <v>27</v>
      </c>
      <c r="S659" s="215" t="s">
        <v>27</v>
      </c>
      <c r="T659" s="215" t="s">
        <v>27</v>
      </c>
      <c r="U659" s="225"/>
      <c r="V659" s="251"/>
      <c r="W659" s="377"/>
      <c r="X659" s="85"/>
      <c r="Y659" s="85"/>
      <c r="Z659" s="85"/>
      <c r="AA659" s="85"/>
      <c r="AB659" s="85"/>
      <c r="AC659" s="85"/>
    </row>
    <row r="660" spans="1:29" ht="15" customHeight="1">
      <c r="A660" s="85" t="s">
        <v>2222</v>
      </c>
      <c r="B660" s="87" t="s">
        <v>2007</v>
      </c>
      <c r="C660" s="80" t="s">
        <v>2200</v>
      </c>
      <c r="D660" s="85" t="s">
        <v>2223</v>
      </c>
      <c r="E660" s="245" t="s">
        <v>27</v>
      </c>
      <c r="F660" s="361" t="s">
        <v>317</v>
      </c>
      <c r="G660" s="259"/>
      <c r="H660" s="256"/>
      <c r="I660" s="271" t="s">
        <v>317</v>
      </c>
      <c r="J660" s="271" t="s">
        <v>317</v>
      </c>
      <c r="K660" s="271" t="s">
        <v>317</v>
      </c>
      <c r="L660" s="248"/>
      <c r="M660" s="249"/>
      <c r="N660" s="225"/>
      <c r="O660" s="225"/>
      <c r="P660" s="225"/>
      <c r="Q660" s="250"/>
      <c r="R660" s="215" t="s">
        <v>27</v>
      </c>
      <c r="S660" s="215" t="s">
        <v>27</v>
      </c>
      <c r="T660" s="215" t="s">
        <v>27</v>
      </c>
      <c r="U660" s="225"/>
      <c r="V660" s="251"/>
      <c r="W660" s="377"/>
      <c r="X660" s="85"/>
      <c r="Y660" s="85"/>
      <c r="Z660" s="85"/>
      <c r="AA660" s="85"/>
      <c r="AB660" s="85"/>
      <c r="AC660" s="85"/>
    </row>
    <row r="661" spans="1:29" ht="15" customHeight="1">
      <c r="A661" s="85" t="s">
        <v>2222</v>
      </c>
      <c r="B661" s="87" t="s">
        <v>2007</v>
      </c>
      <c r="C661" s="80" t="s">
        <v>2202</v>
      </c>
      <c r="D661" s="85" t="s">
        <v>2224</v>
      </c>
      <c r="E661" s="245" t="s">
        <v>27</v>
      </c>
      <c r="F661" s="361" t="s">
        <v>317</v>
      </c>
      <c r="G661" s="259"/>
      <c r="H661" s="256"/>
      <c r="I661" s="271" t="s">
        <v>317</v>
      </c>
      <c r="J661" s="271" t="s">
        <v>317</v>
      </c>
      <c r="K661" s="271" t="s">
        <v>317</v>
      </c>
      <c r="L661" s="248"/>
      <c r="M661" s="249"/>
      <c r="N661" s="225"/>
      <c r="O661" s="225"/>
      <c r="P661" s="225"/>
      <c r="Q661" s="250"/>
      <c r="R661" s="215" t="s">
        <v>27</v>
      </c>
      <c r="S661" s="215" t="s">
        <v>27</v>
      </c>
      <c r="T661" s="215" t="s">
        <v>27</v>
      </c>
      <c r="U661" s="225"/>
      <c r="V661" s="251"/>
      <c r="W661" s="377"/>
      <c r="X661" s="85"/>
      <c r="Y661" s="85"/>
      <c r="Z661" s="85"/>
      <c r="AA661" s="85"/>
      <c r="AB661" s="85"/>
      <c r="AC661" s="85"/>
    </row>
    <row r="662" spans="1:29" ht="15" customHeight="1">
      <c r="A662" s="85" t="s">
        <v>2225</v>
      </c>
      <c r="B662" s="87" t="s">
        <v>2007</v>
      </c>
      <c r="C662" s="80" t="s">
        <v>2200</v>
      </c>
      <c r="D662" s="85" t="s">
        <v>2226</v>
      </c>
      <c r="E662" s="245" t="s">
        <v>27</v>
      </c>
      <c r="F662" s="361" t="s">
        <v>317</v>
      </c>
      <c r="G662" s="259"/>
      <c r="H662" s="256"/>
      <c r="I662" s="271" t="s">
        <v>317</v>
      </c>
      <c r="J662" s="271" t="s">
        <v>317</v>
      </c>
      <c r="K662" s="271" t="s">
        <v>317</v>
      </c>
      <c r="L662" s="248"/>
      <c r="M662" s="249"/>
      <c r="N662" s="225"/>
      <c r="O662" s="225"/>
      <c r="P662" s="225"/>
      <c r="Q662" s="250"/>
      <c r="R662" s="215" t="s">
        <v>27</v>
      </c>
      <c r="S662" s="215" t="s">
        <v>27</v>
      </c>
      <c r="T662" s="215" t="s">
        <v>27</v>
      </c>
      <c r="U662" s="225"/>
      <c r="V662" s="251"/>
      <c r="W662" s="377"/>
      <c r="X662" s="85"/>
      <c r="Y662" s="85"/>
      <c r="Z662" s="85"/>
      <c r="AA662" s="85"/>
      <c r="AB662" s="85"/>
      <c r="AC662" s="85"/>
    </row>
    <row r="663" spans="1:29" ht="15" customHeight="1">
      <c r="A663" s="85" t="s">
        <v>2225</v>
      </c>
      <c r="B663" s="87" t="s">
        <v>2007</v>
      </c>
      <c r="C663" s="80" t="s">
        <v>2202</v>
      </c>
      <c r="D663" s="85" t="s">
        <v>2227</v>
      </c>
      <c r="E663" s="245" t="s">
        <v>27</v>
      </c>
      <c r="F663" s="361" t="s">
        <v>317</v>
      </c>
      <c r="G663" s="259"/>
      <c r="H663" s="256"/>
      <c r="I663" s="271" t="s">
        <v>317</v>
      </c>
      <c r="J663" s="271" t="s">
        <v>317</v>
      </c>
      <c r="K663" s="271" t="s">
        <v>317</v>
      </c>
      <c r="L663" s="248"/>
      <c r="M663" s="249"/>
      <c r="N663" s="225"/>
      <c r="O663" s="225"/>
      <c r="P663" s="225"/>
      <c r="Q663" s="250"/>
      <c r="R663" s="215" t="s">
        <v>27</v>
      </c>
      <c r="S663" s="215" t="s">
        <v>27</v>
      </c>
      <c r="T663" s="215" t="s">
        <v>27</v>
      </c>
      <c r="U663" s="225"/>
      <c r="V663" s="251"/>
      <c r="W663" s="377"/>
      <c r="X663" s="85"/>
      <c r="Y663" s="85"/>
      <c r="Z663" s="85"/>
      <c r="AA663" s="85"/>
      <c r="AB663" s="85"/>
      <c r="AC663" s="85"/>
    </row>
    <row r="664" spans="1:29" ht="15" customHeight="1">
      <c r="A664" s="85" t="s">
        <v>2228</v>
      </c>
      <c r="B664" s="87" t="s">
        <v>2007</v>
      </c>
      <c r="C664" s="80" t="s">
        <v>2200</v>
      </c>
      <c r="D664" s="85" t="s">
        <v>2229</v>
      </c>
      <c r="E664" s="245" t="s">
        <v>27</v>
      </c>
      <c r="F664" s="361" t="s">
        <v>317</v>
      </c>
      <c r="G664" s="259"/>
      <c r="H664" s="256"/>
      <c r="I664" s="271" t="s">
        <v>317</v>
      </c>
      <c r="J664" s="271" t="s">
        <v>317</v>
      </c>
      <c r="K664" s="271" t="s">
        <v>317</v>
      </c>
      <c r="L664" s="248"/>
      <c r="M664" s="249"/>
      <c r="N664" s="225"/>
      <c r="O664" s="225"/>
      <c r="P664" s="225"/>
      <c r="Q664" s="250"/>
      <c r="R664" s="215" t="s">
        <v>27</v>
      </c>
      <c r="S664" s="215" t="s">
        <v>27</v>
      </c>
      <c r="T664" s="215" t="s">
        <v>27</v>
      </c>
      <c r="U664" s="225"/>
      <c r="V664" s="251"/>
      <c r="W664" s="377"/>
      <c r="X664" s="85"/>
      <c r="Y664" s="85"/>
      <c r="Z664" s="85"/>
      <c r="AA664" s="85"/>
      <c r="AB664" s="85"/>
      <c r="AC664" s="85"/>
    </row>
    <row r="665" spans="1:29" ht="15" customHeight="1">
      <c r="A665" s="85" t="s">
        <v>2228</v>
      </c>
      <c r="B665" s="87" t="s">
        <v>2007</v>
      </c>
      <c r="C665" s="80" t="s">
        <v>2202</v>
      </c>
      <c r="D665" s="85" t="s">
        <v>2230</v>
      </c>
      <c r="E665" s="245" t="s">
        <v>27</v>
      </c>
      <c r="F665" s="361" t="s">
        <v>317</v>
      </c>
      <c r="G665" s="259"/>
      <c r="H665" s="256"/>
      <c r="I665" s="271" t="s">
        <v>317</v>
      </c>
      <c r="J665" s="271" t="s">
        <v>317</v>
      </c>
      <c r="K665" s="271" t="s">
        <v>317</v>
      </c>
      <c r="L665" s="248"/>
      <c r="M665" s="249"/>
      <c r="N665" s="225"/>
      <c r="O665" s="225"/>
      <c r="P665" s="225"/>
      <c r="Q665" s="250"/>
      <c r="R665" s="215" t="s">
        <v>27</v>
      </c>
      <c r="S665" s="215" t="s">
        <v>27</v>
      </c>
      <c r="T665" s="215" t="s">
        <v>27</v>
      </c>
      <c r="U665" s="225"/>
      <c r="V665" s="251"/>
      <c r="W665" s="377"/>
      <c r="X665" s="85"/>
      <c r="Y665" s="85"/>
      <c r="Z665" s="85"/>
      <c r="AA665" s="85"/>
      <c r="AB665" s="85"/>
      <c r="AC665" s="85"/>
    </row>
    <row r="666" spans="1:29" ht="15" customHeight="1">
      <c r="A666" s="85" t="s">
        <v>2231</v>
      </c>
      <c r="B666" s="87" t="s">
        <v>2007</v>
      </c>
      <c r="C666" s="80" t="s">
        <v>2200</v>
      </c>
      <c r="D666" s="85" t="s">
        <v>2232</v>
      </c>
      <c r="E666" s="245" t="s">
        <v>27</v>
      </c>
      <c r="F666" s="361" t="s">
        <v>317</v>
      </c>
      <c r="G666" s="259"/>
      <c r="H666" s="256"/>
      <c r="I666" s="271" t="s">
        <v>317</v>
      </c>
      <c r="J666" s="271" t="s">
        <v>317</v>
      </c>
      <c r="K666" s="271" t="s">
        <v>317</v>
      </c>
      <c r="L666" s="248"/>
      <c r="M666" s="249"/>
      <c r="N666" s="225"/>
      <c r="O666" s="225"/>
      <c r="P666" s="225"/>
      <c r="Q666" s="250"/>
      <c r="R666" s="215" t="s">
        <v>27</v>
      </c>
      <c r="S666" s="215" t="s">
        <v>27</v>
      </c>
      <c r="T666" s="215" t="s">
        <v>27</v>
      </c>
      <c r="U666" s="225"/>
      <c r="V666" s="251"/>
      <c r="W666" s="377"/>
      <c r="X666" s="85"/>
      <c r="Y666" s="85"/>
      <c r="Z666" s="85"/>
      <c r="AA666" s="85"/>
      <c r="AB666" s="85"/>
      <c r="AC666" s="85"/>
    </row>
    <row r="667" spans="1:29" ht="15" customHeight="1">
      <c r="A667" s="85" t="s">
        <v>2231</v>
      </c>
      <c r="B667" s="87" t="s">
        <v>2007</v>
      </c>
      <c r="C667" s="80" t="s">
        <v>2202</v>
      </c>
      <c r="D667" s="85" t="s">
        <v>2233</v>
      </c>
      <c r="E667" s="245" t="s">
        <v>27</v>
      </c>
      <c r="F667" s="361" t="s">
        <v>317</v>
      </c>
      <c r="G667" s="259"/>
      <c r="H667" s="256"/>
      <c r="I667" s="271" t="s">
        <v>317</v>
      </c>
      <c r="J667" s="271" t="s">
        <v>317</v>
      </c>
      <c r="K667" s="271" t="s">
        <v>317</v>
      </c>
      <c r="L667" s="248"/>
      <c r="M667" s="249"/>
      <c r="N667" s="225"/>
      <c r="O667" s="225"/>
      <c r="P667" s="225"/>
      <c r="Q667" s="250"/>
      <c r="R667" s="215" t="s">
        <v>27</v>
      </c>
      <c r="S667" s="215" t="s">
        <v>27</v>
      </c>
      <c r="T667" s="215" t="s">
        <v>27</v>
      </c>
      <c r="U667" s="225"/>
      <c r="V667" s="251"/>
      <c r="W667" s="377"/>
      <c r="X667" s="85"/>
      <c r="Y667" s="85"/>
      <c r="Z667" s="85"/>
      <c r="AA667" s="85"/>
      <c r="AB667" s="85"/>
      <c r="AC667" s="85"/>
    </row>
    <row r="668" spans="1:29" ht="15" customHeight="1">
      <c r="A668" s="85" t="s">
        <v>2234</v>
      </c>
      <c r="B668" s="87" t="s">
        <v>2007</v>
      </c>
      <c r="C668" s="80" t="s">
        <v>2235</v>
      </c>
      <c r="D668" s="85" t="s">
        <v>2236</v>
      </c>
      <c r="E668" s="245" t="s">
        <v>27</v>
      </c>
      <c r="F668" s="361" t="s">
        <v>317</v>
      </c>
      <c r="G668" s="259"/>
      <c r="H668" s="256"/>
      <c r="I668" s="271" t="s">
        <v>317</v>
      </c>
      <c r="J668" s="271" t="s">
        <v>317</v>
      </c>
      <c r="K668" s="271" t="s">
        <v>317</v>
      </c>
      <c r="L668" s="248"/>
      <c r="M668" s="249"/>
      <c r="N668" s="225"/>
      <c r="O668" s="225"/>
      <c r="P668" s="225"/>
      <c r="Q668" s="250"/>
      <c r="R668" s="215" t="s">
        <v>27</v>
      </c>
      <c r="S668" s="215" t="s">
        <v>27</v>
      </c>
      <c r="T668" s="215" t="s">
        <v>27</v>
      </c>
      <c r="U668" s="225"/>
      <c r="V668" s="251"/>
      <c r="W668" s="377"/>
      <c r="X668" s="85"/>
      <c r="Y668" s="85"/>
      <c r="Z668" s="85"/>
      <c r="AA668" s="85"/>
      <c r="AB668" s="85"/>
      <c r="AC668" s="85"/>
    </row>
    <row r="669" spans="1:29" ht="15" customHeight="1">
      <c r="A669" s="85" t="s">
        <v>2234</v>
      </c>
      <c r="B669" s="87" t="s">
        <v>2007</v>
      </c>
      <c r="C669" s="80" t="s">
        <v>2237</v>
      </c>
      <c r="D669" s="85" t="s">
        <v>2238</v>
      </c>
      <c r="E669" s="245" t="s">
        <v>27</v>
      </c>
      <c r="F669" s="361" t="s">
        <v>317</v>
      </c>
      <c r="G669" s="259"/>
      <c r="H669" s="256"/>
      <c r="I669" s="271" t="s">
        <v>317</v>
      </c>
      <c r="J669" s="271" t="s">
        <v>317</v>
      </c>
      <c r="K669" s="271" t="s">
        <v>317</v>
      </c>
      <c r="L669" s="248"/>
      <c r="M669" s="249"/>
      <c r="N669" s="225"/>
      <c r="O669" s="225"/>
      <c r="P669" s="225"/>
      <c r="Q669" s="250"/>
      <c r="R669" s="215" t="s">
        <v>27</v>
      </c>
      <c r="S669" s="215" t="s">
        <v>27</v>
      </c>
      <c r="T669" s="215" t="s">
        <v>27</v>
      </c>
      <c r="U669" s="225"/>
      <c r="V669" s="251"/>
      <c r="W669" s="377"/>
      <c r="X669" s="85"/>
      <c r="Y669" s="85"/>
      <c r="Z669" s="85"/>
      <c r="AA669" s="85"/>
      <c r="AB669" s="85"/>
      <c r="AC669" s="85"/>
    </row>
    <row r="670" spans="1:29" ht="15" customHeight="1">
      <c r="A670" s="85" t="s">
        <v>2234</v>
      </c>
      <c r="B670" s="87" t="s">
        <v>2007</v>
      </c>
      <c r="C670" s="80" t="s">
        <v>2239</v>
      </c>
      <c r="D670" s="85" t="s">
        <v>2240</v>
      </c>
      <c r="E670" s="245" t="s">
        <v>27</v>
      </c>
      <c r="F670" s="361" t="s">
        <v>317</v>
      </c>
      <c r="G670" s="259"/>
      <c r="H670" s="256"/>
      <c r="I670" s="271" t="s">
        <v>317</v>
      </c>
      <c r="J670" s="271" t="s">
        <v>317</v>
      </c>
      <c r="K670" s="271" t="s">
        <v>317</v>
      </c>
      <c r="L670" s="248"/>
      <c r="M670" s="249"/>
      <c r="N670" s="225"/>
      <c r="O670" s="225"/>
      <c r="P670" s="225"/>
      <c r="Q670" s="250"/>
      <c r="R670" s="215" t="s">
        <v>27</v>
      </c>
      <c r="S670" s="215" t="s">
        <v>27</v>
      </c>
      <c r="T670" s="215" t="s">
        <v>27</v>
      </c>
      <c r="U670" s="225"/>
      <c r="V670" s="251"/>
      <c r="W670" s="377"/>
      <c r="X670" s="85"/>
      <c r="Y670" s="85"/>
      <c r="Z670" s="85"/>
      <c r="AA670" s="85"/>
      <c r="AB670" s="85"/>
      <c r="AC670" s="85"/>
    </row>
    <row r="671" spans="1:29" ht="15" customHeight="1">
      <c r="A671" s="85" t="s">
        <v>2234</v>
      </c>
      <c r="B671" s="87" t="s">
        <v>2007</v>
      </c>
      <c r="C671" s="80" t="s">
        <v>2241</v>
      </c>
      <c r="D671" s="85" t="s">
        <v>2242</v>
      </c>
      <c r="E671" s="245" t="s">
        <v>27</v>
      </c>
      <c r="F671" s="361" t="s">
        <v>317</v>
      </c>
      <c r="G671" s="259"/>
      <c r="H671" s="256"/>
      <c r="I671" s="271" t="s">
        <v>317</v>
      </c>
      <c r="J671" s="271" t="s">
        <v>317</v>
      </c>
      <c r="K671" s="271" t="s">
        <v>317</v>
      </c>
      <c r="L671" s="248"/>
      <c r="M671" s="249"/>
      <c r="N671" s="225"/>
      <c r="O671" s="225"/>
      <c r="P671" s="225"/>
      <c r="Q671" s="250"/>
      <c r="R671" s="215" t="s">
        <v>27</v>
      </c>
      <c r="S671" s="215" t="s">
        <v>27</v>
      </c>
      <c r="T671" s="215" t="s">
        <v>27</v>
      </c>
      <c r="U671" s="225"/>
      <c r="V671" s="251"/>
      <c r="W671" s="377"/>
      <c r="X671" s="85"/>
      <c r="Y671" s="85"/>
      <c r="Z671" s="85"/>
      <c r="AA671" s="85"/>
      <c r="AB671" s="85"/>
      <c r="AC671" s="85"/>
    </row>
    <row r="672" spans="1:29" ht="15" customHeight="1">
      <c r="A672" s="85" t="s">
        <v>2243</v>
      </c>
      <c r="B672" s="87" t="s">
        <v>2007</v>
      </c>
      <c r="C672" s="80" t="s">
        <v>2017</v>
      </c>
      <c r="D672" s="85" t="s">
        <v>2244</v>
      </c>
      <c r="E672" s="245" t="s">
        <v>27</v>
      </c>
      <c r="F672" s="361" t="s">
        <v>317</v>
      </c>
      <c r="G672" s="259"/>
      <c r="H672" s="256"/>
      <c r="I672" s="271" t="s">
        <v>317</v>
      </c>
      <c r="J672" s="271" t="s">
        <v>317</v>
      </c>
      <c r="K672" s="271" t="s">
        <v>317</v>
      </c>
      <c r="L672" s="248"/>
      <c r="M672" s="249"/>
      <c r="N672" s="225"/>
      <c r="O672" s="225"/>
      <c r="P672" s="225"/>
      <c r="Q672" s="250"/>
      <c r="R672" s="215" t="s">
        <v>27</v>
      </c>
      <c r="S672" s="215" t="s">
        <v>27</v>
      </c>
      <c r="T672" s="215" t="s">
        <v>27</v>
      </c>
      <c r="U672" s="225"/>
      <c r="V672" s="251"/>
      <c r="W672" s="377"/>
      <c r="X672" s="85"/>
      <c r="Y672" s="85"/>
      <c r="Z672" s="85"/>
      <c r="AA672" s="85"/>
      <c r="AB672" s="85"/>
      <c r="AC672" s="85"/>
    </row>
    <row r="673" spans="1:29" ht="15" customHeight="1">
      <c r="A673" s="85" t="s">
        <v>2243</v>
      </c>
      <c r="B673" s="87" t="s">
        <v>2007</v>
      </c>
      <c r="C673" s="80" t="s">
        <v>2019</v>
      </c>
      <c r="D673" s="85" t="s">
        <v>2245</v>
      </c>
      <c r="E673" s="245" t="s">
        <v>27</v>
      </c>
      <c r="F673" s="361" t="s">
        <v>317</v>
      </c>
      <c r="G673" s="259"/>
      <c r="H673" s="256"/>
      <c r="I673" s="271" t="s">
        <v>317</v>
      </c>
      <c r="J673" s="271" t="s">
        <v>317</v>
      </c>
      <c r="K673" s="271" t="s">
        <v>317</v>
      </c>
      <c r="L673" s="248"/>
      <c r="M673" s="249"/>
      <c r="N673" s="225"/>
      <c r="O673" s="225"/>
      <c r="P673" s="225"/>
      <c r="Q673" s="250"/>
      <c r="R673" s="215" t="s">
        <v>27</v>
      </c>
      <c r="S673" s="215" t="s">
        <v>27</v>
      </c>
      <c r="T673" s="215" t="s">
        <v>27</v>
      </c>
      <c r="U673" s="225"/>
      <c r="V673" s="251"/>
      <c r="W673" s="377"/>
      <c r="X673" s="85"/>
      <c r="Y673" s="85"/>
      <c r="Z673" s="85"/>
      <c r="AA673" s="85"/>
      <c r="AB673" s="85"/>
      <c r="AC673" s="85"/>
    </row>
    <row r="674" spans="1:29" ht="15" customHeight="1">
      <c r="A674" s="85" t="s">
        <v>2243</v>
      </c>
      <c r="B674" s="87" t="s">
        <v>2007</v>
      </c>
      <c r="C674" s="80" t="s">
        <v>2021</v>
      </c>
      <c r="D674" s="85" t="s">
        <v>2246</v>
      </c>
      <c r="E674" s="245" t="s">
        <v>27</v>
      </c>
      <c r="F674" s="361" t="s">
        <v>317</v>
      </c>
      <c r="G674" s="259"/>
      <c r="H674" s="256"/>
      <c r="I674" s="271" t="s">
        <v>317</v>
      </c>
      <c r="J674" s="271" t="s">
        <v>317</v>
      </c>
      <c r="K674" s="271" t="s">
        <v>317</v>
      </c>
      <c r="L674" s="248"/>
      <c r="M674" s="249"/>
      <c r="N674" s="225"/>
      <c r="O674" s="225"/>
      <c r="P674" s="225"/>
      <c r="Q674" s="250"/>
      <c r="R674" s="215" t="s">
        <v>27</v>
      </c>
      <c r="S674" s="215" t="s">
        <v>27</v>
      </c>
      <c r="T674" s="215" t="s">
        <v>27</v>
      </c>
      <c r="U674" s="225"/>
      <c r="V674" s="251"/>
      <c r="W674" s="377"/>
      <c r="X674" s="85"/>
      <c r="Y674" s="85"/>
      <c r="Z674" s="85"/>
      <c r="AA674" s="85"/>
      <c r="AB674" s="85"/>
      <c r="AC674" s="85"/>
    </row>
    <row r="675" spans="1:29" ht="15" customHeight="1">
      <c r="A675" s="85" t="s">
        <v>2243</v>
      </c>
      <c r="B675" s="87" t="s">
        <v>2007</v>
      </c>
      <c r="C675" s="80" t="s">
        <v>2023</v>
      </c>
      <c r="D675" s="85" t="s">
        <v>2247</v>
      </c>
      <c r="E675" s="245" t="s">
        <v>27</v>
      </c>
      <c r="F675" s="361" t="s">
        <v>317</v>
      </c>
      <c r="G675" s="259"/>
      <c r="H675" s="256"/>
      <c r="I675" s="271" t="s">
        <v>317</v>
      </c>
      <c r="J675" s="271" t="s">
        <v>317</v>
      </c>
      <c r="K675" s="271" t="s">
        <v>317</v>
      </c>
      <c r="L675" s="248"/>
      <c r="M675" s="249"/>
      <c r="N675" s="225"/>
      <c r="O675" s="225"/>
      <c r="P675" s="225"/>
      <c r="Q675" s="250"/>
      <c r="R675" s="215" t="s">
        <v>27</v>
      </c>
      <c r="S675" s="215" t="s">
        <v>27</v>
      </c>
      <c r="T675" s="215" t="s">
        <v>27</v>
      </c>
      <c r="U675" s="225"/>
      <c r="V675" s="251"/>
      <c r="W675" s="377"/>
      <c r="X675" s="85"/>
      <c r="Y675" s="85"/>
      <c r="Z675" s="85"/>
      <c r="AA675" s="85"/>
      <c r="AB675" s="85"/>
      <c r="AC675" s="85"/>
    </row>
    <row r="676" spans="1:29" ht="15" customHeight="1">
      <c r="A676" s="85" t="s">
        <v>2243</v>
      </c>
      <c r="B676" s="87" t="s">
        <v>2007</v>
      </c>
      <c r="C676" s="80" t="s">
        <v>2032</v>
      </c>
      <c r="D676" s="85" t="s">
        <v>2248</v>
      </c>
      <c r="E676" s="245" t="s">
        <v>27</v>
      </c>
      <c r="F676" s="361" t="s">
        <v>317</v>
      </c>
      <c r="G676" s="259"/>
      <c r="H676" s="256"/>
      <c r="I676" s="271" t="s">
        <v>317</v>
      </c>
      <c r="J676" s="271" t="s">
        <v>317</v>
      </c>
      <c r="K676" s="271" t="s">
        <v>317</v>
      </c>
      <c r="L676" s="248"/>
      <c r="M676" s="249"/>
      <c r="N676" s="225"/>
      <c r="O676" s="225"/>
      <c r="P676" s="225"/>
      <c r="Q676" s="250"/>
      <c r="R676" s="215" t="s">
        <v>27</v>
      </c>
      <c r="S676" s="215" t="s">
        <v>27</v>
      </c>
      <c r="T676" s="215" t="s">
        <v>27</v>
      </c>
      <c r="U676" s="225"/>
      <c r="V676" s="251"/>
      <c r="W676" s="377"/>
      <c r="X676" s="85"/>
      <c r="Y676" s="85"/>
      <c r="Z676" s="85"/>
      <c r="AA676" s="85"/>
      <c r="AB676" s="85"/>
      <c r="AC676" s="85"/>
    </row>
    <row r="677" spans="1:29" ht="15" customHeight="1">
      <c r="A677" s="85" t="s">
        <v>2249</v>
      </c>
      <c r="B677" s="87" t="s">
        <v>2007</v>
      </c>
      <c r="C677" s="80" t="s">
        <v>2037</v>
      </c>
      <c r="D677" s="85" t="s">
        <v>2250</v>
      </c>
      <c r="E677" s="245" t="s">
        <v>27</v>
      </c>
      <c r="F677" s="361" t="s">
        <v>317</v>
      </c>
      <c r="G677" s="259"/>
      <c r="H677" s="256"/>
      <c r="I677" s="271" t="s">
        <v>317</v>
      </c>
      <c r="J677" s="271" t="s">
        <v>317</v>
      </c>
      <c r="K677" s="271" t="s">
        <v>317</v>
      </c>
      <c r="L677" s="248"/>
      <c r="M677" s="249"/>
      <c r="N677" s="225"/>
      <c r="O677" s="225"/>
      <c r="P677" s="225"/>
      <c r="Q677" s="250"/>
      <c r="R677" s="215" t="s">
        <v>27</v>
      </c>
      <c r="S677" s="215" t="s">
        <v>27</v>
      </c>
      <c r="T677" s="215" t="s">
        <v>27</v>
      </c>
      <c r="U677" s="225"/>
      <c r="V677" s="251"/>
      <c r="W677" s="377"/>
      <c r="X677" s="85"/>
      <c r="Y677" s="85"/>
      <c r="Z677" s="85"/>
      <c r="AA677" s="85"/>
      <c r="AB677" s="85"/>
      <c r="AC677" s="85"/>
    </row>
    <row r="678" spans="1:29" ht="15" customHeight="1">
      <c r="A678" s="85" t="s">
        <v>2249</v>
      </c>
      <c r="B678" s="87" t="s">
        <v>2007</v>
      </c>
      <c r="C678" s="80" t="s">
        <v>2039</v>
      </c>
      <c r="D678" s="85" t="s">
        <v>2251</v>
      </c>
      <c r="E678" s="245" t="s">
        <v>27</v>
      </c>
      <c r="F678" s="361" t="s">
        <v>317</v>
      </c>
      <c r="G678" s="259"/>
      <c r="H678" s="256"/>
      <c r="I678" s="271" t="s">
        <v>317</v>
      </c>
      <c r="J678" s="271" t="s">
        <v>317</v>
      </c>
      <c r="K678" s="271" t="s">
        <v>317</v>
      </c>
      <c r="L678" s="248"/>
      <c r="M678" s="249"/>
      <c r="N678" s="225"/>
      <c r="O678" s="225"/>
      <c r="P678" s="225"/>
      <c r="Q678" s="250"/>
      <c r="R678" s="215" t="s">
        <v>27</v>
      </c>
      <c r="S678" s="215" t="s">
        <v>27</v>
      </c>
      <c r="T678" s="215" t="s">
        <v>27</v>
      </c>
      <c r="U678" s="225"/>
      <c r="V678" s="251"/>
      <c r="W678" s="377"/>
      <c r="X678" s="85"/>
      <c r="Y678" s="85"/>
      <c r="Z678" s="85"/>
      <c r="AA678" s="85"/>
      <c r="AB678" s="85"/>
      <c r="AC678" s="85"/>
    </row>
    <row r="679" spans="1:29" ht="15" customHeight="1">
      <c r="A679" s="85" t="s">
        <v>2249</v>
      </c>
      <c r="B679" s="87" t="s">
        <v>2007</v>
      </c>
      <c r="C679" s="80" t="s">
        <v>1388</v>
      </c>
      <c r="D679" s="85" t="s">
        <v>2252</v>
      </c>
      <c r="E679" s="245" t="s">
        <v>27</v>
      </c>
      <c r="F679" s="361" t="s">
        <v>317</v>
      </c>
      <c r="G679" s="259"/>
      <c r="H679" s="256"/>
      <c r="I679" s="271" t="s">
        <v>317</v>
      </c>
      <c r="J679" s="271" t="s">
        <v>317</v>
      </c>
      <c r="K679" s="271" t="s">
        <v>317</v>
      </c>
      <c r="L679" s="248"/>
      <c r="M679" s="249"/>
      <c r="N679" s="225"/>
      <c r="O679" s="225"/>
      <c r="P679" s="225"/>
      <c r="Q679" s="250"/>
      <c r="R679" s="215" t="s">
        <v>27</v>
      </c>
      <c r="S679" s="215" t="s">
        <v>27</v>
      </c>
      <c r="T679" s="215" t="s">
        <v>27</v>
      </c>
      <c r="U679" s="225"/>
      <c r="V679" s="251"/>
      <c r="W679" s="377"/>
      <c r="X679" s="85"/>
      <c r="Y679" s="85"/>
      <c r="Z679" s="85"/>
      <c r="AA679" s="85"/>
      <c r="AB679" s="85"/>
      <c r="AC679" s="85"/>
    </row>
    <row r="680" spans="1:29" ht="15" customHeight="1">
      <c r="A680" s="85" t="s">
        <v>2249</v>
      </c>
      <c r="B680" s="87" t="s">
        <v>2007</v>
      </c>
      <c r="C680" s="80" t="s">
        <v>2042</v>
      </c>
      <c r="D680" s="85" t="s">
        <v>2253</v>
      </c>
      <c r="E680" s="245" t="s">
        <v>27</v>
      </c>
      <c r="F680" s="361" t="s">
        <v>317</v>
      </c>
      <c r="G680" s="259"/>
      <c r="H680" s="256"/>
      <c r="I680" s="271" t="s">
        <v>317</v>
      </c>
      <c r="J680" s="271" t="s">
        <v>317</v>
      </c>
      <c r="K680" s="271" t="s">
        <v>317</v>
      </c>
      <c r="L680" s="248"/>
      <c r="M680" s="249"/>
      <c r="N680" s="225"/>
      <c r="O680" s="225"/>
      <c r="P680" s="225"/>
      <c r="Q680" s="250"/>
      <c r="R680" s="215" t="s">
        <v>27</v>
      </c>
      <c r="S680" s="215" t="s">
        <v>27</v>
      </c>
      <c r="T680" s="215" t="s">
        <v>27</v>
      </c>
      <c r="U680" s="225"/>
      <c r="V680" s="251"/>
      <c r="W680" s="377"/>
      <c r="X680" s="85"/>
      <c r="Y680" s="85"/>
      <c r="Z680" s="85"/>
      <c r="AA680" s="85"/>
      <c r="AB680" s="85"/>
      <c r="AC680" s="85"/>
    </row>
    <row r="681" spans="1:29" ht="15" customHeight="1">
      <c r="A681" s="85" t="s">
        <v>2254</v>
      </c>
      <c r="B681" s="87" t="s">
        <v>2007</v>
      </c>
      <c r="C681" s="80" t="s">
        <v>1388</v>
      </c>
      <c r="D681" s="85" t="s">
        <v>2255</v>
      </c>
      <c r="E681" s="245" t="s">
        <v>27</v>
      </c>
      <c r="F681" s="361" t="s">
        <v>317</v>
      </c>
      <c r="G681" s="259"/>
      <c r="H681" s="256"/>
      <c r="I681" s="271" t="s">
        <v>317</v>
      </c>
      <c r="J681" s="271" t="s">
        <v>317</v>
      </c>
      <c r="K681" s="271" t="s">
        <v>317</v>
      </c>
      <c r="L681" s="248"/>
      <c r="M681" s="249"/>
      <c r="N681" s="225"/>
      <c r="O681" s="225"/>
      <c r="P681" s="225"/>
      <c r="Q681" s="250"/>
      <c r="R681" s="215" t="s">
        <v>27</v>
      </c>
      <c r="S681" s="215" t="s">
        <v>27</v>
      </c>
      <c r="T681" s="215" t="s">
        <v>27</v>
      </c>
      <c r="U681" s="225"/>
      <c r="V681" s="251"/>
      <c r="W681" s="377"/>
      <c r="X681" s="85"/>
      <c r="Y681" s="85"/>
      <c r="Z681" s="85"/>
      <c r="AA681" s="85"/>
      <c r="AB681" s="85"/>
      <c r="AC681" s="85"/>
    </row>
    <row r="682" spans="1:29" ht="15" customHeight="1">
      <c r="A682" s="85" t="s">
        <v>2254</v>
      </c>
      <c r="B682" s="87" t="s">
        <v>2007</v>
      </c>
      <c r="C682" s="80" t="s">
        <v>2042</v>
      </c>
      <c r="D682" s="85" t="s">
        <v>2256</v>
      </c>
      <c r="E682" s="245" t="s">
        <v>27</v>
      </c>
      <c r="F682" s="361" t="s">
        <v>317</v>
      </c>
      <c r="G682" s="259"/>
      <c r="H682" s="256"/>
      <c r="I682" s="271" t="s">
        <v>317</v>
      </c>
      <c r="J682" s="271" t="s">
        <v>317</v>
      </c>
      <c r="K682" s="271" t="s">
        <v>317</v>
      </c>
      <c r="L682" s="248"/>
      <c r="M682" s="249"/>
      <c r="N682" s="225"/>
      <c r="O682" s="225"/>
      <c r="P682" s="225"/>
      <c r="Q682" s="250"/>
      <c r="R682" s="215" t="s">
        <v>27</v>
      </c>
      <c r="S682" s="215" t="s">
        <v>27</v>
      </c>
      <c r="T682" s="215" t="s">
        <v>27</v>
      </c>
      <c r="U682" s="225"/>
      <c r="V682" s="251"/>
      <c r="W682" s="377"/>
      <c r="X682" s="85"/>
      <c r="Y682" s="85"/>
      <c r="Z682" s="85"/>
      <c r="AA682" s="85"/>
      <c r="AB682" s="85"/>
      <c r="AC682" s="85"/>
    </row>
    <row r="683" spans="1:29" ht="15" customHeight="1">
      <c r="A683" s="85" t="s">
        <v>2254</v>
      </c>
      <c r="B683" s="87" t="s">
        <v>2007</v>
      </c>
      <c r="C683" s="80" t="s">
        <v>2200</v>
      </c>
      <c r="D683" s="85" t="s">
        <v>2257</v>
      </c>
      <c r="E683" s="245" t="s">
        <v>27</v>
      </c>
      <c r="F683" s="361" t="s">
        <v>317</v>
      </c>
      <c r="G683" s="259"/>
      <c r="H683" s="256"/>
      <c r="I683" s="271" t="s">
        <v>317</v>
      </c>
      <c r="J683" s="271" t="s">
        <v>317</v>
      </c>
      <c r="K683" s="271" t="s">
        <v>317</v>
      </c>
      <c r="L683" s="248"/>
      <c r="M683" s="249"/>
      <c r="N683" s="225"/>
      <c r="O683" s="225"/>
      <c r="P683" s="225"/>
      <c r="Q683" s="250"/>
      <c r="R683" s="215" t="s">
        <v>27</v>
      </c>
      <c r="S683" s="215" t="s">
        <v>27</v>
      </c>
      <c r="T683" s="215" t="s">
        <v>27</v>
      </c>
      <c r="U683" s="225"/>
      <c r="V683" s="251"/>
      <c r="W683" s="377"/>
      <c r="X683" s="85"/>
      <c r="Y683" s="85"/>
      <c r="Z683" s="85"/>
      <c r="AA683" s="85"/>
      <c r="AB683" s="85"/>
      <c r="AC683" s="85"/>
    </row>
    <row r="684" spans="1:29" ht="15" customHeight="1">
      <c r="A684" s="85" t="s">
        <v>2254</v>
      </c>
      <c r="B684" s="87" t="s">
        <v>2007</v>
      </c>
      <c r="C684" s="80" t="s">
        <v>2034</v>
      </c>
      <c r="D684" s="85" t="s">
        <v>2258</v>
      </c>
      <c r="E684" s="245" t="s">
        <v>27</v>
      </c>
      <c r="F684" s="361" t="s">
        <v>317</v>
      </c>
      <c r="G684" s="259"/>
      <c r="H684" s="256"/>
      <c r="I684" s="271" t="s">
        <v>317</v>
      </c>
      <c r="J684" s="271" t="s">
        <v>317</v>
      </c>
      <c r="K684" s="271" t="s">
        <v>317</v>
      </c>
      <c r="L684" s="248"/>
      <c r="M684" s="249"/>
      <c r="N684" s="225"/>
      <c r="O684" s="225"/>
      <c r="P684" s="225"/>
      <c r="Q684" s="250"/>
      <c r="R684" s="215" t="s">
        <v>27</v>
      </c>
      <c r="S684" s="215" t="s">
        <v>27</v>
      </c>
      <c r="T684" s="215" t="s">
        <v>27</v>
      </c>
      <c r="U684" s="225"/>
      <c r="V684" s="251"/>
      <c r="W684" s="377"/>
      <c r="X684" s="85"/>
      <c r="Y684" s="85"/>
      <c r="Z684" s="85"/>
      <c r="AA684" s="85"/>
      <c r="AB684" s="85"/>
      <c r="AC684" s="85"/>
    </row>
    <row r="685" spans="1:29" ht="15" customHeight="1">
      <c r="A685" s="85" t="s">
        <v>2254</v>
      </c>
      <c r="B685" s="87" t="s">
        <v>2007</v>
      </c>
      <c r="C685" s="80" t="s">
        <v>1140</v>
      </c>
      <c r="D685" s="85" t="s">
        <v>2259</v>
      </c>
      <c r="E685" s="245" t="s">
        <v>27</v>
      </c>
      <c r="F685" s="361" t="s">
        <v>317</v>
      </c>
      <c r="G685" s="259"/>
      <c r="H685" s="256"/>
      <c r="I685" s="271" t="s">
        <v>317</v>
      </c>
      <c r="J685" s="271" t="s">
        <v>317</v>
      </c>
      <c r="K685" s="271" t="s">
        <v>317</v>
      </c>
      <c r="L685" s="248"/>
      <c r="M685" s="249"/>
      <c r="N685" s="225"/>
      <c r="O685" s="225"/>
      <c r="P685" s="225"/>
      <c r="Q685" s="250"/>
      <c r="R685" s="215" t="s">
        <v>27</v>
      </c>
      <c r="S685" s="215" t="s">
        <v>27</v>
      </c>
      <c r="T685" s="215" t="s">
        <v>27</v>
      </c>
      <c r="U685" s="225"/>
      <c r="V685" s="251"/>
      <c r="W685" s="377"/>
      <c r="X685" s="85"/>
      <c r="Y685" s="85"/>
      <c r="Z685" s="85"/>
      <c r="AA685" s="85"/>
      <c r="AB685" s="85"/>
      <c r="AC685" s="85"/>
    </row>
    <row r="686" spans="1:29" ht="15" customHeight="1">
      <c r="A686" s="85" t="s">
        <v>2254</v>
      </c>
      <c r="B686" s="87" t="s">
        <v>2007</v>
      </c>
      <c r="C686" s="80" t="s">
        <v>1138</v>
      </c>
      <c r="D686" s="85" t="s">
        <v>2260</v>
      </c>
      <c r="E686" s="245" t="s">
        <v>27</v>
      </c>
      <c r="F686" s="361" t="s">
        <v>317</v>
      </c>
      <c r="G686" s="259"/>
      <c r="H686" s="256"/>
      <c r="I686" s="271" t="s">
        <v>317</v>
      </c>
      <c r="J686" s="271" t="s">
        <v>317</v>
      </c>
      <c r="K686" s="271" t="s">
        <v>317</v>
      </c>
      <c r="L686" s="248"/>
      <c r="M686" s="249"/>
      <c r="N686" s="225"/>
      <c r="O686" s="225"/>
      <c r="P686" s="225"/>
      <c r="Q686" s="250"/>
      <c r="R686" s="215" t="s">
        <v>27</v>
      </c>
      <c r="S686" s="215" t="s">
        <v>27</v>
      </c>
      <c r="T686" s="215" t="s">
        <v>27</v>
      </c>
      <c r="U686" s="225"/>
      <c r="V686" s="251"/>
      <c r="W686" s="377"/>
      <c r="X686" s="85"/>
      <c r="Y686" s="85"/>
      <c r="Z686" s="85"/>
      <c r="AA686" s="85"/>
      <c r="AB686" s="85"/>
      <c r="AC686" s="85"/>
    </row>
    <row r="687" spans="1:29" ht="15" customHeight="1">
      <c r="A687" s="85" t="s">
        <v>2254</v>
      </c>
      <c r="B687" s="87" t="s">
        <v>2007</v>
      </c>
      <c r="C687" s="80" t="s">
        <v>2049</v>
      </c>
      <c r="D687" s="85" t="s">
        <v>2261</v>
      </c>
      <c r="E687" s="245" t="s">
        <v>27</v>
      </c>
      <c r="F687" s="361" t="s">
        <v>317</v>
      </c>
      <c r="G687" s="259"/>
      <c r="H687" s="256"/>
      <c r="I687" s="271" t="s">
        <v>317</v>
      </c>
      <c r="J687" s="271" t="s">
        <v>317</v>
      </c>
      <c r="K687" s="271" t="s">
        <v>317</v>
      </c>
      <c r="L687" s="248"/>
      <c r="M687" s="249"/>
      <c r="N687" s="225"/>
      <c r="O687" s="225"/>
      <c r="P687" s="225"/>
      <c r="Q687" s="250"/>
      <c r="R687" s="215" t="s">
        <v>27</v>
      </c>
      <c r="S687" s="215" t="s">
        <v>27</v>
      </c>
      <c r="T687" s="215" t="s">
        <v>27</v>
      </c>
      <c r="U687" s="225"/>
      <c r="V687" s="251"/>
      <c r="W687" s="377"/>
      <c r="X687" s="85"/>
      <c r="Y687" s="85"/>
      <c r="Z687" s="85"/>
      <c r="AA687" s="85"/>
      <c r="AB687" s="85"/>
      <c r="AC687" s="85"/>
    </row>
    <row r="688" spans="1:29" ht="15" customHeight="1">
      <c r="A688" s="85" t="s">
        <v>2254</v>
      </c>
      <c r="B688" s="87" t="s">
        <v>2007</v>
      </c>
      <c r="C688" s="80" t="s">
        <v>2051</v>
      </c>
      <c r="D688" s="85" t="s">
        <v>2262</v>
      </c>
      <c r="E688" s="245" t="s">
        <v>27</v>
      </c>
      <c r="F688" s="361" t="s">
        <v>317</v>
      </c>
      <c r="G688" s="259"/>
      <c r="H688" s="256"/>
      <c r="I688" s="271" t="s">
        <v>317</v>
      </c>
      <c r="J688" s="271" t="s">
        <v>317</v>
      </c>
      <c r="K688" s="271" t="s">
        <v>317</v>
      </c>
      <c r="L688" s="248"/>
      <c r="M688" s="249"/>
      <c r="N688" s="225"/>
      <c r="O688" s="225"/>
      <c r="P688" s="225"/>
      <c r="Q688" s="250"/>
      <c r="R688" s="215" t="s">
        <v>27</v>
      </c>
      <c r="S688" s="215" t="s">
        <v>27</v>
      </c>
      <c r="T688" s="215" t="s">
        <v>27</v>
      </c>
      <c r="U688" s="225"/>
      <c r="V688" s="251"/>
      <c r="W688" s="377"/>
      <c r="X688" s="85"/>
      <c r="Y688" s="85"/>
      <c r="Z688" s="85"/>
      <c r="AA688" s="85"/>
      <c r="AB688" s="85"/>
      <c r="AC688" s="85"/>
    </row>
    <row r="689" spans="1:29" ht="15" customHeight="1">
      <c r="A689" s="85" t="s">
        <v>2254</v>
      </c>
      <c r="B689" s="87" t="s">
        <v>2007</v>
      </c>
      <c r="C689" s="80" t="s">
        <v>1421</v>
      </c>
      <c r="D689" s="85" t="s">
        <v>2263</v>
      </c>
      <c r="E689" s="245" t="s">
        <v>27</v>
      </c>
      <c r="F689" s="361" t="s">
        <v>317</v>
      </c>
      <c r="G689" s="259"/>
      <c r="H689" s="256"/>
      <c r="I689" s="271" t="s">
        <v>317</v>
      </c>
      <c r="J689" s="271" t="s">
        <v>317</v>
      </c>
      <c r="K689" s="271" t="s">
        <v>317</v>
      </c>
      <c r="L689" s="248"/>
      <c r="M689" s="249"/>
      <c r="N689" s="225"/>
      <c r="O689" s="225"/>
      <c r="P689" s="225"/>
      <c r="Q689" s="250"/>
      <c r="R689" s="215" t="s">
        <v>27</v>
      </c>
      <c r="S689" s="215" t="s">
        <v>27</v>
      </c>
      <c r="T689" s="215" t="s">
        <v>27</v>
      </c>
      <c r="U689" s="225"/>
      <c r="V689" s="251"/>
      <c r="W689" s="377"/>
      <c r="X689" s="85"/>
      <c r="Y689" s="85"/>
      <c r="Z689" s="85"/>
      <c r="AA689" s="85"/>
      <c r="AB689" s="85"/>
      <c r="AC689" s="85"/>
    </row>
    <row r="690" spans="1:29" ht="15" customHeight="1">
      <c r="A690" s="85" t="s">
        <v>2254</v>
      </c>
      <c r="B690" s="87" t="s">
        <v>2007</v>
      </c>
      <c r="C690" s="80" t="s">
        <v>2054</v>
      </c>
      <c r="D690" s="85" t="s">
        <v>2264</v>
      </c>
      <c r="E690" s="245" t="s">
        <v>27</v>
      </c>
      <c r="F690" s="361" t="s">
        <v>317</v>
      </c>
      <c r="G690" s="259"/>
      <c r="H690" s="256"/>
      <c r="I690" s="271" t="s">
        <v>317</v>
      </c>
      <c r="J690" s="271" t="s">
        <v>317</v>
      </c>
      <c r="K690" s="271" t="s">
        <v>317</v>
      </c>
      <c r="L690" s="248"/>
      <c r="M690" s="249"/>
      <c r="N690" s="225"/>
      <c r="O690" s="225"/>
      <c r="P690" s="225"/>
      <c r="Q690" s="250"/>
      <c r="R690" s="215" t="s">
        <v>27</v>
      </c>
      <c r="S690" s="215" t="s">
        <v>27</v>
      </c>
      <c r="T690" s="215" t="s">
        <v>27</v>
      </c>
      <c r="U690" s="225"/>
      <c r="V690" s="251"/>
      <c r="W690" s="377"/>
      <c r="X690" s="85"/>
      <c r="Y690" s="85"/>
      <c r="Z690" s="85"/>
      <c r="AA690" s="85"/>
      <c r="AB690" s="85"/>
      <c r="AC690" s="85"/>
    </row>
    <row r="691" spans="1:29" ht="15" customHeight="1">
      <c r="A691" s="85" t="s">
        <v>2254</v>
      </c>
      <c r="B691" s="87" t="s">
        <v>2007</v>
      </c>
      <c r="C691" s="80" t="s">
        <v>2056</v>
      </c>
      <c r="D691" s="85" t="s">
        <v>2265</v>
      </c>
      <c r="E691" s="245" t="s">
        <v>27</v>
      </c>
      <c r="F691" s="361" t="s">
        <v>317</v>
      </c>
      <c r="G691" s="259"/>
      <c r="H691" s="256"/>
      <c r="I691" s="271" t="s">
        <v>317</v>
      </c>
      <c r="J691" s="271" t="s">
        <v>317</v>
      </c>
      <c r="K691" s="271" t="s">
        <v>317</v>
      </c>
      <c r="L691" s="248"/>
      <c r="M691" s="249"/>
      <c r="N691" s="225"/>
      <c r="O691" s="225"/>
      <c r="P691" s="225"/>
      <c r="Q691" s="250"/>
      <c r="R691" s="215" t="s">
        <v>27</v>
      </c>
      <c r="S691" s="215" t="s">
        <v>27</v>
      </c>
      <c r="T691" s="215" t="s">
        <v>27</v>
      </c>
      <c r="U691" s="225"/>
      <c r="V691" s="251"/>
      <c r="W691" s="377"/>
      <c r="X691" s="85"/>
      <c r="Y691" s="85"/>
      <c r="Z691" s="85"/>
      <c r="AA691" s="85"/>
      <c r="AB691" s="85"/>
      <c r="AC691" s="85"/>
    </row>
    <row r="692" spans="1:29" ht="15" customHeight="1">
      <c r="A692" s="85" t="s">
        <v>2254</v>
      </c>
      <c r="B692" s="87" t="s">
        <v>2007</v>
      </c>
      <c r="C692" s="80" t="s">
        <v>2058</v>
      </c>
      <c r="D692" s="85" t="s">
        <v>2266</v>
      </c>
      <c r="E692" s="245" t="s">
        <v>27</v>
      </c>
      <c r="F692" s="361" t="s">
        <v>317</v>
      </c>
      <c r="G692" s="259"/>
      <c r="H692" s="256"/>
      <c r="I692" s="271" t="s">
        <v>317</v>
      </c>
      <c r="J692" s="271" t="s">
        <v>317</v>
      </c>
      <c r="K692" s="271" t="s">
        <v>317</v>
      </c>
      <c r="L692" s="248"/>
      <c r="M692" s="249"/>
      <c r="N692" s="225"/>
      <c r="O692" s="225"/>
      <c r="P692" s="225"/>
      <c r="Q692" s="250"/>
      <c r="R692" s="215" t="s">
        <v>27</v>
      </c>
      <c r="S692" s="215" t="s">
        <v>27</v>
      </c>
      <c r="T692" s="215" t="s">
        <v>27</v>
      </c>
      <c r="U692" s="225"/>
      <c r="V692" s="251"/>
      <c r="W692" s="377"/>
      <c r="X692" s="85"/>
      <c r="Y692" s="85"/>
      <c r="Z692" s="85"/>
      <c r="AA692" s="85"/>
      <c r="AB692" s="85"/>
      <c r="AC692" s="85"/>
    </row>
    <row r="693" spans="1:29" ht="15" customHeight="1">
      <c r="A693" s="85" t="s">
        <v>2254</v>
      </c>
      <c r="B693" s="87" t="s">
        <v>2007</v>
      </c>
      <c r="C693" s="80" t="s">
        <v>2060</v>
      </c>
      <c r="D693" s="85" t="s">
        <v>2267</v>
      </c>
      <c r="E693" s="245" t="s">
        <v>27</v>
      </c>
      <c r="F693" s="361" t="s">
        <v>317</v>
      </c>
      <c r="G693" s="259"/>
      <c r="H693" s="256"/>
      <c r="I693" s="271" t="s">
        <v>317</v>
      </c>
      <c r="J693" s="271" t="s">
        <v>317</v>
      </c>
      <c r="K693" s="271" t="s">
        <v>317</v>
      </c>
      <c r="L693" s="248"/>
      <c r="M693" s="249"/>
      <c r="N693" s="225"/>
      <c r="O693" s="225"/>
      <c r="P693" s="225"/>
      <c r="Q693" s="250"/>
      <c r="R693" s="215" t="s">
        <v>27</v>
      </c>
      <c r="S693" s="215" t="s">
        <v>27</v>
      </c>
      <c r="T693" s="215" t="s">
        <v>27</v>
      </c>
      <c r="U693" s="225"/>
      <c r="V693" s="251"/>
      <c r="W693" s="377"/>
      <c r="X693" s="85"/>
      <c r="Y693" s="85"/>
      <c r="Z693" s="85"/>
      <c r="AA693" s="85"/>
      <c r="AB693" s="85"/>
      <c r="AC693" s="85"/>
    </row>
    <row r="694" spans="1:29" ht="15" customHeight="1">
      <c r="A694" s="85" t="s">
        <v>2254</v>
      </c>
      <c r="B694" s="87" t="s">
        <v>2007</v>
      </c>
      <c r="C694" s="80" t="s">
        <v>2062</v>
      </c>
      <c r="D694" s="85" t="s">
        <v>2268</v>
      </c>
      <c r="E694" s="245" t="s">
        <v>27</v>
      </c>
      <c r="F694" s="361" t="s">
        <v>317</v>
      </c>
      <c r="G694" s="259"/>
      <c r="H694" s="256"/>
      <c r="I694" s="271" t="s">
        <v>317</v>
      </c>
      <c r="J694" s="271" t="s">
        <v>317</v>
      </c>
      <c r="K694" s="271" t="s">
        <v>317</v>
      </c>
      <c r="L694" s="248"/>
      <c r="M694" s="249"/>
      <c r="N694" s="225"/>
      <c r="O694" s="225"/>
      <c r="P694" s="225"/>
      <c r="Q694" s="250"/>
      <c r="R694" s="215" t="s">
        <v>27</v>
      </c>
      <c r="S694" s="215" t="s">
        <v>27</v>
      </c>
      <c r="T694" s="215" t="s">
        <v>27</v>
      </c>
      <c r="U694" s="225"/>
      <c r="V694" s="251"/>
      <c r="W694" s="377"/>
      <c r="X694" s="85"/>
      <c r="Y694" s="85"/>
      <c r="Z694" s="85"/>
      <c r="AA694" s="85"/>
      <c r="AB694" s="85"/>
      <c r="AC694" s="85"/>
    </row>
    <row r="695" spans="1:29" ht="15" customHeight="1">
      <c r="A695" s="85" t="s">
        <v>2254</v>
      </c>
      <c r="B695" s="87" t="s">
        <v>2007</v>
      </c>
      <c r="C695" s="80" t="s">
        <v>2064</v>
      </c>
      <c r="D695" s="85" t="s">
        <v>2269</v>
      </c>
      <c r="E695" s="245" t="s">
        <v>27</v>
      </c>
      <c r="F695" s="361" t="s">
        <v>317</v>
      </c>
      <c r="G695" s="259"/>
      <c r="H695" s="256"/>
      <c r="I695" s="271" t="s">
        <v>317</v>
      </c>
      <c r="J695" s="271" t="s">
        <v>317</v>
      </c>
      <c r="K695" s="271" t="s">
        <v>317</v>
      </c>
      <c r="L695" s="248"/>
      <c r="M695" s="249"/>
      <c r="N695" s="225"/>
      <c r="O695" s="225"/>
      <c r="P695" s="225"/>
      <c r="Q695" s="250"/>
      <c r="R695" s="215" t="s">
        <v>27</v>
      </c>
      <c r="S695" s="215" t="s">
        <v>27</v>
      </c>
      <c r="T695" s="215" t="s">
        <v>27</v>
      </c>
      <c r="U695" s="225"/>
      <c r="V695" s="251"/>
      <c r="W695" s="377"/>
      <c r="X695" s="85"/>
      <c r="Y695" s="85"/>
      <c r="Z695" s="85"/>
      <c r="AA695" s="85"/>
      <c r="AB695" s="85"/>
      <c r="AC695" s="85"/>
    </row>
    <row r="696" spans="1:29" ht="15" customHeight="1">
      <c r="A696" s="85" t="s">
        <v>2254</v>
      </c>
      <c r="B696" s="87" t="s">
        <v>2007</v>
      </c>
      <c r="C696" s="80" t="s">
        <v>2066</v>
      </c>
      <c r="D696" s="85" t="s">
        <v>2270</v>
      </c>
      <c r="E696" s="245" t="s">
        <v>27</v>
      </c>
      <c r="F696" s="361" t="s">
        <v>317</v>
      </c>
      <c r="G696" s="259"/>
      <c r="H696" s="256"/>
      <c r="I696" s="271" t="s">
        <v>317</v>
      </c>
      <c r="J696" s="271" t="s">
        <v>317</v>
      </c>
      <c r="K696" s="271" t="s">
        <v>317</v>
      </c>
      <c r="L696" s="248"/>
      <c r="M696" s="249"/>
      <c r="N696" s="225"/>
      <c r="O696" s="225"/>
      <c r="P696" s="225"/>
      <c r="Q696" s="250"/>
      <c r="R696" s="215" t="s">
        <v>27</v>
      </c>
      <c r="S696" s="215" t="s">
        <v>27</v>
      </c>
      <c r="T696" s="215" t="s">
        <v>27</v>
      </c>
      <c r="U696" s="225"/>
      <c r="V696" s="251"/>
      <c r="W696" s="377"/>
      <c r="X696" s="85"/>
      <c r="Y696" s="85"/>
      <c r="Z696" s="85"/>
      <c r="AA696" s="85"/>
      <c r="AB696" s="85"/>
      <c r="AC696" s="85"/>
    </row>
    <row r="697" spans="1:29" ht="15" customHeight="1">
      <c r="A697" s="85" t="s">
        <v>2254</v>
      </c>
      <c r="B697" s="87" t="s">
        <v>2007</v>
      </c>
      <c r="C697" s="80" t="s">
        <v>2068</v>
      </c>
      <c r="D697" s="85" t="s">
        <v>2271</v>
      </c>
      <c r="E697" s="245" t="s">
        <v>27</v>
      </c>
      <c r="F697" s="361" t="s">
        <v>317</v>
      </c>
      <c r="G697" s="259"/>
      <c r="H697" s="256"/>
      <c r="I697" s="271" t="s">
        <v>317</v>
      </c>
      <c r="J697" s="271" t="s">
        <v>317</v>
      </c>
      <c r="K697" s="271" t="s">
        <v>317</v>
      </c>
      <c r="L697" s="248"/>
      <c r="M697" s="249"/>
      <c r="N697" s="225"/>
      <c r="O697" s="225"/>
      <c r="P697" s="225"/>
      <c r="Q697" s="250"/>
      <c r="R697" s="215" t="s">
        <v>27</v>
      </c>
      <c r="S697" s="215" t="s">
        <v>27</v>
      </c>
      <c r="T697" s="215" t="s">
        <v>27</v>
      </c>
      <c r="U697" s="225"/>
      <c r="V697" s="251"/>
      <c r="W697" s="377"/>
      <c r="X697" s="85"/>
      <c r="Y697" s="85"/>
      <c r="Z697" s="85"/>
      <c r="AA697" s="85"/>
      <c r="AB697" s="85"/>
      <c r="AC697" s="85"/>
    </row>
    <row r="698" spans="1:29" ht="15" customHeight="1">
      <c r="A698" s="85" t="s">
        <v>2272</v>
      </c>
      <c r="B698" s="87" t="s">
        <v>2007</v>
      </c>
      <c r="C698" s="80" t="s">
        <v>2235</v>
      </c>
      <c r="D698" s="85" t="s">
        <v>2273</v>
      </c>
      <c r="E698" s="245" t="s">
        <v>27</v>
      </c>
      <c r="F698" s="361" t="s">
        <v>317</v>
      </c>
      <c r="G698" s="259"/>
      <c r="H698" s="256"/>
      <c r="I698" s="271" t="s">
        <v>317</v>
      </c>
      <c r="J698" s="271" t="s">
        <v>317</v>
      </c>
      <c r="K698" s="271" t="s">
        <v>317</v>
      </c>
      <c r="L698" s="248"/>
      <c r="M698" s="249"/>
      <c r="N698" s="225"/>
      <c r="O698" s="225"/>
      <c r="P698" s="225"/>
      <c r="Q698" s="250"/>
      <c r="R698" s="215" t="s">
        <v>27</v>
      </c>
      <c r="S698" s="215" t="s">
        <v>27</v>
      </c>
      <c r="T698" s="215" t="s">
        <v>27</v>
      </c>
      <c r="U698" s="225"/>
      <c r="V698" s="251"/>
      <c r="W698" s="377"/>
      <c r="X698" s="85"/>
      <c r="Y698" s="85"/>
      <c r="Z698" s="85"/>
      <c r="AA698" s="85"/>
      <c r="AB698" s="85"/>
      <c r="AC698" s="85"/>
    </row>
    <row r="699" spans="1:29" ht="15" customHeight="1">
      <c r="A699" s="85" t="s">
        <v>2272</v>
      </c>
      <c r="B699" s="87" t="s">
        <v>2007</v>
      </c>
      <c r="C699" s="80" t="s">
        <v>2274</v>
      </c>
      <c r="D699" s="85" t="s">
        <v>2275</v>
      </c>
      <c r="E699" s="245" t="s">
        <v>27</v>
      </c>
      <c r="F699" s="361" t="s">
        <v>317</v>
      </c>
      <c r="G699" s="259"/>
      <c r="H699" s="256"/>
      <c r="I699" s="271" t="s">
        <v>317</v>
      </c>
      <c r="J699" s="271" t="s">
        <v>317</v>
      </c>
      <c r="K699" s="271" t="s">
        <v>317</v>
      </c>
      <c r="L699" s="248"/>
      <c r="M699" s="249"/>
      <c r="N699" s="225"/>
      <c r="O699" s="225"/>
      <c r="P699" s="225"/>
      <c r="Q699" s="250"/>
      <c r="R699" s="215" t="s">
        <v>27</v>
      </c>
      <c r="S699" s="215" t="s">
        <v>27</v>
      </c>
      <c r="T699" s="215" t="s">
        <v>27</v>
      </c>
      <c r="U699" s="225"/>
      <c r="V699" s="251"/>
      <c r="W699" s="377"/>
      <c r="X699" s="85"/>
      <c r="Y699" s="85"/>
      <c r="Z699" s="85"/>
      <c r="AA699" s="85"/>
      <c r="AB699" s="85"/>
      <c r="AC699" s="85"/>
    </row>
    <row r="700" spans="1:29" ht="15" customHeight="1">
      <c r="A700" s="85" t="s">
        <v>2272</v>
      </c>
      <c r="B700" s="87" t="s">
        <v>2007</v>
      </c>
      <c r="C700" s="80" t="s">
        <v>2276</v>
      </c>
      <c r="D700" s="85" t="s">
        <v>2277</v>
      </c>
      <c r="E700" s="245" t="s">
        <v>27</v>
      </c>
      <c r="F700" s="361" t="s">
        <v>317</v>
      </c>
      <c r="G700" s="259"/>
      <c r="H700" s="256"/>
      <c r="I700" s="271" t="s">
        <v>317</v>
      </c>
      <c r="J700" s="271" t="s">
        <v>317</v>
      </c>
      <c r="K700" s="271" t="s">
        <v>317</v>
      </c>
      <c r="L700" s="248"/>
      <c r="M700" s="249"/>
      <c r="N700" s="225"/>
      <c r="O700" s="225"/>
      <c r="P700" s="225"/>
      <c r="Q700" s="250"/>
      <c r="R700" s="215" t="s">
        <v>27</v>
      </c>
      <c r="S700" s="215" t="s">
        <v>27</v>
      </c>
      <c r="T700" s="215" t="s">
        <v>27</v>
      </c>
      <c r="U700" s="225"/>
      <c r="V700" s="251"/>
      <c r="W700" s="377"/>
      <c r="X700" s="85"/>
      <c r="Y700" s="85"/>
      <c r="Z700" s="85"/>
      <c r="AA700" s="85"/>
      <c r="AB700" s="85"/>
      <c r="AC700" s="85"/>
    </row>
    <row r="701" spans="1:29" ht="15" customHeight="1">
      <c r="A701" s="85" t="s">
        <v>2272</v>
      </c>
      <c r="B701" s="87" t="s">
        <v>2007</v>
      </c>
      <c r="C701" s="80" t="s">
        <v>2278</v>
      </c>
      <c r="D701" s="85" t="s">
        <v>2279</v>
      </c>
      <c r="E701" s="245" t="s">
        <v>27</v>
      </c>
      <c r="F701" s="361" t="s">
        <v>317</v>
      </c>
      <c r="G701" s="259"/>
      <c r="H701" s="256"/>
      <c r="I701" s="271" t="s">
        <v>317</v>
      </c>
      <c r="J701" s="271" t="s">
        <v>317</v>
      </c>
      <c r="K701" s="271" t="s">
        <v>317</v>
      </c>
      <c r="L701" s="248"/>
      <c r="M701" s="249"/>
      <c r="N701" s="225"/>
      <c r="O701" s="225"/>
      <c r="P701" s="225"/>
      <c r="Q701" s="250"/>
      <c r="R701" s="215" t="s">
        <v>27</v>
      </c>
      <c r="S701" s="215" t="s">
        <v>27</v>
      </c>
      <c r="T701" s="215" t="s">
        <v>27</v>
      </c>
      <c r="U701" s="225"/>
      <c r="V701" s="251"/>
      <c r="W701" s="377"/>
      <c r="X701" s="85"/>
      <c r="Y701" s="85"/>
      <c r="Z701" s="85"/>
      <c r="AA701" s="85"/>
      <c r="AB701" s="85"/>
      <c r="AC701" s="85"/>
    </row>
    <row r="702" spans="1:29" ht="15" customHeight="1">
      <c r="A702" s="85" t="s">
        <v>2272</v>
      </c>
      <c r="B702" s="87" t="s">
        <v>2007</v>
      </c>
      <c r="C702" s="80" t="s">
        <v>2280</v>
      </c>
      <c r="D702" s="85" t="s">
        <v>2281</v>
      </c>
      <c r="E702" s="245" t="s">
        <v>27</v>
      </c>
      <c r="F702" s="361" t="s">
        <v>317</v>
      </c>
      <c r="G702" s="259"/>
      <c r="H702" s="256"/>
      <c r="I702" s="271" t="s">
        <v>317</v>
      </c>
      <c r="J702" s="271" t="s">
        <v>317</v>
      </c>
      <c r="K702" s="271" t="s">
        <v>317</v>
      </c>
      <c r="L702" s="248"/>
      <c r="M702" s="249"/>
      <c r="N702" s="225"/>
      <c r="O702" s="225"/>
      <c r="P702" s="225"/>
      <c r="Q702" s="250"/>
      <c r="R702" s="215" t="s">
        <v>27</v>
      </c>
      <c r="S702" s="215" t="s">
        <v>27</v>
      </c>
      <c r="T702" s="215" t="s">
        <v>27</v>
      </c>
      <c r="U702" s="225"/>
      <c r="V702" s="251"/>
      <c r="W702" s="377"/>
      <c r="X702" s="85"/>
      <c r="Y702" s="85"/>
      <c r="Z702" s="85"/>
      <c r="AA702" s="85"/>
      <c r="AB702" s="85"/>
      <c r="AC702" s="85"/>
    </row>
    <row r="703" spans="1:29" ht="15" customHeight="1">
      <c r="A703" s="85" t="s">
        <v>2272</v>
      </c>
      <c r="B703" s="87" t="s">
        <v>2007</v>
      </c>
      <c r="C703" s="80" t="s">
        <v>2282</v>
      </c>
      <c r="D703" s="85" t="s">
        <v>2283</v>
      </c>
      <c r="E703" s="245" t="s">
        <v>27</v>
      </c>
      <c r="F703" s="361" t="s">
        <v>317</v>
      </c>
      <c r="G703" s="259"/>
      <c r="H703" s="256"/>
      <c r="I703" s="271" t="s">
        <v>317</v>
      </c>
      <c r="J703" s="271" t="s">
        <v>317</v>
      </c>
      <c r="K703" s="271" t="s">
        <v>317</v>
      </c>
      <c r="L703" s="248"/>
      <c r="M703" s="249"/>
      <c r="N703" s="225"/>
      <c r="O703" s="225"/>
      <c r="P703" s="225"/>
      <c r="Q703" s="250"/>
      <c r="R703" s="215" t="s">
        <v>27</v>
      </c>
      <c r="S703" s="215" t="s">
        <v>27</v>
      </c>
      <c r="T703" s="215" t="s">
        <v>27</v>
      </c>
      <c r="U703" s="225"/>
      <c r="V703" s="251"/>
      <c r="W703" s="377"/>
      <c r="X703" s="85"/>
      <c r="Y703" s="85"/>
      <c r="Z703" s="85"/>
      <c r="AA703" s="85"/>
      <c r="AB703" s="85"/>
      <c r="AC703" s="85"/>
    </row>
    <row r="704" spans="1:29" ht="15" customHeight="1">
      <c r="A704" s="85" t="s">
        <v>2272</v>
      </c>
      <c r="B704" s="87" t="s">
        <v>2007</v>
      </c>
      <c r="C704" s="80" t="s">
        <v>1411</v>
      </c>
      <c r="D704" s="85" t="s">
        <v>2284</v>
      </c>
      <c r="E704" s="245" t="s">
        <v>27</v>
      </c>
      <c r="F704" s="361" t="s">
        <v>317</v>
      </c>
      <c r="G704" s="259"/>
      <c r="H704" s="256"/>
      <c r="I704" s="271" t="s">
        <v>317</v>
      </c>
      <c r="J704" s="271" t="s">
        <v>317</v>
      </c>
      <c r="K704" s="271" t="s">
        <v>317</v>
      </c>
      <c r="L704" s="248"/>
      <c r="M704" s="249"/>
      <c r="N704" s="225"/>
      <c r="O704" s="225"/>
      <c r="P704" s="225"/>
      <c r="Q704" s="250"/>
      <c r="R704" s="215" t="s">
        <v>27</v>
      </c>
      <c r="S704" s="215" t="s">
        <v>27</v>
      </c>
      <c r="T704" s="215" t="s">
        <v>27</v>
      </c>
      <c r="U704" s="225"/>
      <c r="V704" s="251"/>
      <c r="W704" s="377"/>
      <c r="X704" s="85"/>
      <c r="Y704" s="85"/>
      <c r="Z704" s="85"/>
      <c r="AA704" s="85"/>
      <c r="AB704" s="85"/>
      <c r="AC704" s="85"/>
    </row>
    <row r="705" spans="1:29" ht="15" customHeight="1">
      <c r="A705" s="85" t="s">
        <v>2272</v>
      </c>
      <c r="B705" s="87" t="s">
        <v>2007</v>
      </c>
      <c r="C705" s="80" t="s">
        <v>1407</v>
      </c>
      <c r="D705" s="85" t="s">
        <v>2285</v>
      </c>
      <c r="E705" s="245" t="s">
        <v>27</v>
      </c>
      <c r="F705" s="361" t="s">
        <v>317</v>
      </c>
      <c r="G705" s="259"/>
      <c r="H705" s="256"/>
      <c r="I705" s="271" t="s">
        <v>317</v>
      </c>
      <c r="J705" s="271" t="s">
        <v>317</v>
      </c>
      <c r="K705" s="271" t="s">
        <v>317</v>
      </c>
      <c r="L705" s="248"/>
      <c r="M705" s="249"/>
      <c r="N705" s="225"/>
      <c r="O705" s="225"/>
      <c r="P705" s="225"/>
      <c r="Q705" s="250"/>
      <c r="R705" s="215" t="s">
        <v>27</v>
      </c>
      <c r="S705" s="215" t="s">
        <v>27</v>
      </c>
      <c r="T705" s="215" t="s">
        <v>27</v>
      </c>
      <c r="U705" s="225"/>
      <c r="V705" s="251"/>
      <c r="W705" s="377"/>
      <c r="X705" s="85"/>
      <c r="Y705" s="85"/>
      <c r="Z705" s="85"/>
      <c r="AA705" s="85"/>
      <c r="AB705" s="85"/>
      <c r="AC705" s="85"/>
    </row>
    <row r="706" spans="1:29" ht="15" customHeight="1">
      <c r="A706" s="85" t="s">
        <v>2272</v>
      </c>
      <c r="B706" s="87" t="s">
        <v>2007</v>
      </c>
      <c r="C706" s="80" t="s">
        <v>1140</v>
      </c>
      <c r="D706" s="85" t="s">
        <v>2286</v>
      </c>
      <c r="E706" s="245" t="s">
        <v>27</v>
      </c>
      <c r="F706" s="361" t="s">
        <v>317</v>
      </c>
      <c r="G706" s="259"/>
      <c r="H706" s="256"/>
      <c r="I706" s="271" t="s">
        <v>317</v>
      </c>
      <c r="J706" s="271" t="s">
        <v>317</v>
      </c>
      <c r="K706" s="271" t="s">
        <v>317</v>
      </c>
      <c r="L706" s="248"/>
      <c r="M706" s="249"/>
      <c r="N706" s="225"/>
      <c r="O706" s="225"/>
      <c r="P706" s="225"/>
      <c r="Q706" s="250"/>
      <c r="R706" s="215" t="s">
        <v>27</v>
      </c>
      <c r="S706" s="215" t="s">
        <v>27</v>
      </c>
      <c r="T706" s="215" t="s">
        <v>27</v>
      </c>
      <c r="U706" s="225"/>
      <c r="V706" s="251"/>
      <c r="W706" s="377"/>
      <c r="X706" s="85"/>
      <c r="Y706" s="85"/>
      <c r="Z706" s="85"/>
      <c r="AA706" s="85"/>
      <c r="AB706" s="85"/>
      <c r="AC706" s="85"/>
    </row>
    <row r="707" spans="1:29" ht="15" customHeight="1">
      <c r="A707" s="85" t="s">
        <v>2272</v>
      </c>
      <c r="B707" s="87" t="s">
        <v>2007</v>
      </c>
      <c r="C707" s="80" t="s">
        <v>1138</v>
      </c>
      <c r="D707" s="85" t="s">
        <v>2287</v>
      </c>
      <c r="E707" s="245" t="s">
        <v>27</v>
      </c>
      <c r="F707" s="361" t="s">
        <v>317</v>
      </c>
      <c r="G707" s="259"/>
      <c r="H707" s="256"/>
      <c r="I707" s="271" t="s">
        <v>317</v>
      </c>
      <c r="J707" s="271" t="s">
        <v>317</v>
      </c>
      <c r="K707" s="271" t="s">
        <v>317</v>
      </c>
      <c r="L707" s="248"/>
      <c r="M707" s="249"/>
      <c r="N707" s="225"/>
      <c r="O707" s="225"/>
      <c r="P707" s="225"/>
      <c r="Q707" s="250"/>
      <c r="R707" s="215" t="s">
        <v>27</v>
      </c>
      <c r="S707" s="215" t="s">
        <v>27</v>
      </c>
      <c r="T707" s="215" t="s">
        <v>27</v>
      </c>
      <c r="U707" s="225"/>
      <c r="V707" s="251"/>
      <c r="W707" s="377"/>
      <c r="X707" s="85"/>
      <c r="Y707" s="85"/>
      <c r="Z707" s="85"/>
      <c r="AA707" s="85"/>
      <c r="AB707" s="85"/>
      <c r="AC707" s="85"/>
    </row>
    <row r="708" spans="1:29" ht="15" customHeight="1">
      <c r="A708" s="85" t="s">
        <v>2272</v>
      </c>
      <c r="B708" s="87" t="s">
        <v>2007</v>
      </c>
      <c r="C708" s="80" t="s">
        <v>1421</v>
      </c>
      <c r="D708" s="85" t="s">
        <v>2288</v>
      </c>
      <c r="E708" s="245" t="s">
        <v>27</v>
      </c>
      <c r="F708" s="361" t="s">
        <v>317</v>
      </c>
      <c r="G708" s="259"/>
      <c r="H708" s="256"/>
      <c r="I708" s="271" t="s">
        <v>317</v>
      </c>
      <c r="J708" s="271" t="s">
        <v>317</v>
      </c>
      <c r="K708" s="271" t="s">
        <v>317</v>
      </c>
      <c r="L708" s="248"/>
      <c r="M708" s="249"/>
      <c r="N708" s="225"/>
      <c r="O708" s="225"/>
      <c r="P708" s="225"/>
      <c r="Q708" s="250"/>
      <c r="R708" s="215" t="s">
        <v>27</v>
      </c>
      <c r="S708" s="215" t="s">
        <v>27</v>
      </c>
      <c r="T708" s="215" t="s">
        <v>27</v>
      </c>
      <c r="U708" s="225"/>
      <c r="V708" s="251"/>
      <c r="W708" s="377"/>
      <c r="X708" s="85"/>
      <c r="Y708" s="85"/>
      <c r="Z708" s="85"/>
      <c r="AA708" s="85"/>
      <c r="AB708" s="85"/>
      <c r="AC708" s="85"/>
    </row>
    <row r="709" spans="1:29" ht="15" customHeight="1">
      <c r="A709" s="85" t="s">
        <v>2272</v>
      </c>
      <c r="B709" s="87" t="s">
        <v>2007</v>
      </c>
      <c r="C709" s="80" t="s">
        <v>1418</v>
      </c>
      <c r="D709" s="85" t="s">
        <v>2289</v>
      </c>
      <c r="E709" s="245" t="s">
        <v>27</v>
      </c>
      <c r="F709" s="361" t="s">
        <v>317</v>
      </c>
      <c r="G709" s="259"/>
      <c r="H709" s="256"/>
      <c r="I709" s="271" t="s">
        <v>317</v>
      </c>
      <c r="J709" s="271" t="s">
        <v>317</v>
      </c>
      <c r="K709" s="271" t="s">
        <v>317</v>
      </c>
      <c r="L709" s="248"/>
      <c r="M709" s="249"/>
      <c r="N709" s="225"/>
      <c r="O709" s="225"/>
      <c r="P709" s="225"/>
      <c r="Q709" s="250"/>
      <c r="R709" s="215" t="s">
        <v>27</v>
      </c>
      <c r="S709" s="215" t="s">
        <v>27</v>
      </c>
      <c r="T709" s="215" t="s">
        <v>27</v>
      </c>
      <c r="U709" s="225"/>
      <c r="V709" s="251"/>
      <c r="W709" s="377"/>
      <c r="X709" s="85"/>
      <c r="Y709" s="85"/>
      <c r="Z709" s="85"/>
      <c r="AA709" s="85"/>
      <c r="AB709" s="85"/>
      <c r="AC709" s="85"/>
    </row>
    <row r="710" spans="1:29" ht="15" customHeight="1">
      <c r="A710" s="85" t="s">
        <v>2272</v>
      </c>
      <c r="B710" s="87" t="s">
        <v>2007</v>
      </c>
      <c r="C710" s="80" t="s">
        <v>1440</v>
      </c>
      <c r="D710" s="85" t="s">
        <v>2290</v>
      </c>
      <c r="E710" s="245" t="s">
        <v>27</v>
      </c>
      <c r="F710" s="361" t="s">
        <v>317</v>
      </c>
      <c r="G710" s="259"/>
      <c r="H710" s="256"/>
      <c r="I710" s="271" t="s">
        <v>317</v>
      </c>
      <c r="J710" s="271" t="s">
        <v>317</v>
      </c>
      <c r="K710" s="271" t="s">
        <v>317</v>
      </c>
      <c r="L710" s="248"/>
      <c r="M710" s="249"/>
      <c r="N710" s="225"/>
      <c r="O710" s="225"/>
      <c r="P710" s="225"/>
      <c r="Q710" s="250"/>
      <c r="R710" s="215" t="s">
        <v>27</v>
      </c>
      <c r="S710" s="215" t="s">
        <v>27</v>
      </c>
      <c r="T710" s="215" t="s">
        <v>27</v>
      </c>
      <c r="U710" s="225"/>
      <c r="V710" s="251"/>
      <c r="W710" s="377"/>
      <c r="X710" s="85"/>
      <c r="Y710" s="85"/>
      <c r="Z710" s="85"/>
      <c r="AA710" s="85"/>
      <c r="AB710" s="85"/>
      <c r="AC710" s="85"/>
    </row>
    <row r="711" spans="1:29" ht="15" customHeight="1">
      <c r="A711" s="85" t="s">
        <v>2272</v>
      </c>
      <c r="B711" s="87" t="s">
        <v>2007</v>
      </c>
      <c r="C711" s="80" t="s">
        <v>2291</v>
      </c>
      <c r="D711" s="85" t="s">
        <v>2292</v>
      </c>
      <c r="E711" s="245" t="s">
        <v>27</v>
      </c>
      <c r="F711" s="361" t="s">
        <v>317</v>
      </c>
      <c r="G711" s="259"/>
      <c r="H711" s="256"/>
      <c r="I711" s="271" t="s">
        <v>317</v>
      </c>
      <c r="J711" s="271" t="s">
        <v>317</v>
      </c>
      <c r="K711" s="271" t="s">
        <v>317</v>
      </c>
      <c r="L711" s="248"/>
      <c r="M711" s="249"/>
      <c r="N711" s="225"/>
      <c r="O711" s="225"/>
      <c r="P711" s="225"/>
      <c r="Q711" s="250"/>
      <c r="R711" s="215" t="s">
        <v>27</v>
      </c>
      <c r="S711" s="215" t="s">
        <v>27</v>
      </c>
      <c r="T711" s="215" t="s">
        <v>27</v>
      </c>
      <c r="U711" s="225"/>
      <c r="V711" s="251"/>
      <c r="W711" s="377"/>
      <c r="X711" s="85"/>
      <c r="Y711" s="85"/>
      <c r="Z711" s="85"/>
      <c r="AA711" s="85"/>
      <c r="AB711" s="85"/>
      <c r="AC711" s="85"/>
    </row>
    <row r="712" spans="1:29" ht="15" customHeight="1">
      <c r="A712" s="85" t="s">
        <v>2272</v>
      </c>
      <c r="B712" s="87" t="s">
        <v>2007</v>
      </c>
      <c r="C712" s="80" t="s">
        <v>2293</v>
      </c>
      <c r="D712" s="85" t="s">
        <v>2294</v>
      </c>
      <c r="E712" s="245" t="s">
        <v>27</v>
      </c>
      <c r="F712" s="361" t="s">
        <v>317</v>
      </c>
      <c r="G712" s="259"/>
      <c r="H712" s="256"/>
      <c r="I712" s="271" t="s">
        <v>317</v>
      </c>
      <c r="J712" s="271" t="s">
        <v>317</v>
      </c>
      <c r="K712" s="271" t="s">
        <v>317</v>
      </c>
      <c r="L712" s="248"/>
      <c r="M712" s="249"/>
      <c r="N712" s="225"/>
      <c r="O712" s="225"/>
      <c r="P712" s="225"/>
      <c r="Q712" s="250"/>
      <c r="R712" s="215" t="s">
        <v>27</v>
      </c>
      <c r="S712" s="215" t="s">
        <v>27</v>
      </c>
      <c r="T712" s="215" t="s">
        <v>27</v>
      </c>
      <c r="U712" s="225"/>
      <c r="V712" s="251"/>
      <c r="W712" s="377"/>
      <c r="X712" s="85"/>
      <c r="Y712" s="85"/>
      <c r="Z712" s="85"/>
      <c r="AA712" s="85"/>
      <c r="AB712" s="85"/>
      <c r="AC712" s="85"/>
    </row>
    <row r="713" spans="1:29" ht="15" customHeight="1">
      <c r="A713" s="85" t="s">
        <v>2295</v>
      </c>
      <c r="B713" s="87" t="s">
        <v>2007</v>
      </c>
      <c r="C713" s="80" t="s">
        <v>2017</v>
      </c>
      <c r="D713" s="85" t="s">
        <v>2296</v>
      </c>
      <c r="E713" s="245" t="s">
        <v>27</v>
      </c>
      <c r="F713" s="361" t="s">
        <v>317</v>
      </c>
      <c r="G713" s="259"/>
      <c r="H713" s="256"/>
      <c r="I713" s="271" t="s">
        <v>317</v>
      </c>
      <c r="J713" s="271" t="s">
        <v>317</v>
      </c>
      <c r="K713" s="271" t="s">
        <v>317</v>
      </c>
      <c r="L713" s="248"/>
      <c r="M713" s="249"/>
      <c r="N713" s="225"/>
      <c r="O713" s="225"/>
      <c r="P713" s="225"/>
      <c r="Q713" s="250"/>
      <c r="R713" s="215" t="s">
        <v>27</v>
      </c>
      <c r="S713" s="215" t="s">
        <v>27</v>
      </c>
      <c r="T713" s="215" t="s">
        <v>27</v>
      </c>
      <c r="U713" s="225"/>
      <c r="V713" s="251"/>
      <c r="W713" s="377"/>
      <c r="X713" s="85"/>
      <c r="Y713" s="85"/>
      <c r="Z713" s="85"/>
      <c r="AA713" s="85"/>
      <c r="AB713" s="85"/>
      <c r="AC713" s="85"/>
    </row>
    <row r="714" spans="1:29" ht="15" customHeight="1">
      <c r="A714" s="85" t="s">
        <v>2295</v>
      </c>
      <c r="B714" s="87" t="s">
        <v>2007</v>
      </c>
      <c r="C714" s="80" t="s">
        <v>2019</v>
      </c>
      <c r="D714" s="85" t="s">
        <v>2297</v>
      </c>
      <c r="E714" s="245" t="s">
        <v>27</v>
      </c>
      <c r="F714" s="361" t="s">
        <v>317</v>
      </c>
      <c r="G714" s="259"/>
      <c r="H714" s="256"/>
      <c r="I714" s="271" t="s">
        <v>317</v>
      </c>
      <c r="J714" s="271" t="s">
        <v>317</v>
      </c>
      <c r="K714" s="271" t="s">
        <v>317</v>
      </c>
      <c r="L714" s="248"/>
      <c r="M714" s="249"/>
      <c r="N714" s="225"/>
      <c r="O714" s="225"/>
      <c r="P714" s="225"/>
      <c r="Q714" s="250"/>
      <c r="R714" s="215" t="s">
        <v>27</v>
      </c>
      <c r="S714" s="215" t="s">
        <v>27</v>
      </c>
      <c r="T714" s="215" t="s">
        <v>27</v>
      </c>
      <c r="U714" s="225"/>
      <c r="V714" s="251"/>
      <c r="W714" s="377"/>
      <c r="X714" s="85"/>
      <c r="Y714" s="85"/>
      <c r="Z714" s="85"/>
      <c r="AA714" s="85"/>
      <c r="AB714" s="85"/>
      <c r="AC714" s="85"/>
    </row>
    <row r="715" spans="1:29" ht="15" customHeight="1">
      <c r="A715" s="85" t="s">
        <v>2295</v>
      </c>
      <c r="B715" s="87" t="s">
        <v>2007</v>
      </c>
      <c r="C715" s="80" t="s">
        <v>2021</v>
      </c>
      <c r="D715" s="85" t="s">
        <v>2298</v>
      </c>
      <c r="E715" s="245" t="s">
        <v>27</v>
      </c>
      <c r="F715" s="361" t="s">
        <v>317</v>
      </c>
      <c r="G715" s="259"/>
      <c r="H715" s="256"/>
      <c r="I715" s="271" t="s">
        <v>317</v>
      </c>
      <c r="J715" s="271" t="s">
        <v>317</v>
      </c>
      <c r="K715" s="271" t="s">
        <v>317</v>
      </c>
      <c r="L715" s="248"/>
      <c r="M715" s="249"/>
      <c r="N715" s="225"/>
      <c r="O715" s="225"/>
      <c r="P715" s="225"/>
      <c r="Q715" s="250"/>
      <c r="R715" s="215" t="s">
        <v>27</v>
      </c>
      <c r="S715" s="215" t="s">
        <v>27</v>
      </c>
      <c r="T715" s="215" t="s">
        <v>27</v>
      </c>
      <c r="U715" s="225"/>
      <c r="V715" s="251"/>
      <c r="W715" s="377"/>
      <c r="X715" s="85"/>
      <c r="Y715" s="85"/>
      <c r="Z715" s="85"/>
      <c r="AA715" s="85"/>
      <c r="AB715" s="85"/>
      <c r="AC715" s="85"/>
    </row>
    <row r="716" spans="1:29" ht="15" customHeight="1">
      <c r="A716" s="85" t="s">
        <v>2295</v>
      </c>
      <c r="B716" s="87" t="s">
        <v>2007</v>
      </c>
      <c r="C716" s="80" t="s">
        <v>2023</v>
      </c>
      <c r="D716" s="85" t="s">
        <v>2299</v>
      </c>
      <c r="E716" s="245" t="s">
        <v>27</v>
      </c>
      <c r="F716" s="361" t="s">
        <v>317</v>
      </c>
      <c r="G716" s="259"/>
      <c r="H716" s="256"/>
      <c r="I716" s="271" t="s">
        <v>317</v>
      </c>
      <c r="J716" s="271" t="s">
        <v>317</v>
      </c>
      <c r="K716" s="271" t="s">
        <v>317</v>
      </c>
      <c r="L716" s="248"/>
      <c r="M716" s="249"/>
      <c r="N716" s="225"/>
      <c r="O716" s="225"/>
      <c r="P716" s="225"/>
      <c r="Q716" s="250"/>
      <c r="R716" s="215" t="s">
        <v>27</v>
      </c>
      <c r="S716" s="215" t="s">
        <v>27</v>
      </c>
      <c r="T716" s="215" t="s">
        <v>27</v>
      </c>
      <c r="U716" s="225"/>
      <c r="V716" s="251"/>
      <c r="W716" s="377"/>
      <c r="X716" s="85"/>
      <c r="Y716" s="85"/>
      <c r="Z716" s="85"/>
      <c r="AA716" s="85"/>
      <c r="AB716" s="85"/>
      <c r="AC716" s="85"/>
    </row>
    <row r="717" spans="1:29" ht="15" customHeight="1">
      <c r="A717" s="85" t="s">
        <v>2295</v>
      </c>
      <c r="B717" s="87" t="s">
        <v>2007</v>
      </c>
      <c r="C717" s="80" t="s">
        <v>2032</v>
      </c>
      <c r="D717" s="85" t="s">
        <v>2300</v>
      </c>
      <c r="E717" s="245" t="s">
        <v>27</v>
      </c>
      <c r="F717" s="361" t="s">
        <v>317</v>
      </c>
      <c r="G717" s="259"/>
      <c r="H717" s="256"/>
      <c r="I717" s="271" t="s">
        <v>317</v>
      </c>
      <c r="J717" s="271" t="s">
        <v>317</v>
      </c>
      <c r="K717" s="271" t="s">
        <v>317</v>
      </c>
      <c r="L717" s="248"/>
      <c r="M717" s="249"/>
      <c r="N717" s="225"/>
      <c r="O717" s="225"/>
      <c r="P717" s="225"/>
      <c r="Q717" s="250"/>
      <c r="R717" s="215" t="s">
        <v>27</v>
      </c>
      <c r="S717" s="215" t="s">
        <v>27</v>
      </c>
      <c r="T717" s="215" t="s">
        <v>27</v>
      </c>
      <c r="U717" s="225"/>
      <c r="V717" s="251"/>
      <c r="W717" s="377"/>
      <c r="X717" s="85"/>
      <c r="Y717" s="85"/>
      <c r="Z717" s="85"/>
      <c r="AA717" s="85"/>
      <c r="AB717" s="85"/>
      <c r="AC717" s="85"/>
    </row>
    <row r="718" spans="1:29" ht="15" customHeight="1">
      <c r="A718" s="85" t="s">
        <v>2301</v>
      </c>
      <c r="B718" s="87" t="s">
        <v>2007</v>
      </c>
      <c r="C718" s="80" t="s">
        <v>2037</v>
      </c>
      <c r="D718" s="85" t="s">
        <v>2302</v>
      </c>
      <c r="E718" s="245" t="s">
        <v>27</v>
      </c>
      <c r="F718" s="361" t="s">
        <v>317</v>
      </c>
      <c r="G718" s="259"/>
      <c r="H718" s="256"/>
      <c r="I718" s="271" t="s">
        <v>317</v>
      </c>
      <c r="J718" s="271" t="s">
        <v>317</v>
      </c>
      <c r="K718" s="271" t="s">
        <v>317</v>
      </c>
      <c r="L718" s="248"/>
      <c r="M718" s="249"/>
      <c r="N718" s="225"/>
      <c r="O718" s="225"/>
      <c r="P718" s="225"/>
      <c r="Q718" s="250"/>
      <c r="R718" s="215" t="s">
        <v>27</v>
      </c>
      <c r="S718" s="215" t="s">
        <v>27</v>
      </c>
      <c r="T718" s="215" t="s">
        <v>27</v>
      </c>
      <c r="U718" s="225"/>
      <c r="V718" s="251"/>
      <c r="W718" s="377"/>
      <c r="X718" s="85"/>
      <c r="Y718" s="85"/>
      <c r="Z718" s="85"/>
      <c r="AA718" s="85"/>
      <c r="AB718" s="85"/>
      <c r="AC718" s="85"/>
    </row>
    <row r="719" spans="1:29" ht="15" customHeight="1">
      <c r="A719" s="85" t="s">
        <v>2301</v>
      </c>
      <c r="B719" s="87" t="s">
        <v>2007</v>
      </c>
      <c r="C719" s="80" t="s">
        <v>2039</v>
      </c>
      <c r="D719" s="85" t="s">
        <v>2303</v>
      </c>
      <c r="E719" s="245" t="s">
        <v>27</v>
      </c>
      <c r="F719" s="361" t="s">
        <v>317</v>
      </c>
      <c r="G719" s="259"/>
      <c r="H719" s="256"/>
      <c r="I719" s="271" t="s">
        <v>317</v>
      </c>
      <c r="J719" s="271" t="s">
        <v>317</v>
      </c>
      <c r="K719" s="271" t="s">
        <v>317</v>
      </c>
      <c r="L719" s="248"/>
      <c r="M719" s="249"/>
      <c r="N719" s="225"/>
      <c r="O719" s="225"/>
      <c r="P719" s="225"/>
      <c r="Q719" s="250"/>
      <c r="R719" s="215" t="s">
        <v>27</v>
      </c>
      <c r="S719" s="215" t="s">
        <v>27</v>
      </c>
      <c r="T719" s="215" t="s">
        <v>27</v>
      </c>
      <c r="U719" s="225"/>
      <c r="V719" s="251"/>
      <c r="W719" s="377"/>
      <c r="X719" s="85"/>
      <c r="Y719" s="85"/>
      <c r="Z719" s="85"/>
      <c r="AA719" s="85"/>
      <c r="AB719" s="85"/>
      <c r="AC719" s="85"/>
    </row>
    <row r="720" spans="1:29" ht="15" customHeight="1">
      <c r="A720" s="85" t="s">
        <v>2301</v>
      </c>
      <c r="B720" s="87" t="s">
        <v>2007</v>
      </c>
      <c r="C720" s="80" t="s">
        <v>1388</v>
      </c>
      <c r="D720" s="85" t="s">
        <v>2304</v>
      </c>
      <c r="E720" s="245" t="s">
        <v>27</v>
      </c>
      <c r="F720" s="361" t="s">
        <v>317</v>
      </c>
      <c r="G720" s="259"/>
      <c r="H720" s="256"/>
      <c r="I720" s="271" t="s">
        <v>317</v>
      </c>
      <c r="J720" s="271" t="s">
        <v>317</v>
      </c>
      <c r="K720" s="271" t="s">
        <v>317</v>
      </c>
      <c r="L720" s="248"/>
      <c r="M720" s="249"/>
      <c r="N720" s="225"/>
      <c r="O720" s="225"/>
      <c r="P720" s="225"/>
      <c r="Q720" s="250"/>
      <c r="R720" s="215" t="s">
        <v>27</v>
      </c>
      <c r="S720" s="215" t="s">
        <v>27</v>
      </c>
      <c r="T720" s="215" t="s">
        <v>27</v>
      </c>
      <c r="U720" s="225"/>
      <c r="V720" s="251"/>
      <c r="W720" s="377"/>
      <c r="X720" s="85"/>
      <c r="Y720" s="85"/>
      <c r="Z720" s="85"/>
      <c r="AA720" s="85"/>
      <c r="AB720" s="85"/>
      <c r="AC720" s="85"/>
    </row>
    <row r="721" spans="1:29" ht="15" customHeight="1">
      <c r="A721" s="85" t="s">
        <v>2301</v>
      </c>
      <c r="B721" s="87" t="s">
        <v>2007</v>
      </c>
      <c r="C721" s="80" t="s">
        <v>2042</v>
      </c>
      <c r="D721" s="85" t="s">
        <v>2305</v>
      </c>
      <c r="E721" s="245" t="s">
        <v>27</v>
      </c>
      <c r="F721" s="361" t="s">
        <v>317</v>
      </c>
      <c r="G721" s="259"/>
      <c r="H721" s="256"/>
      <c r="I721" s="271" t="s">
        <v>317</v>
      </c>
      <c r="J721" s="271" t="s">
        <v>317</v>
      </c>
      <c r="K721" s="271" t="s">
        <v>317</v>
      </c>
      <c r="L721" s="248"/>
      <c r="M721" s="249"/>
      <c r="N721" s="225"/>
      <c r="O721" s="225"/>
      <c r="P721" s="225"/>
      <c r="Q721" s="250"/>
      <c r="R721" s="215" t="s">
        <v>27</v>
      </c>
      <c r="S721" s="215" t="s">
        <v>27</v>
      </c>
      <c r="T721" s="215" t="s">
        <v>27</v>
      </c>
      <c r="U721" s="225"/>
      <c r="V721" s="251"/>
      <c r="W721" s="377"/>
      <c r="X721" s="85"/>
      <c r="Y721" s="85"/>
      <c r="Z721" s="85"/>
      <c r="AA721" s="85"/>
      <c r="AB721" s="85"/>
      <c r="AC721" s="85"/>
    </row>
    <row r="722" spans="1:29" ht="15" customHeight="1">
      <c r="A722" s="85" t="s">
        <v>2306</v>
      </c>
      <c r="B722" s="87" t="s">
        <v>2007</v>
      </c>
      <c r="C722" s="80" t="s">
        <v>438</v>
      </c>
      <c r="D722" s="85" t="s">
        <v>2307</v>
      </c>
      <c r="E722" s="245" t="s">
        <v>27</v>
      </c>
      <c r="F722" s="361" t="s">
        <v>317</v>
      </c>
      <c r="G722" s="259"/>
      <c r="H722" s="256"/>
      <c r="I722" s="271" t="s">
        <v>317</v>
      </c>
      <c r="J722" s="271" t="s">
        <v>317</v>
      </c>
      <c r="K722" s="271" t="s">
        <v>317</v>
      </c>
      <c r="L722" s="248"/>
      <c r="M722" s="249"/>
      <c r="N722" s="225"/>
      <c r="O722" s="225"/>
      <c r="P722" s="225"/>
      <c r="Q722" s="250"/>
      <c r="R722" s="215" t="s">
        <v>27</v>
      </c>
      <c r="S722" s="215" t="s">
        <v>27</v>
      </c>
      <c r="T722" s="215" t="s">
        <v>27</v>
      </c>
      <c r="U722" s="225"/>
      <c r="V722" s="251"/>
      <c r="W722" s="377"/>
      <c r="X722" s="85"/>
      <c r="Y722" s="85"/>
      <c r="Z722" s="85"/>
      <c r="AA722" s="85"/>
      <c r="AB722" s="85"/>
      <c r="AC722" s="85"/>
    </row>
    <row r="723" spans="1:29" ht="15" customHeight="1">
      <c r="A723" s="85" t="s">
        <v>2306</v>
      </c>
      <c r="B723" s="87" t="s">
        <v>2007</v>
      </c>
      <c r="C723" s="80" t="s">
        <v>1388</v>
      </c>
      <c r="D723" s="85" t="s">
        <v>2308</v>
      </c>
      <c r="E723" s="245" t="s">
        <v>27</v>
      </c>
      <c r="F723" s="361" t="s">
        <v>317</v>
      </c>
      <c r="G723" s="259"/>
      <c r="H723" s="256"/>
      <c r="I723" s="271" t="s">
        <v>317</v>
      </c>
      <c r="J723" s="271" t="s">
        <v>317</v>
      </c>
      <c r="K723" s="271" t="s">
        <v>317</v>
      </c>
      <c r="L723" s="248"/>
      <c r="M723" s="249"/>
      <c r="N723" s="225"/>
      <c r="O723" s="225"/>
      <c r="P723" s="225"/>
      <c r="Q723" s="250"/>
      <c r="R723" s="215" t="s">
        <v>27</v>
      </c>
      <c r="S723" s="215" t="s">
        <v>27</v>
      </c>
      <c r="T723" s="215" t="s">
        <v>27</v>
      </c>
      <c r="U723" s="225"/>
      <c r="V723" s="251"/>
      <c r="W723" s="377"/>
      <c r="X723" s="85"/>
      <c r="Y723" s="85"/>
      <c r="Z723" s="85"/>
      <c r="AA723" s="85"/>
      <c r="AB723" s="85"/>
      <c r="AC723" s="85"/>
    </row>
    <row r="724" spans="1:29" ht="15" customHeight="1">
      <c r="A724" s="85" t="s">
        <v>2306</v>
      </c>
      <c r="B724" s="87" t="s">
        <v>2007</v>
      </c>
      <c r="C724" s="80" t="s">
        <v>2042</v>
      </c>
      <c r="D724" s="85" t="s">
        <v>2309</v>
      </c>
      <c r="E724" s="245" t="s">
        <v>27</v>
      </c>
      <c r="F724" s="361" t="s">
        <v>317</v>
      </c>
      <c r="G724" s="259"/>
      <c r="H724" s="256"/>
      <c r="I724" s="271" t="s">
        <v>317</v>
      </c>
      <c r="J724" s="271" t="s">
        <v>317</v>
      </c>
      <c r="K724" s="271" t="s">
        <v>317</v>
      </c>
      <c r="L724" s="248"/>
      <c r="M724" s="249"/>
      <c r="N724" s="225"/>
      <c r="O724" s="225"/>
      <c r="P724" s="225"/>
      <c r="Q724" s="250"/>
      <c r="R724" s="215" t="s">
        <v>27</v>
      </c>
      <c r="S724" s="215" t="s">
        <v>27</v>
      </c>
      <c r="T724" s="215" t="s">
        <v>27</v>
      </c>
      <c r="U724" s="225"/>
      <c r="V724" s="251"/>
      <c r="W724" s="377"/>
      <c r="X724" s="85"/>
      <c r="Y724" s="85"/>
      <c r="Z724" s="85"/>
      <c r="AA724" s="85"/>
      <c r="AB724" s="85"/>
      <c r="AC724" s="85"/>
    </row>
    <row r="725" spans="1:29" ht="15" customHeight="1">
      <c r="A725" s="85" t="s">
        <v>2306</v>
      </c>
      <c r="B725" s="87" t="s">
        <v>2007</v>
      </c>
      <c r="C725" s="80" t="s">
        <v>1411</v>
      </c>
      <c r="D725" s="85" t="s">
        <v>2310</v>
      </c>
      <c r="E725" s="245" t="s">
        <v>27</v>
      </c>
      <c r="F725" s="361" t="s">
        <v>317</v>
      </c>
      <c r="G725" s="259"/>
      <c r="H725" s="256"/>
      <c r="I725" s="271" t="s">
        <v>317</v>
      </c>
      <c r="J725" s="271" t="s">
        <v>317</v>
      </c>
      <c r="K725" s="271" t="s">
        <v>317</v>
      </c>
      <c r="L725" s="248"/>
      <c r="M725" s="249"/>
      <c r="N725" s="225"/>
      <c r="O725" s="225"/>
      <c r="P725" s="225"/>
      <c r="Q725" s="250"/>
      <c r="R725" s="215" t="s">
        <v>27</v>
      </c>
      <c r="S725" s="215" t="s">
        <v>27</v>
      </c>
      <c r="T725" s="215" t="s">
        <v>27</v>
      </c>
      <c r="U725" s="225"/>
      <c r="V725" s="251"/>
      <c r="W725" s="377"/>
      <c r="X725" s="85"/>
      <c r="Y725" s="85"/>
      <c r="Z725" s="85"/>
      <c r="AA725" s="85"/>
      <c r="AB725" s="85"/>
      <c r="AC725" s="85"/>
    </row>
    <row r="726" spans="1:29" ht="15" customHeight="1">
      <c r="A726" s="85" t="s">
        <v>2306</v>
      </c>
      <c r="B726" s="87" t="s">
        <v>2007</v>
      </c>
      <c r="C726" s="80" t="s">
        <v>1407</v>
      </c>
      <c r="D726" s="85" t="s">
        <v>2311</v>
      </c>
      <c r="E726" s="245" t="s">
        <v>27</v>
      </c>
      <c r="F726" s="361" t="s">
        <v>317</v>
      </c>
      <c r="G726" s="259"/>
      <c r="H726" s="256"/>
      <c r="I726" s="271" t="s">
        <v>317</v>
      </c>
      <c r="J726" s="271" t="s">
        <v>317</v>
      </c>
      <c r="K726" s="271" t="s">
        <v>317</v>
      </c>
      <c r="L726" s="248"/>
      <c r="M726" s="249"/>
      <c r="N726" s="225"/>
      <c r="O726" s="225"/>
      <c r="P726" s="225"/>
      <c r="Q726" s="250"/>
      <c r="R726" s="215" t="s">
        <v>27</v>
      </c>
      <c r="S726" s="215" t="s">
        <v>27</v>
      </c>
      <c r="T726" s="215" t="s">
        <v>27</v>
      </c>
      <c r="U726" s="225"/>
      <c r="V726" s="251"/>
      <c r="W726" s="377"/>
      <c r="X726" s="85"/>
      <c r="Y726" s="85"/>
      <c r="Z726" s="85"/>
      <c r="AA726" s="85"/>
      <c r="AB726" s="85"/>
      <c r="AC726" s="85"/>
    </row>
    <row r="727" spans="1:29" ht="15" customHeight="1">
      <c r="A727" s="85" t="s">
        <v>2306</v>
      </c>
      <c r="B727" s="87" t="s">
        <v>2007</v>
      </c>
      <c r="C727" s="80" t="s">
        <v>1140</v>
      </c>
      <c r="D727" s="85" t="s">
        <v>2312</v>
      </c>
      <c r="E727" s="245" t="s">
        <v>27</v>
      </c>
      <c r="F727" s="361" t="s">
        <v>317</v>
      </c>
      <c r="G727" s="259"/>
      <c r="H727" s="256"/>
      <c r="I727" s="271" t="s">
        <v>317</v>
      </c>
      <c r="J727" s="271" t="s">
        <v>317</v>
      </c>
      <c r="K727" s="271" t="s">
        <v>317</v>
      </c>
      <c r="L727" s="248"/>
      <c r="M727" s="249"/>
      <c r="N727" s="225"/>
      <c r="O727" s="225"/>
      <c r="P727" s="225"/>
      <c r="Q727" s="250"/>
      <c r="R727" s="215" t="s">
        <v>27</v>
      </c>
      <c r="S727" s="215" t="s">
        <v>27</v>
      </c>
      <c r="T727" s="215" t="s">
        <v>27</v>
      </c>
      <c r="U727" s="225"/>
      <c r="V727" s="251"/>
      <c r="W727" s="377"/>
      <c r="X727" s="85"/>
      <c r="Y727" s="85"/>
      <c r="Z727" s="85"/>
      <c r="AA727" s="85"/>
      <c r="AB727" s="85"/>
      <c r="AC727" s="85"/>
    </row>
    <row r="728" spans="1:29" ht="15" customHeight="1">
      <c r="A728" s="85" t="s">
        <v>2306</v>
      </c>
      <c r="B728" s="87" t="s">
        <v>2007</v>
      </c>
      <c r="C728" s="80" t="s">
        <v>1138</v>
      </c>
      <c r="D728" s="85" t="s">
        <v>2313</v>
      </c>
      <c r="E728" s="245" t="s">
        <v>27</v>
      </c>
      <c r="F728" s="361" t="s">
        <v>317</v>
      </c>
      <c r="G728" s="259"/>
      <c r="H728" s="256"/>
      <c r="I728" s="271" t="s">
        <v>317</v>
      </c>
      <c r="J728" s="271" t="s">
        <v>317</v>
      </c>
      <c r="K728" s="271" t="s">
        <v>317</v>
      </c>
      <c r="L728" s="248"/>
      <c r="M728" s="249"/>
      <c r="N728" s="225"/>
      <c r="O728" s="225"/>
      <c r="P728" s="225"/>
      <c r="Q728" s="250"/>
      <c r="R728" s="215" t="s">
        <v>27</v>
      </c>
      <c r="S728" s="215" t="s">
        <v>27</v>
      </c>
      <c r="T728" s="215" t="s">
        <v>27</v>
      </c>
      <c r="U728" s="225"/>
      <c r="V728" s="251"/>
      <c r="W728" s="377"/>
      <c r="X728" s="85"/>
      <c r="Y728" s="85"/>
      <c r="Z728" s="85"/>
      <c r="AA728" s="85"/>
      <c r="AB728" s="85"/>
      <c r="AC728" s="85"/>
    </row>
    <row r="729" spans="1:29" ht="15" customHeight="1">
      <c r="A729" s="85" t="s">
        <v>2306</v>
      </c>
      <c r="B729" s="87" t="s">
        <v>2007</v>
      </c>
      <c r="C729" s="80" t="s">
        <v>1421</v>
      </c>
      <c r="D729" s="85" t="s">
        <v>2314</v>
      </c>
      <c r="E729" s="245" t="s">
        <v>27</v>
      </c>
      <c r="F729" s="361" t="s">
        <v>317</v>
      </c>
      <c r="G729" s="259"/>
      <c r="H729" s="256"/>
      <c r="I729" s="271" t="s">
        <v>317</v>
      </c>
      <c r="J729" s="271" t="s">
        <v>317</v>
      </c>
      <c r="K729" s="271" t="s">
        <v>317</v>
      </c>
      <c r="L729" s="248"/>
      <c r="M729" s="249"/>
      <c r="N729" s="225"/>
      <c r="O729" s="225"/>
      <c r="P729" s="225"/>
      <c r="Q729" s="250"/>
      <c r="R729" s="215" t="s">
        <v>27</v>
      </c>
      <c r="S729" s="215" t="s">
        <v>27</v>
      </c>
      <c r="T729" s="215" t="s">
        <v>27</v>
      </c>
      <c r="U729" s="225"/>
      <c r="V729" s="251"/>
      <c r="W729" s="377"/>
      <c r="X729" s="85"/>
      <c r="Y729" s="85"/>
      <c r="Z729" s="85"/>
      <c r="AA729" s="85"/>
      <c r="AB729" s="85"/>
      <c r="AC729" s="85"/>
    </row>
    <row r="730" spans="1:29" ht="15" customHeight="1">
      <c r="A730" s="85" t="s">
        <v>2306</v>
      </c>
      <c r="B730" s="87" t="s">
        <v>2007</v>
      </c>
      <c r="C730" s="80" t="s">
        <v>530</v>
      </c>
      <c r="D730" s="85" t="s">
        <v>2315</v>
      </c>
      <c r="E730" s="245" t="s">
        <v>27</v>
      </c>
      <c r="F730" s="361" t="s">
        <v>317</v>
      </c>
      <c r="G730" s="259"/>
      <c r="H730" s="256"/>
      <c r="I730" s="271" t="s">
        <v>317</v>
      </c>
      <c r="J730" s="271" t="s">
        <v>317</v>
      </c>
      <c r="K730" s="271" t="s">
        <v>317</v>
      </c>
      <c r="L730" s="248"/>
      <c r="M730" s="249"/>
      <c r="N730" s="225"/>
      <c r="O730" s="225"/>
      <c r="P730" s="225"/>
      <c r="Q730" s="250"/>
      <c r="R730" s="215" t="s">
        <v>27</v>
      </c>
      <c r="S730" s="215" t="s">
        <v>27</v>
      </c>
      <c r="T730" s="215" t="s">
        <v>27</v>
      </c>
      <c r="U730" s="225"/>
      <c r="V730" s="251"/>
      <c r="W730" s="377"/>
      <c r="X730" s="85"/>
      <c r="Y730" s="85"/>
      <c r="Z730" s="85"/>
      <c r="AA730" s="85"/>
      <c r="AB730" s="85"/>
      <c r="AC730" s="85"/>
    </row>
    <row r="731" spans="1:29" ht="15" customHeight="1">
      <c r="A731" s="85" t="s">
        <v>2306</v>
      </c>
      <c r="B731" s="87" t="s">
        <v>2007</v>
      </c>
      <c r="C731" s="80" t="s">
        <v>2101</v>
      </c>
      <c r="D731" s="85" t="s">
        <v>2316</v>
      </c>
      <c r="E731" s="245" t="s">
        <v>27</v>
      </c>
      <c r="F731" s="361" t="s">
        <v>317</v>
      </c>
      <c r="G731" s="259"/>
      <c r="H731" s="256"/>
      <c r="I731" s="271" t="s">
        <v>317</v>
      </c>
      <c r="J731" s="271" t="s">
        <v>317</v>
      </c>
      <c r="K731" s="271" t="s">
        <v>317</v>
      </c>
      <c r="L731" s="248"/>
      <c r="M731" s="249"/>
      <c r="N731" s="225"/>
      <c r="O731" s="225"/>
      <c r="P731" s="225"/>
      <c r="Q731" s="250"/>
      <c r="R731" s="215" t="s">
        <v>27</v>
      </c>
      <c r="S731" s="215" t="s">
        <v>27</v>
      </c>
      <c r="T731" s="215" t="s">
        <v>27</v>
      </c>
      <c r="U731" s="225"/>
      <c r="V731" s="251"/>
      <c r="W731" s="377"/>
      <c r="X731" s="85"/>
      <c r="Y731" s="85"/>
      <c r="Z731" s="85"/>
      <c r="AA731" s="85"/>
      <c r="AB731" s="85"/>
      <c r="AC731" s="85"/>
    </row>
    <row r="732" spans="1:29" ht="15" customHeight="1">
      <c r="A732" s="85" t="s">
        <v>2306</v>
      </c>
      <c r="B732" s="87" t="s">
        <v>2007</v>
      </c>
      <c r="C732" s="80" t="s">
        <v>2103</v>
      </c>
      <c r="D732" s="85" t="s">
        <v>2317</v>
      </c>
      <c r="E732" s="245" t="s">
        <v>27</v>
      </c>
      <c r="F732" s="361" t="s">
        <v>317</v>
      </c>
      <c r="G732" s="259"/>
      <c r="H732" s="256"/>
      <c r="I732" s="271" t="s">
        <v>317</v>
      </c>
      <c r="J732" s="271" t="s">
        <v>317</v>
      </c>
      <c r="K732" s="271" t="s">
        <v>317</v>
      </c>
      <c r="L732" s="248"/>
      <c r="M732" s="249"/>
      <c r="N732" s="225"/>
      <c r="O732" s="225"/>
      <c r="P732" s="225"/>
      <c r="Q732" s="250"/>
      <c r="R732" s="215" t="s">
        <v>27</v>
      </c>
      <c r="S732" s="215" t="s">
        <v>27</v>
      </c>
      <c r="T732" s="215" t="s">
        <v>27</v>
      </c>
      <c r="U732" s="225"/>
      <c r="V732" s="251"/>
      <c r="W732" s="377"/>
      <c r="X732" s="85"/>
      <c r="Y732" s="85"/>
      <c r="Z732" s="85"/>
      <c r="AA732" s="85"/>
      <c r="AB732" s="85"/>
      <c r="AC732" s="85"/>
    </row>
    <row r="733" spans="1:29" ht="15" customHeight="1">
      <c r="A733" s="85" t="s">
        <v>2306</v>
      </c>
      <c r="B733" s="87" t="s">
        <v>2007</v>
      </c>
      <c r="C733" s="80" t="s">
        <v>426</v>
      </c>
      <c r="D733" s="85" t="s">
        <v>2318</v>
      </c>
      <c r="E733" s="245" t="s">
        <v>27</v>
      </c>
      <c r="F733" s="361" t="s">
        <v>317</v>
      </c>
      <c r="G733" s="259"/>
      <c r="H733" s="256"/>
      <c r="I733" s="271" t="s">
        <v>317</v>
      </c>
      <c r="J733" s="271" t="s">
        <v>317</v>
      </c>
      <c r="K733" s="271" t="s">
        <v>317</v>
      </c>
      <c r="L733" s="248"/>
      <c r="M733" s="249"/>
      <c r="N733" s="225"/>
      <c r="O733" s="225"/>
      <c r="P733" s="225"/>
      <c r="Q733" s="250"/>
      <c r="R733" s="215" t="s">
        <v>27</v>
      </c>
      <c r="S733" s="215" t="s">
        <v>27</v>
      </c>
      <c r="T733" s="215" t="s">
        <v>27</v>
      </c>
      <c r="U733" s="225"/>
      <c r="V733" s="251"/>
      <c r="W733" s="377"/>
      <c r="X733" s="85"/>
      <c r="Y733" s="85"/>
      <c r="Z733" s="85"/>
      <c r="AA733" s="85"/>
      <c r="AB733" s="85"/>
      <c r="AC733" s="85"/>
    </row>
    <row r="734" spans="1:29" ht="15" customHeight="1">
      <c r="A734" s="85" t="s">
        <v>2306</v>
      </c>
      <c r="B734" s="87" t="s">
        <v>2007</v>
      </c>
      <c r="C734" s="80" t="s">
        <v>430</v>
      </c>
      <c r="D734" s="85" t="s">
        <v>2319</v>
      </c>
      <c r="E734" s="245" t="s">
        <v>27</v>
      </c>
      <c r="F734" s="361" t="s">
        <v>317</v>
      </c>
      <c r="G734" s="259"/>
      <c r="H734" s="256"/>
      <c r="I734" s="271" t="s">
        <v>317</v>
      </c>
      <c r="J734" s="271" t="s">
        <v>317</v>
      </c>
      <c r="K734" s="271" t="s">
        <v>317</v>
      </c>
      <c r="L734" s="248"/>
      <c r="M734" s="249"/>
      <c r="N734" s="225"/>
      <c r="O734" s="225"/>
      <c r="P734" s="225"/>
      <c r="Q734" s="250"/>
      <c r="R734" s="215" t="s">
        <v>27</v>
      </c>
      <c r="S734" s="215" t="s">
        <v>27</v>
      </c>
      <c r="T734" s="215" t="s">
        <v>27</v>
      </c>
      <c r="U734" s="225"/>
      <c r="V734" s="251"/>
      <c r="W734" s="377"/>
      <c r="X734" s="85"/>
      <c r="Y734" s="85"/>
      <c r="Z734" s="85"/>
      <c r="AA734" s="85"/>
      <c r="AB734" s="85"/>
      <c r="AC734" s="85"/>
    </row>
    <row r="735" spans="1:29" ht="15" customHeight="1">
      <c r="A735" s="85" t="s">
        <v>2306</v>
      </c>
      <c r="B735" s="87" t="s">
        <v>2007</v>
      </c>
      <c r="C735" s="80" t="s">
        <v>2107</v>
      </c>
      <c r="D735" s="85" t="s">
        <v>2320</v>
      </c>
      <c r="E735" s="245" t="s">
        <v>27</v>
      </c>
      <c r="F735" s="361" t="s">
        <v>317</v>
      </c>
      <c r="G735" s="259"/>
      <c r="H735" s="256"/>
      <c r="I735" s="271" t="s">
        <v>317</v>
      </c>
      <c r="J735" s="271" t="s">
        <v>317</v>
      </c>
      <c r="K735" s="271" t="s">
        <v>317</v>
      </c>
      <c r="L735" s="248"/>
      <c r="M735" s="249"/>
      <c r="N735" s="225"/>
      <c r="O735" s="225"/>
      <c r="P735" s="225"/>
      <c r="Q735" s="250"/>
      <c r="R735" s="215" t="s">
        <v>27</v>
      </c>
      <c r="S735" s="215" t="s">
        <v>27</v>
      </c>
      <c r="T735" s="215" t="s">
        <v>27</v>
      </c>
      <c r="U735" s="225"/>
      <c r="V735" s="251"/>
      <c r="W735" s="377"/>
      <c r="X735" s="85"/>
      <c r="Y735" s="85"/>
      <c r="Z735" s="85"/>
      <c r="AA735" s="85"/>
      <c r="AB735" s="85"/>
      <c r="AC735" s="85"/>
    </row>
    <row r="736" spans="1:29" ht="15" customHeight="1">
      <c r="A736" s="85" t="s">
        <v>2306</v>
      </c>
      <c r="B736" s="87" t="s">
        <v>2007</v>
      </c>
      <c r="C736" s="80" t="s">
        <v>2109</v>
      </c>
      <c r="D736" s="85" t="s">
        <v>2321</v>
      </c>
      <c r="E736" s="245" t="s">
        <v>27</v>
      </c>
      <c r="F736" s="361" t="s">
        <v>317</v>
      </c>
      <c r="G736" s="259"/>
      <c r="H736" s="256"/>
      <c r="I736" s="271" t="s">
        <v>317</v>
      </c>
      <c r="J736" s="271" t="s">
        <v>317</v>
      </c>
      <c r="K736" s="271" t="s">
        <v>317</v>
      </c>
      <c r="L736" s="248"/>
      <c r="M736" s="249"/>
      <c r="N736" s="225"/>
      <c r="O736" s="225"/>
      <c r="P736" s="225"/>
      <c r="Q736" s="250"/>
      <c r="R736" s="215" t="s">
        <v>27</v>
      </c>
      <c r="S736" s="215" t="s">
        <v>27</v>
      </c>
      <c r="T736" s="215" t="s">
        <v>27</v>
      </c>
      <c r="U736" s="225"/>
      <c r="V736" s="251"/>
      <c r="W736" s="377"/>
      <c r="X736" s="85"/>
      <c r="Y736" s="85"/>
      <c r="Z736" s="85"/>
      <c r="AA736" s="85"/>
      <c r="AB736" s="85"/>
      <c r="AC736" s="85"/>
    </row>
    <row r="737" spans="1:29" ht="15" customHeight="1">
      <c r="A737" s="85" t="s">
        <v>2322</v>
      </c>
      <c r="B737" s="87" t="s">
        <v>2007</v>
      </c>
      <c r="C737" s="80" t="s">
        <v>2235</v>
      </c>
      <c r="D737" s="85" t="s">
        <v>2323</v>
      </c>
      <c r="E737" s="245" t="s">
        <v>27</v>
      </c>
      <c r="F737" s="361" t="s">
        <v>317</v>
      </c>
      <c r="G737" s="259"/>
      <c r="H737" s="256"/>
      <c r="I737" s="271" t="s">
        <v>317</v>
      </c>
      <c r="J737" s="271" t="s">
        <v>317</v>
      </c>
      <c r="K737" s="271" t="s">
        <v>317</v>
      </c>
      <c r="L737" s="248"/>
      <c r="M737" s="249"/>
      <c r="N737" s="225"/>
      <c r="O737" s="225"/>
      <c r="P737" s="225"/>
      <c r="Q737" s="250"/>
      <c r="R737" s="215" t="s">
        <v>27</v>
      </c>
      <c r="S737" s="215" t="s">
        <v>27</v>
      </c>
      <c r="T737" s="215" t="s">
        <v>27</v>
      </c>
      <c r="U737" s="225"/>
      <c r="V737" s="251"/>
      <c r="W737" s="377"/>
      <c r="X737" s="85"/>
      <c r="Y737" s="85"/>
      <c r="Z737" s="85"/>
      <c r="AA737" s="85"/>
      <c r="AB737" s="85"/>
      <c r="AC737" s="85"/>
    </row>
    <row r="738" spans="1:29" ht="15" customHeight="1">
      <c r="A738" s="85" t="s">
        <v>2322</v>
      </c>
      <c r="B738" s="87" t="s">
        <v>2007</v>
      </c>
      <c r="C738" s="80" t="s">
        <v>1388</v>
      </c>
      <c r="D738" s="85" t="s">
        <v>2324</v>
      </c>
      <c r="E738" s="245" t="s">
        <v>27</v>
      </c>
      <c r="F738" s="361" t="s">
        <v>317</v>
      </c>
      <c r="G738" s="259"/>
      <c r="H738" s="256"/>
      <c r="I738" s="271" t="s">
        <v>317</v>
      </c>
      <c r="J738" s="271" t="s">
        <v>317</v>
      </c>
      <c r="K738" s="271" t="s">
        <v>317</v>
      </c>
      <c r="L738" s="248"/>
      <c r="M738" s="249"/>
      <c r="N738" s="225"/>
      <c r="O738" s="225"/>
      <c r="P738" s="225"/>
      <c r="Q738" s="250"/>
      <c r="R738" s="215" t="s">
        <v>27</v>
      </c>
      <c r="S738" s="215" t="s">
        <v>27</v>
      </c>
      <c r="T738" s="215" t="s">
        <v>27</v>
      </c>
      <c r="U738" s="225"/>
      <c r="V738" s="251"/>
      <c r="W738" s="377"/>
      <c r="X738" s="85"/>
      <c r="Y738" s="85"/>
      <c r="Z738" s="85"/>
      <c r="AA738" s="85"/>
      <c r="AB738" s="85"/>
      <c r="AC738" s="85"/>
    </row>
    <row r="739" spans="1:29" ht="15" customHeight="1">
      <c r="A739" s="85" t="s">
        <v>2322</v>
      </c>
      <c r="B739" s="87" t="s">
        <v>2007</v>
      </c>
      <c r="C739" s="80" t="s">
        <v>2325</v>
      </c>
      <c r="D739" s="85" t="s">
        <v>2326</v>
      </c>
      <c r="E739" s="245" t="s">
        <v>27</v>
      </c>
      <c r="F739" s="361" t="s">
        <v>317</v>
      </c>
      <c r="G739" s="259"/>
      <c r="H739" s="256"/>
      <c r="I739" s="271" t="s">
        <v>317</v>
      </c>
      <c r="J739" s="271" t="s">
        <v>317</v>
      </c>
      <c r="K739" s="271" t="s">
        <v>317</v>
      </c>
      <c r="L739" s="248"/>
      <c r="M739" s="249"/>
      <c r="N739" s="225"/>
      <c r="O739" s="225"/>
      <c r="P739" s="225"/>
      <c r="Q739" s="250"/>
      <c r="R739" s="215" t="s">
        <v>27</v>
      </c>
      <c r="S739" s="215" t="s">
        <v>27</v>
      </c>
      <c r="T739" s="215" t="s">
        <v>27</v>
      </c>
      <c r="U739" s="225"/>
      <c r="V739" s="251"/>
      <c r="W739" s="377"/>
      <c r="X739" s="85"/>
      <c r="Y739" s="85"/>
      <c r="Z739" s="85"/>
      <c r="AA739" s="85"/>
      <c r="AB739" s="85"/>
      <c r="AC739" s="85"/>
    </row>
    <row r="740" spans="1:29" ht="15" customHeight="1">
      <c r="A740" s="85" t="s">
        <v>2327</v>
      </c>
      <c r="B740" s="87" t="s">
        <v>2007</v>
      </c>
      <c r="C740" s="80" t="s">
        <v>2017</v>
      </c>
      <c r="D740" s="85" t="s">
        <v>2328</v>
      </c>
      <c r="E740" s="245" t="s">
        <v>27</v>
      </c>
      <c r="F740" s="361" t="s">
        <v>317</v>
      </c>
      <c r="G740" s="259"/>
      <c r="H740" s="256"/>
      <c r="I740" s="271" t="s">
        <v>317</v>
      </c>
      <c r="J740" s="271" t="s">
        <v>317</v>
      </c>
      <c r="K740" s="271" t="s">
        <v>317</v>
      </c>
      <c r="L740" s="248"/>
      <c r="M740" s="249"/>
      <c r="N740" s="225"/>
      <c r="O740" s="225"/>
      <c r="P740" s="225"/>
      <c r="Q740" s="250"/>
      <c r="R740" s="215" t="s">
        <v>27</v>
      </c>
      <c r="S740" s="215" t="s">
        <v>27</v>
      </c>
      <c r="T740" s="215" t="s">
        <v>27</v>
      </c>
      <c r="U740" s="225"/>
      <c r="V740" s="251"/>
      <c r="W740" s="377"/>
      <c r="X740" s="85"/>
      <c r="Y740" s="85"/>
      <c r="Z740" s="85"/>
      <c r="AA740" s="85"/>
      <c r="AB740" s="85"/>
      <c r="AC740" s="85"/>
    </row>
    <row r="741" spans="1:29" ht="15" customHeight="1">
      <c r="A741" s="85" t="s">
        <v>2327</v>
      </c>
      <c r="B741" s="87" t="s">
        <v>2007</v>
      </c>
      <c r="C741" s="80" t="s">
        <v>2019</v>
      </c>
      <c r="D741" s="85" t="s">
        <v>2329</v>
      </c>
      <c r="E741" s="245" t="s">
        <v>27</v>
      </c>
      <c r="F741" s="361" t="s">
        <v>317</v>
      </c>
      <c r="G741" s="259"/>
      <c r="H741" s="256"/>
      <c r="I741" s="271" t="s">
        <v>317</v>
      </c>
      <c r="J741" s="271" t="s">
        <v>317</v>
      </c>
      <c r="K741" s="271" t="s">
        <v>317</v>
      </c>
      <c r="L741" s="248"/>
      <c r="M741" s="249"/>
      <c r="N741" s="225"/>
      <c r="O741" s="225"/>
      <c r="P741" s="225"/>
      <c r="Q741" s="250"/>
      <c r="R741" s="215" t="s">
        <v>27</v>
      </c>
      <c r="S741" s="215" t="s">
        <v>27</v>
      </c>
      <c r="T741" s="215" t="s">
        <v>27</v>
      </c>
      <c r="U741" s="225"/>
      <c r="V741" s="251"/>
      <c r="W741" s="377"/>
      <c r="X741" s="85"/>
      <c r="Y741" s="85"/>
      <c r="Z741" s="85"/>
      <c r="AA741" s="85"/>
      <c r="AB741" s="85"/>
      <c r="AC741" s="85"/>
    </row>
    <row r="742" spans="1:29" ht="15" customHeight="1">
      <c r="A742" s="85" t="s">
        <v>2327</v>
      </c>
      <c r="B742" s="87" t="s">
        <v>2007</v>
      </c>
      <c r="C742" s="80" t="s">
        <v>2021</v>
      </c>
      <c r="D742" s="85" t="s">
        <v>2330</v>
      </c>
      <c r="E742" s="245" t="s">
        <v>27</v>
      </c>
      <c r="F742" s="361" t="s">
        <v>317</v>
      </c>
      <c r="G742" s="259"/>
      <c r="H742" s="256"/>
      <c r="I742" s="271" t="s">
        <v>317</v>
      </c>
      <c r="J742" s="271" t="s">
        <v>317</v>
      </c>
      <c r="K742" s="271" t="s">
        <v>317</v>
      </c>
      <c r="L742" s="248"/>
      <c r="M742" s="249"/>
      <c r="N742" s="225"/>
      <c r="O742" s="225"/>
      <c r="P742" s="225"/>
      <c r="Q742" s="250"/>
      <c r="R742" s="215" t="s">
        <v>27</v>
      </c>
      <c r="S742" s="215" t="s">
        <v>27</v>
      </c>
      <c r="T742" s="215" t="s">
        <v>27</v>
      </c>
      <c r="U742" s="225"/>
      <c r="V742" s="251"/>
      <c r="W742" s="377"/>
      <c r="X742" s="85"/>
      <c r="Y742" s="85"/>
      <c r="Z742" s="85"/>
      <c r="AA742" s="85"/>
      <c r="AB742" s="85"/>
      <c r="AC742" s="85"/>
    </row>
    <row r="743" spans="1:29" ht="15" customHeight="1">
      <c r="A743" s="85" t="s">
        <v>2327</v>
      </c>
      <c r="B743" s="87" t="s">
        <v>2007</v>
      </c>
      <c r="C743" s="80" t="s">
        <v>2023</v>
      </c>
      <c r="D743" s="85" t="s">
        <v>2331</v>
      </c>
      <c r="E743" s="245" t="s">
        <v>27</v>
      </c>
      <c r="F743" s="361" t="s">
        <v>317</v>
      </c>
      <c r="G743" s="259"/>
      <c r="H743" s="256"/>
      <c r="I743" s="271" t="s">
        <v>317</v>
      </c>
      <c r="J743" s="271" t="s">
        <v>317</v>
      </c>
      <c r="K743" s="271" t="s">
        <v>317</v>
      </c>
      <c r="L743" s="248"/>
      <c r="M743" s="249"/>
      <c r="N743" s="225"/>
      <c r="O743" s="225"/>
      <c r="P743" s="225"/>
      <c r="Q743" s="250"/>
      <c r="R743" s="215" t="s">
        <v>27</v>
      </c>
      <c r="S743" s="215" t="s">
        <v>27</v>
      </c>
      <c r="T743" s="215" t="s">
        <v>27</v>
      </c>
      <c r="U743" s="225"/>
      <c r="V743" s="251"/>
      <c r="W743" s="377"/>
      <c r="X743" s="85"/>
      <c r="Y743" s="85"/>
      <c r="Z743" s="85"/>
      <c r="AA743" s="85"/>
      <c r="AB743" s="85"/>
      <c r="AC743" s="85"/>
    </row>
    <row r="744" spans="1:29" ht="15" customHeight="1">
      <c r="A744" s="85" t="s">
        <v>2327</v>
      </c>
      <c r="B744" s="87" t="s">
        <v>2007</v>
      </c>
      <c r="C744" s="80" t="s">
        <v>2032</v>
      </c>
      <c r="D744" s="85" t="s">
        <v>2332</v>
      </c>
      <c r="E744" s="245" t="s">
        <v>27</v>
      </c>
      <c r="F744" s="361" t="s">
        <v>317</v>
      </c>
      <c r="G744" s="259"/>
      <c r="H744" s="256"/>
      <c r="I744" s="271" t="s">
        <v>317</v>
      </c>
      <c r="J744" s="271" t="s">
        <v>317</v>
      </c>
      <c r="K744" s="271" t="s">
        <v>317</v>
      </c>
      <c r="L744" s="248"/>
      <c r="M744" s="249"/>
      <c r="N744" s="225"/>
      <c r="O744" s="225"/>
      <c r="P744" s="225"/>
      <c r="Q744" s="250"/>
      <c r="R744" s="215" t="s">
        <v>27</v>
      </c>
      <c r="S744" s="215" t="s">
        <v>27</v>
      </c>
      <c r="T744" s="215" t="s">
        <v>27</v>
      </c>
      <c r="U744" s="225"/>
      <c r="V744" s="251"/>
      <c r="W744" s="377"/>
      <c r="X744" s="85"/>
      <c r="Y744" s="85"/>
      <c r="Z744" s="85"/>
      <c r="AA744" s="85"/>
      <c r="AB744" s="85"/>
      <c r="AC744" s="85"/>
    </row>
    <row r="745" spans="1:29" ht="15" customHeight="1">
      <c r="A745" s="85"/>
      <c r="B745" s="87"/>
      <c r="C745" s="85"/>
      <c r="D745" s="85"/>
      <c r="E745" s="361"/>
      <c r="F745" s="361"/>
      <c r="G745" s="259"/>
      <c r="H745" s="256"/>
      <c r="I745" s="225"/>
      <c r="J745" s="225"/>
      <c r="K745" s="225"/>
      <c r="L745" s="248"/>
      <c r="M745" s="249"/>
      <c r="N745" s="225"/>
      <c r="O745" s="225"/>
      <c r="P745" s="225"/>
      <c r="Q745" s="250"/>
      <c r="R745" s="363"/>
      <c r="S745" s="177"/>
      <c r="T745" s="175"/>
      <c r="U745" s="85"/>
      <c r="V745" s="364"/>
      <c r="W745" s="377"/>
      <c r="X745" s="85"/>
      <c r="Y745" s="85"/>
      <c r="Z745" s="85"/>
      <c r="AA745" s="85"/>
      <c r="AB745" s="85"/>
      <c r="AC745" s="85"/>
    </row>
    <row r="746" spans="1:29" ht="27">
      <c r="A746" s="85" t="s">
        <v>2006</v>
      </c>
      <c r="B746" s="87" t="s">
        <v>2007</v>
      </c>
      <c r="C746" s="80" t="s">
        <v>2027</v>
      </c>
      <c r="D746" s="81" t="s">
        <v>2333</v>
      </c>
      <c r="E746" s="245" t="s">
        <v>27</v>
      </c>
      <c r="F746" s="87" t="s">
        <v>317</v>
      </c>
      <c r="G746" s="259"/>
      <c r="H746" s="256"/>
      <c r="I746" s="271" t="s">
        <v>317</v>
      </c>
      <c r="J746" s="271" t="s">
        <v>317</v>
      </c>
      <c r="K746" s="271" t="s">
        <v>317</v>
      </c>
      <c r="L746" s="248"/>
      <c r="M746" s="249"/>
      <c r="N746" s="225"/>
      <c r="O746" s="225"/>
      <c r="P746" s="225"/>
      <c r="Q746" s="250"/>
      <c r="R746" s="215" t="s">
        <v>27</v>
      </c>
      <c r="S746" s="215" t="s">
        <v>27</v>
      </c>
      <c r="T746" s="215" t="s">
        <v>27</v>
      </c>
      <c r="U746" s="225"/>
      <c r="V746" s="251"/>
      <c r="W746" s="377"/>
      <c r="X746" s="85"/>
      <c r="Y746" s="85"/>
      <c r="Z746" s="85"/>
      <c r="AA746" s="85"/>
      <c r="AB746" s="85"/>
      <c r="AC746" s="85"/>
    </row>
    <row r="747" spans="1:29" ht="15" customHeight="1">
      <c r="A747" s="85"/>
      <c r="B747" s="87"/>
      <c r="C747" s="85"/>
      <c r="D747" s="85"/>
      <c r="E747" s="361"/>
      <c r="F747" s="361"/>
      <c r="G747" s="259"/>
      <c r="H747" s="256"/>
      <c r="I747" s="225"/>
      <c r="J747" s="225"/>
      <c r="K747" s="225"/>
      <c r="L747" s="248"/>
      <c r="M747" s="249"/>
      <c r="N747" s="225"/>
      <c r="O747" s="225"/>
      <c r="P747" s="225"/>
      <c r="Q747" s="250"/>
      <c r="R747" s="363"/>
      <c r="S747" s="177"/>
      <c r="T747" s="175"/>
      <c r="U747" s="85"/>
      <c r="V747" s="364"/>
      <c r="W747" s="377"/>
      <c r="X747" s="87"/>
      <c r="Y747" s="87"/>
      <c r="Z747" s="87"/>
      <c r="AA747" s="87"/>
      <c r="AB747" s="87"/>
      <c r="AC747" s="87"/>
    </row>
    <row r="748" spans="1:29" ht="15" customHeight="1">
      <c r="A748" s="85"/>
      <c r="B748" s="87"/>
      <c r="C748" s="85"/>
      <c r="D748" s="85"/>
      <c r="E748" s="361"/>
      <c r="F748" s="361"/>
      <c r="G748" s="259"/>
      <c r="H748" s="256"/>
      <c r="I748" s="225"/>
      <c r="J748" s="225"/>
      <c r="K748" s="225"/>
      <c r="L748" s="248"/>
      <c r="M748" s="249"/>
      <c r="N748" s="225"/>
      <c r="O748" s="225"/>
      <c r="P748" s="225"/>
      <c r="Q748" s="250"/>
      <c r="R748" s="363"/>
      <c r="S748" s="177"/>
      <c r="T748" s="175"/>
      <c r="U748" s="85"/>
      <c r="V748" s="364"/>
      <c r="W748" s="377"/>
      <c r="X748" s="87"/>
      <c r="Y748" s="87"/>
      <c r="Z748" s="87"/>
      <c r="AA748" s="87"/>
      <c r="AB748" s="87"/>
      <c r="AC748" s="87"/>
    </row>
    <row r="749" spans="1:29" ht="15" customHeight="1">
      <c r="A749" s="85"/>
      <c r="B749" s="87"/>
      <c r="C749" s="85"/>
      <c r="D749" s="85"/>
      <c r="E749" s="361"/>
      <c r="F749" s="361"/>
      <c r="G749" s="259"/>
      <c r="H749" s="256"/>
      <c r="I749" s="225"/>
      <c r="J749" s="225"/>
      <c r="K749" s="225"/>
      <c r="L749" s="248"/>
      <c r="M749" s="249"/>
      <c r="N749" s="225"/>
      <c r="O749" s="225"/>
      <c r="P749" s="225"/>
      <c r="Q749" s="250"/>
      <c r="R749" s="363"/>
      <c r="S749" s="177"/>
      <c r="T749" s="175"/>
      <c r="U749" s="85"/>
      <c r="V749" s="364"/>
      <c r="W749" s="377"/>
      <c r="X749" s="87"/>
      <c r="Y749" s="87"/>
      <c r="Z749" s="87"/>
      <c r="AA749" s="87"/>
      <c r="AB749" s="87"/>
      <c r="AC749" s="87"/>
    </row>
    <row r="750" spans="1:29" ht="15" customHeight="1">
      <c r="A750" s="85"/>
      <c r="B750" s="87"/>
      <c r="C750" s="85"/>
      <c r="D750" s="85"/>
      <c r="E750" s="361"/>
      <c r="F750" s="361"/>
      <c r="G750" s="259"/>
      <c r="H750" s="87"/>
      <c r="I750" s="225">
        <f>COUNTIF(I2:I744,"*PASS*")</f>
        <v>182</v>
      </c>
      <c r="J750" s="225">
        <f>COUNTIF(J2:J744,"*PASS*")</f>
        <v>168</v>
      </c>
      <c r="K750" s="225">
        <f>COUNTIF(K2:K744,"*PASS*")</f>
        <v>173</v>
      </c>
      <c r="L750" s="248"/>
      <c r="M750" s="249"/>
      <c r="N750" s="225"/>
      <c r="O750" s="225"/>
      <c r="P750" s="225"/>
      <c r="Q750" s="250"/>
      <c r="R750" s="363"/>
      <c r="S750" s="177"/>
      <c r="T750" s="175"/>
      <c r="U750" s="85"/>
      <c r="V750" s="364"/>
      <c r="W750" s="377"/>
      <c r="X750" s="87"/>
      <c r="Y750" s="87"/>
      <c r="Z750" s="87"/>
      <c r="AA750" s="87"/>
      <c r="AB750" s="87"/>
      <c r="AC750" s="87"/>
    </row>
    <row r="751" spans="1:29" ht="15" customHeight="1">
      <c r="A751" s="85"/>
      <c r="B751" s="87"/>
      <c r="C751" s="85"/>
      <c r="D751" s="85"/>
      <c r="E751" s="361"/>
      <c r="F751" s="361"/>
      <c r="G751" s="259"/>
      <c r="H751" s="334"/>
      <c r="I751" s="225">
        <f>COUNTIF(I2:I744,"*Failed*")</f>
        <v>125</v>
      </c>
      <c r="J751" s="225">
        <f>COUNTIF(J2:J745,"*Failed*")</f>
        <v>129</v>
      </c>
      <c r="K751" s="225">
        <f>COUNTIF(K2:K745,"*Failed*")</f>
        <v>132</v>
      </c>
      <c r="L751" s="248"/>
      <c r="M751" s="249"/>
      <c r="N751" s="225"/>
      <c r="O751" s="225"/>
      <c r="P751" s="225"/>
      <c r="Q751" s="250"/>
      <c r="R751" s="363"/>
      <c r="S751" s="177"/>
      <c r="T751" s="175"/>
      <c r="U751" s="85"/>
      <c r="V751" s="364"/>
      <c r="W751" s="377"/>
      <c r="X751" s="87"/>
      <c r="Y751" s="87"/>
      <c r="Z751" s="87"/>
      <c r="AA751" s="87"/>
      <c r="AB751" s="87"/>
      <c r="AC751" s="87"/>
    </row>
    <row r="752" spans="1:29" ht="15" customHeight="1">
      <c r="A752" s="85"/>
      <c r="B752" s="87"/>
      <c r="C752" s="85"/>
      <c r="D752" s="85"/>
      <c r="E752" s="361"/>
      <c r="F752" s="361"/>
      <c r="G752" s="259"/>
      <c r="H752" s="334"/>
      <c r="I752" s="225">
        <f>COUNTIF(I2:I745,"")</f>
        <v>4</v>
      </c>
      <c r="J752" s="225">
        <f>COUNTIF(J3:J747,"")</f>
        <v>4</v>
      </c>
      <c r="K752" s="225">
        <f>COUNTIF(K3:K747,"")</f>
        <v>5</v>
      </c>
      <c r="L752" s="248"/>
      <c r="M752" s="249"/>
      <c r="N752" s="225"/>
      <c r="O752" s="225"/>
      <c r="P752" s="225"/>
      <c r="Q752" s="250"/>
      <c r="R752" s="363"/>
      <c r="S752" s="177"/>
      <c r="T752" s="175"/>
      <c r="U752" s="85"/>
      <c r="V752" s="364"/>
      <c r="W752" s="377"/>
      <c r="X752" s="87"/>
      <c r="Y752" s="87"/>
      <c r="Z752" s="87"/>
      <c r="AA752" s="87"/>
      <c r="AB752" s="87"/>
      <c r="AC752" s="87"/>
    </row>
    <row r="753" spans="1:29" ht="15" customHeight="1">
      <c r="A753" s="85"/>
      <c r="B753" s="87"/>
      <c r="C753" s="85"/>
      <c r="D753" s="85"/>
      <c r="E753" s="354"/>
      <c r="F753" s="87"/>
      <c r="G753" s="259"/>
      <c r="H753" s="334"/>
      <c r="I753" s="225">
        <f>COUNTIF(I3:I747,"Not Support")</f>
        <v>326</v>
      </c>
      <c r="J753" s="225">
        <f>COUNTIF(J4:J748,"Not Support")</f>
        <v>336</v>
      </c>
      <c r="K753" s="225">
        <f>COUNTIF(K4:K748,"Not Support")</f>
        <v>327</v>
      </c>
      <c r="L753" s="248"/>
      <c r="M753" s="249"/>
      <c r="N753" s="225"/>
      <c r="O753" s="225"/>
      <c r="P753" s="225"/>
      <c r="Q753" s="250"/>
      <c r="R753" s="363"/>
      <c r="S753" s="177"/>
      <c r="T753" s="175"/>
      <c r="U753" s="85"/>
      <c r="V753" s="364"/>
      <c r="W753" s="377"/>
      <c r="X753" s="87"/>
      <c r="Y753" s="87"/>
      <c r="Z753" s="87"/>
      <c r="AA753" s="87"/>
      <c r="AB753" s="87"/>
      <c r="AC753" s="87"/>
    </row>
    <row r="754" spans="1:29" ht="15" customHeight="1">
      <c r="A754" s="85"/>
      <c r="B754" s="87"/>
      <c r="C754" s="85"/>
      <c r="D754" s="85"/>
      <c r="E754" s="354"/>
      <c r="F754" s="87"/>
      <c r="G754" s="259"/>
      <c r="H754" s="334"/>
      <c r="I754" s="225">
        <f>COUNTIF(I4:I748,"Skip")</f>
        <v>52</v>
      </c>
      <c r="J754" s="225">
        <f>COUNTIF(J5:J749,"Skip")</f>
        <v>52</v>
      </c>
      <c r="K754" s="225">
        <f>COUNTIF(K5:K749,"Skip")</f>
        <v>52</v>
      </c>
      <c r="L754" s="248"/>
      <c r="M754" s="249"/>
      <c r="N754" s="225"/>
      <c r="O754" s="225"/>
      <c r="P754" s="225"/>
      <c r="Q754" s="250"/>
      <c r="R754" s="363"/>
      <c r="S754" s="177"/>
      <c r="T754" s="175"/>
      <c r="U754" s="85"/>
      <c r="V754" s="364"/>
      <c r="W754" s="377"/>
      <c r="X754" s="87"/>
      <c r="Y754" s="87"/>
      <c r="Z754" s="87"/>
      <c r="AA754" s="87"/>
      <c r="AB754" s="87"/>
      <c r="AC754" s="87"/>
    </row>
    <row r="755" spans="1:29" ht="15" customHeight="1">
      <c r="A755" s="85"/>
      <c r="B755" s="87"/>
      <c r="C755" s="85"/>
      <c r="D755" s="85"/>
      <c r="E755" s="354"/>
      <c r="F755" s="87"/>
      <c r="G755" s="259"/>
      <c r="H755" s="334"/>
      <c r="I755" s="225">
        <f>COUNTIF(I4:I748,"To be test")</f>
        <v>55</v>
      </c>
      <c r="J755" s="225">
        <f>COUNTIF(J4:J748,"To be test")</f>
        <v>55</v>
      </c>
      <c r="K755" s="225">
        <f>COUNTIF(K4:K748,"To be test")</f>
        <v>55</v>
      </c>
      <c r="L755" s="248"/>
      <c r="M755" s="249"/>
      <c r="N755" s="225"/>
      <c r="O755" s="225"/>
      <c r="P755" s="225"/>
      <c r="Q755" s="250"/>
      <c r="R755" s="363"/>
      <c r="S755" s="177"/>
      <c r="T755" s="175"/>
      <c r="U755" s="85"/>
      <c r="V755" s="364"/>
      <c r="W755" s="377"/>
      <c r="X755" s="87"/>
      <c r="Y755" s="87"/>
      <c r="Z755" s="87"/>
      <c r="AA755" s="87"/>
      <c r="AB755" s="87"/>
      <c r="AC755" s="87"/>
    </row>
    <row r="756" spans="1:29" ht="15" customHeight="1">
      <c r="H756" s="365"/>
      <c r="M756" s="249"/>
      <c r="N756" s="225"/>
      <c r="O756" s="225"/>
      <c r="P756" s="225"/>
      <c r="Q756" s="250"/>
      <c r="R756" s="363"/>
      <c r="S756" s="177"/>
      <c r="T756" s="175"/>
      <c r="U756" s="85"/>
      <c r="V756" s="364"/>
      <c r="W756" s="377"/>
      <c r="X756" s="87"/>
      <c r="Y756" s="87"/>
      <c r="Z756" s="87"/>
      <c r="AA756" s="87"/>
      <c r="AB756" s="87"/>
      <c r="AC756" s="87"/>
    </row>
    <row r="757" spans="1:29" ht="15" customHeight="1">
      <c r="H757" s="365"/>
      <c r="M757" s="249"/>
      <c r="N757" s="225"/>
      <c r="O757" s="225"/>
      <c r="P757" s="225"/>
      <c r="Q757" s="250"/>
      <c r="R757" s="363"/>
      <c r="S757" s="177"/>
      <c r="T757" s="175"/>
      <c r="U757" s="85"/>
      <c r="V757" s="364"/>
      <c r="W757" s="377"/>
      <c r="X757" s="87"/>
      <c r="Y757" s="87"/>
      <c r="Z757" s="87"/>
      <c r="AA757" s="87"/>
      <c r="AB757" s="87"/>
      <c r="AC757" s="87"/>
    </row>
    <row r="758" spans="1:29" ht="15" customHeight="1">
      <c r="H758" s="334"/>
      <c r="I758" s="225" t="s">
        <v>2334</v>
      </c>
      <c r="J758" s="225" t="s">
        <v>2335</v>
      </c>
      <c r="K758" s="225" t="s">
        <v>2336</v>
      </c>
      <c r="M758" s="249"/>
      <c r="N758" s="225"/>
      <c r="O758" s="225"/>
      <c r="P758" s="225"/>
      <c r="Q758" s="250"/>
      <c r="R758" s="363"/>
      <c r="S758" s="177"/>
      <c r="T758" s="175"/>
      <c r="U758" s="85"/>
      <c r="V758" s="364"/>
      <c r="W758" s="377"/>
      <c r="X758" s="87"/>
      <c r="Y758" s="87"/>
      <c r="Z758" s="87"/>
      <c r="AA758" s="87"/>
      <c r="AB758" s="87"/>
      <c r="AC758" s="87"/>
    </row>
    <row r="759" spans="1:29" ht="15" customHeight="1">
      <c r="H759" s="87" t="s">
        <v>2337</v>
      </c>
      <c r="I759" s="366">
        <f>COUNTIF(I2:I744,"*PASS*")/COUNTA(I2:I744) * 100</f>
        <v>24.594594594594597</v>
      </c>
      <c r="J759" s="366">
        <f>COUNTIF(J2:J744,"*PASS*")/COUNTA(J2:J744) * 100</f>
        <v>22.672064777327936</v>
      </c>
      <c r="K759" s="366">
        <f>COUNTIF(K2:K744,"*PASS*")/COUNTA(K2:K744) * 100</f>
        <v>23.378378378378379</v>
      </c>
      <c r="M759" s="249"/>
      <c r="N759" s="225"/>
      <c r="O759" s="225"/>
      <c r="P759" s="225"/>
      <c r="Q759" s="250"/>
      <c r="R759" s="363"/>
      <c r="S759" s="177"/>
      <c r="T759" s="175"/>
      <c r="U759" s="85"/>
      <c r="V759" s="364"/>
      <c r="W759" s="377"/>
      <c r="X759" s="87"/>
      <c r="Y759" s="87"/>
      <c r="Z759" s="87"/>
      <c r="AA759" s="87"/>
      <c r="AB759" s="87"/>
      <c r="AC759" s="87"/>
    </row>
    <row r="760" spans="1:29" ht="15" customHeight="1">
      <c r="H760" s="334" t="s">
        <v>2338</v>
      </c>
      <c r="I760" s="366">
        <f>COUNTIF(I2:I744,"*Failed*")/COUNTA(I2:I744) * 100</f>
        <v>16.891891891891891</v>
      </c>
      <c r="J760" s="366">
        <f>COUNTIF(J2:J744,"*Failed*")/COUNTA(J2:J744) * 100</f>
        <v>17.408906882591094</v>
      </c>
      <c r="K760" s="366">
        <f>COUNTIF(K2:K744,"*Failed*")/COUNTA(K2:K744) * 100</f>
        <v>17.837837837837839</v>
      </c>
      <c r="M760" s="249"/>
      <c r="N760" s="225"/>
      <c r="O760" s="225"/>
      <c r="P760" s="225"/>
      <c r="Q760" s="250"/>
      <c r="R760" s="363"/>
      <c r="S760" s="177"/>
      <c r="T760" s="175"/>
      <c r="U760" s="85"/>
      <c r="V760" s="364"/>
      <c r="W760" s="377"/>
      <c r="X760" s="87"/>
      <c r="Y760" s="87"/>
      <c r="Z760" s="87"/>
      <c r="AA760" s="87"/>
      <c r="AB760" s="87"/>
      <c r="AC760" s="87"/>
    </row>
    <row r="761" spans="1:29" ht="15" customHeight="1">
      <c r="H761" s="334" t="s">
        <v>2339</v>
      </c>
      <c r="I761" s="366">
        <f>COUNTIF(I2:I744,"*Not Support*")/COUNTA(I2:I744) * 100</f>
        <v>44.054054054054056</v>
      </c>
      <c r="J761" s="366">
        <f>COUNTIF(J2:J744,"*Not Support*")/COUNTA(J2:J744) * 100</f>
        <v>45.479082321187583</v>
      </c>
      <c r="K761" s="366">
        <f>COUNTIF(K2:K744,"*Not Support*")/COUNTA(K2:K744) * 100</f>
        <v>44.32432432432433</v>
      </c>
      <c r="M761" s="249"/>
      <c r="N761" s="225"/>
      <c r="O761" s="225"/>
      <c r="P761" s="225"/>
      <c r="Q761" s="250"/>
      <c r="R761" s="363"/>
      <c r="S761" s="177"/>
      <c r="T761" s="175"/>
      <c r="U761" s="85"/>
      <c r="V761" s="364"/>
      <c r="W761" s="377"/>
      <c r="X761" s="87"/>
      <c r="Y761" s="87"/>
      <c r="Z761" s="87"/>
      <c r="AA761" s="87"/>
      <c r="AB761" s="87"/>
      <c r="AC761" s="87"/>
    </row>
    <row r="762" spans="1:29" ht="15" customHeight="1">
      <c r="H762" s="334" t="s">
        <v>2340</v>
      </c>
      <c r="I762" s="366">
        <f>COUNTIF(I2:I744,"*Skip*")/COUNTA(I2:I744) * 100</f>
        <v>7.0270270270270272</v>
      </c>
      <c r="J762" s="366">
        <f>COUNTIF(J2:J744,"*Skip*")/COUNTA(J2:J744) * 100</f>
        <v>7.0175438596491224</v>
      </c>
      <c r="K762" s="366">
        <f>COUNTIF(K2:K744,"*Skip*")/COUNTA(K2:K744) * 100</f>
        <v>7.0270270270270272</v>
      </c>
      <c r="M762" s="249"/>
      <c r="N762" s="225"/>
      <c r="O762" s="225"/>
      <c r="P762" s="225"/>
      <c r="Q762" s="250"/>
      <c r="R762" s="363"/>
      <c r="S762" s="177"/>
      <c r="T762" s="175"/>
      <c r="U762" s="85"/>
      <c r="V762" s="364"/>
      <c r="W762" s="377"/>
      <c r="X762" s="87"/>
      <c r="Y762" s="87"/>
      <c r="Z762" s="87"/>
      <c r="AA762" s="87"/>
      <c r="AB762" s="87"/>
      <c r="AC762" s="87"/>
    </row>
    <row r="763" spans="1:29" ht="15" customHeight="1">
      <c r="H763" s="334" t="s">
        <v>2341</v>
      </c>
      <c r="I763" s="366">
        <f>COUNTIF(I2:I744,"*To be test*")/COUNTA(I2:I744) * 100</f>
        <v>7.4324324324324325</v>
      </c>
      <c r="J763" s="366">
        <f>COUNTIF(J2:J744,"*To be test*")/COUNTA(J2:J744) * 100</f>
        <v>7.4224021592442648</v>
      </c>
      <c r="K763" s="366">
        <f>COUNTIF(K2:K744,"*To be test*")/COUNTA(K2:K744) * 100</f>
        <v>7.4324324324324325</v>
      </c>
      <c r="M763" s="367"/>
      <c r="N763" s="368"/>
      <c r="O763" s="368"/>
      <c r="P763" s="368"/>
      <c r="Q763" s="369"/>
      <c r="R763" s="370"/>
      <c r="S763" s="371"/>
      <c r="T763" s="372"/>
      <c r="U763" s="373"/>
      <c r="V763" s="374"/>
      <c r="W763" s="382"/>
      <c r="X763" s="415"/>
      <c r="Y763" s="415"/>
      <c r="Z763" s="415"/>
      <c r="AA763" s="415"/>
      <c r="AB763" s="415"/>
      <c r="AC763" s="415"/>
    </row>
    <row r="573715" spans="3:3" ht="15" customHeight="1">
      <c r="C573715" s="80"/>
    </row>
  </sheetData>
  <autoFilter ref="A1:AC1" xr:uid="{51FDA59E-98C5-4922-9499-E2B51AC6BC8D}"/>
  <mergeCells count="17">
    <mergeCell ref="V608:V630"/>
    <mergeCell ref="G256:G262"/>
    <mergeCell ref="W486:W493"/>
    <mergeCell ref="V504:V519"/>
    <mergeCell ref="H277:H290"/>
    <mergeCell ref="G597:G600"/>
    <mergeCell ref="G427:G435"/>
    <mergeCell ref="G454:G455"/>
    <mergeCell ref="G608:G630"/>
    <mergeCell ref="G277:G290"/>
    <mergeCell ref="V71:V72"/>
    <mergeCell ref="G457:G458"/>
    <mergeCell ref="H256:H262"/>
    <mergeCell ref="G447:G453"/>
    <mergeCell ref="H447:H453"/>
    <mergeCell ref="G394:G403"/>
    <mergeCell ref="V117:V152"/>
  </mergeCells>
  <conditionalFormatting sqref="M3:O1000 R3:T1000">
    <cfRule type="expression" dxfId="40" priority="8">
      <formula>TRIM(M3)="Fail"</formula>
    </cfRule>
  </conditionalFormatting>
  <conditionalFormatting sqref="M3:O1000 R3:T1000">
    <cfRule type="expression" dxfId="39" priority="3">
      <formula>TRIM(M3)="Skip"</formula>
    </cfRule>
  </conditionalFormatting>
  <conditionalFormatting sqref="M3:O9999">
    <cfRule type="expression" dxfId="38" priority="1">
      <formula>SUBSTITUTE(CLEAN(TRIM(M3)),CHAR(160),"")=SUBSTITUTE(CLEAN(TRIM(INDEX($R:$T,ROW(),COLUMN()-COLUMN($M$3)+1))),CHAR(160),"")</formula>
    </cfRule>
    <cfRule type="expression" dxfId="37" priority="9">
      <formula>AND(M3&lt;&gt;"",INDEX($R:$T,ROW(),COLUMN()-COLUMN($M$3)+1)&lt;&gt;"",TRIM(M3)&lt;&gt;TRIM(INDEX($R:$T,ROW(),COLUMN()-COLUMN($M$3)+1)))</formula>
    </cfRule>
  </conditionalFormatting>
  <conditionalFormatting sqref="M3:O1000 R3:T1000">
    <cfRule type="expression" dxfId="36" priority="5">
      <formula>TRIM(M3)="Pass"</formula>
    </cfRule>
  </conditionalFormatting>
  <dataValidations count="3">
    <dataValidation type="list" allowBlank="1" showInputMessage="1" showErrorMessage="1" sqref="F104 F116 F206 E4:E7 E9:E68 E70:E72 E75:E95 E98:E99 E101 E103:E105 E107:E115 E117:E148 E152 E174 E176:E205 E207:E209 E211:E215 E245:E251 E294:E317 E319:E337 E352:E357 E359:E360 E363:E371 E376:E385 E394:E415 E426:E438 E447:E465 E467 E477:E533 E575:E581 E588 E256:E290" xr:uid="{2BB0B924-C05B-4A0C-A58C-EF079C341940}">
      <formula1>"Support,Not Support"</formula1>
    </dataValidation>
    <dataValidation type="list" allowBlank="1" showInputMessage="1" showErrorMessage="1" promptTitle="pWHM,VendorModule" sqref="G107 F2:F115 F117:F205 F207:F381 F746 F383:F592" xr:uid="{73990E4E-290C-4707-8202-EAAED7FEEA8E}">
      <formula1>"pWHM,Vendor Module,Not Support"</formula1>
    </dataValidation>
    <dataValidation type="list" allowBlank="1" showInputMessage="1" showErrorMessage="1" sqref="E2:E3 E8 E69 E73:E74 E96:E97 E100 E102 E106 E116 E149:E151 E175 E206 E210 E216:E244 E252:E255 E291:E293 E318 E338:E351 E358 E361:E362 E372:E375 E386:E393 E416:E425 E439:E446 E466 E468:E476 E582:E587 E589:E592 E601:E744 E153:E173 E746 E534:E574" xr:uid="{8E54DE19-DC70-4351-B97E-27C2558C8D3E}">
      <formula1>"Support,Not Supported"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2D32E-D90B-43AC-9647-5D55AAD6C24A}">
  <dimension ref="A1:N114"/>
  <sheetViews>
    <sheetView topLeftCell="C11" workbookViewId="0">
      <selection activeCell="J2" sqref="J2"/>
    </sheetView>
  </sheetViews>
  <sheetFormatPr defaultColWidth="9" defaultRowHeight="12"/>
  <cols>
    <col min="1" max="1" width="33.125" style="34" bestFit="1" customWidth="1"/>
    <col min="2" max="2" width="25.375" style="34" bestFit="1" customWidth="1"/>
    <col min="3" max="3" width="9" style="34" customWidth="1"/>
    <col min="4" max="4" width="12.75" style="34" customWidth="1"/>
    <col min="5" max="5" width="25.875" style="34" customWidth="1"/>
    <col min="6" max="6" width="33.875" style="34" customWidth="1"/>
    <col min="7" max="7" width="9" style="34" customWidth="1"/>
    <col min="8" max="8" width="59.875" style="34" customWidth="1"/>
    <col min="9" max="10" width="13.125" style="34" customWidth="1"/>
    <col min="11" max="11" width="11" style="34" bestFit="1" customWidth="1"/>
    <col min="12" max="13" width="27.625" style="34" customWidth="1"/>
    <col min="14" max="14" width="59.625" style="34" customWidth="1"/>
    <col min="15" max="15" width="9" style="34" customWidth="1"/>
    <col min="16" max="16384" width="9" style="34"/>
  </cols>
  <sheetData>
    <row r="1" spans="1:14" ht="27">
      <c r="A1" s="102" t="s">
        <v>66</v>
      </c>
      <c r="B1" s="102" t="s">
        <v>67</v>
      </c>
      <c r="C1" s="102" t="s">
        <v>68</v>
      </c>
      <c r="D1" s="103" t="s">
        <v>69</v>
      </c>
      <c r="E1" s="33" t="s">
        <v>70</v>
      </c>
      <c r="F1" s="102" t="s">
        <v>71</v>
      </c>
      <c r="G1" s="102" t="s">
        <v>220</v>
      </c>
      <c r="H1" s="92" t="s">
        <v>2342</v>
      </c>
      <c r="I1" s="94" t="s">
        <v>72</v>
      </c>
      <c r="J1" s="94" t="s">
        <v>73</v>
      </c>
      <c r="K1" s="33" t="s">
        <v>74</v>
      </c>
      <c r="L1" s="33" t="s">
        <v>76</v>
      </c>
      <c r="M1" s="92" t="s">
        <v>77</v>
      </c>
      <c r="N1" s="92" t="s">
        <v>78</v>
      </c>
    </row>
    <row r="2" spans="1:14" ht="12.75">
      <c r="A2" s="104" t="s">
        <v>2343</v>
      </c>
      <c r="B2" s="104" t="s">
        <v>2344</v>
      </c>
      <c r="C2" s="105" t="s">
        <v>2345</v>
      </c>
      <c r="D2" s="105" t="s">
        <v>27</v>
      </c>
      <c r="E2" s="105"/>
      <c r="F2" s="105" t="s">
        <v>27</v>
      </c>
      <c r="G2" s="106"/>
      <c r="H2" s="106"/>
      <c r="I2" s="104" t="s">
        <v>27</v>
      </c>
      <c r="J2" s="104"/>
      <c r="K2" s="104"/>
      <c r="L2" s="104"/>
      <c r="M2" s="45"/>
      <c r="N2" s="106"/>
    </row>
    <row r="3" spans="1:14" ht="162.75">
      <c r="A3" s="104" t="s">
        <v>2343</v>
      </c>
      <c r="B3" s="107" t="s">
        <v>2346</v>
      </c>
      <c r="C3" s="107" t="s">
        <v>2347</v>
      </c>
      <c r="D3" s="107" t="s">
        <v>27</v>
      </c>
      <c r="E3" s="107"/>
      <c r="F3" s="107" t="s">
        <v>27</v>
      </c>
      <c r="G3" s="108" t="s">
        <v>2348</v>
      </c>
      <c r="H3" s="109" t="s">
        <v>2349</v>
      </c>
      <c r="I3" s="107" t="s">
        <v>24</v>
      </c>
      <c r="J3" s="107" t="s">
        <v>27</v>
      </c>
      <c r="K3" s="107"/>
      <c r="L3" s="107"/>
      <c r="M3" s="45"/>
      <c r="N3" s="110"/>
    </row>
    <row r="4" spans="1:14" ht="12.75">
      <c r="A4" s="104" t="s">
        <v>2343</v>
      </c>
      <c r="B4" s="107" t="s">
        <v>2350</v>
      </c>
      <c r="C4" s="107" t="s">
        <v>2351</v>
      </c>
      <c r="D4" s="107" t="s">
        <v>27</v>
      </c>
      <c r="E4" s="107"/>
      <c r="F4" s="107" t="s">
        <v>27</v>
      </c>
      <c r="G4" s="108" t="s">
        <v>2352</v>
      </c>
      <c r="H4" s="109"/>
      <c r="I4" s="107" t="s">
        <v>27</v>
      </c>
      <c r="J4" s="107" t="s">
        <v>27</v>
      </c>
      <c r="K4" s="111"/>
      <c r="L4" s="111"/>
      <c r="M4" s="45"/>
      <c r="N4" s="110"/>
    </row>
    <row r="5" spans="1:14" ht="62.25">
      <c r="A5" s="104" t="s">
        <v>2343</v>
      </c>
      <c r="B5" s="107" t="s">
        <v>2353</v>
      </c>
      <c r="C5" s="107" t="s">
        <v>2354</v>
      </c>
      <c r="D5" s="107" t="s">
        <v>27</v>
      </c>
      <c r="E5" s="107"/>
      <c r="F5" s="107" t="s">
        <v>27</v>
      </c>
      <c r="G5" s="108" t="s">
        <v>2355</v>
      </c>
      <c r="H5" s="109"/>
      <c r="I5" s="107" t="s">
        <v>27</v>
      </c>
      <c r="J5" s="107" t="s">
        <v>27</v>
      </c>
      <c r="K5" s="111"/>
      <c r="L5" s="111"/>
      <c r="M5" s="45"/>
      <c r="N5" s="110"/>
    </row>
    <row r="6" spans="1:14" ht="50.25">
      <c r="A6" s="104" t="s">
        <v>2343</v>
      </c>
      <c r="B6" s="107" t="s">
        <v>2356</v>
      </c>
      <c r="C6" s="81" t="s">
        <v>2357</v>
      </c>
      <c r="D6" s="107" t="s">
        <v>27</v>
      </c>
      <c r="E6" s="107"/>
      <c r="F6" s="107" t="s">
        <v>27</v>
      </c>
      <c r="G6" s="108" t="s">
        <v>2358</v>
      </c>
      <c r="H6" s="109"/>
      <c r="I6" s="107" t="s">
        <v>27</v>
      </c>
      <c r="J6" s="107" t="s">
        <v>27</v>
      </c>
      <c r="K6" s="111"/>
      <c r="L6" s="111"/>
      <c r="M6" s="45"/>
      <c r="N6" s="110"/>
    </row>
    <row r="7" spans="1:14" ht="213.75">
      <c r="A7" s="112" t="s">
        <v>2359</v>
      </c>
      <c r="B7" s="112" t="s">
        <v>80</v>
      </c>
      <c r="C7" s="113" t="s">
        <v>2360</v>
      </c>
      <c r="D7" s="107" t="s">
        <v>94</v>
      </c>
      <c r="E7" s="107" t="s">
        <v>2361</v>
      </c>
      <c r="F7" s="114"/>
      <c r="G7" s="115" t="s">
        <v>2362</v>
      </c>
      <c r="H7" s="115" t="s">
        <v>2363</v>
      </c>
      <c r="I7" s="107" t="s">
        <v>24</v>
      </c>
      <c r="J7" s="107" t="s">
        <v>24</v>
      </c>
      <c r="K7" s="107" t="s">
        <v>24</v>
      </c>
      <c r="L7" s="107"/>
      <c r="M7" s="45"/>
      <c r="N7" s="116"/>
    </row>
    <row r="8" spans="1:14" ht="301.5">
      <c r="A8" s="112" t="s">
        <v>2359</v>
      </c>
      <c r="B8" s="112" t="s">
        <v>84</v>
      </c>
      <c r="C8" s="112" t="s">
        <v>2364</v>
      </c>
      <c r="D8" s="107" t="s">
        <v>27</v>
      </c>
      <c r="E8" s="107"/>
      <c r="F8" s="107" t="s">
        <v>27</v>
      </c>
      <c r="G8" s="113" t="s">
        <v>2365</v>
      </c>
      <c r="H8" s="115" t="s">
        <v>2366</v>
      </c>
      <c r="I8" s="107" t="s">
        <v>24</v>
      </c>
      <c r="J8" s="107" t="s">
        <v>27</v>
      </c>
      <c r="K8" s="107"/>
      <c r="L8" s="107"/>
      <c r="M8" s="45"/>
      <c r="N8" s="116"/>
    </row>
    <row r="9" spans="1:14" ht="188.25">
      <c r="A9" s="107" t="s">
        <v>2359</v>
      </c>
      <c r="B9" s="107" t="s">
        <v>86</v>
      </c>
      <c r="C9" s="81" t="s">
        <v>2367</v>
      </c>
      <c r="D9" s="107" t="s">
        <v>27</v>
      </c>
      <c r="E9" s="107"/>
      <c r="F9" s="107" t="s">
        <v>27</v>
      </c>
      <c r="G9" s="108" t="s">
        <v>2368</v>
      </c>
      <c r="H9" s="109"/>
      <c r="I9" s="107" t="s">
        <v>24</v>
      </c>
      <c r="J9" s="107" t="s">
        <v>27</v>
      </c>
      <c r="K9" s="107"/>
      <c r="L9" s="107"/>
      <c r="M9" s="45"/>
      <c r="N9" s="110"/>
    </row>
    <row r="10" spans="1:14" ht="50.25">
      <c r="A10" s="107" t="s">
        <v>2359</v>
      </c>
      <c r="B10" s="107" t="s">
        <v>2146</v>
      </c>
      <c r="C10" s="117" t="s">
        <v>2369</v>
      </c>
      <c r="D10" s="107" t="s">
        <v>27</v>
      </c>
      <c r="E10" s="107"/>
      <c r="F10" s="107" t="s">
        <v>27</v>
      </c>
      <c r="G10" s="108" t="s">
        <v>2370</v>
      </c>
      <c r="H10" s="109"/>
      <c r="I10" s="107" t="s">
        <v>24</v>
      </c>
      <c r="J10" s="107" t="s">
        <v>27</v>
      </c>
      <c r="K10" s="107"/>
      <c r="L10" s="107"/>
      <c r="M10" s="45"/>
      <c r="N10" s="110"/>
    </row>
    <row r="11" spans="1:14" ht="188.25">
      <c r="A11" s="107" t="s">
        <v>2359</v>
      </c>
      <c r="B11" s="107" t="s">
        <v>2371</v>
      </c>
      <c r="C11" s="117" t="s">
        <v>2372</v>
      </c>
      <c r="D11" s="117" t="s">
        <v>94</v>
      </c>
      <c r="E11" s="118" t="s">
        <v>2373</v>
      </c>
      <c r="F11" s="107"/>
      <c r="G11" s="108" t="s">
        <v>2374</v>
      </c>
      <c r="H11" s="109" t="s">
        <v>2375</v>
      </c>
      <c r="I11" s="107" t="s">
        <v>24</v>
      </c>
      <c r="J11" s="107" t="s">
        <v>24</v>
      </c>
      <c r="K11" s="107" t="s">
        <v>24</v>
      </c>
      <c r="L11" s="107"/>
      <c r="M11" s="45"/>
      <c r="N11" s="110"/>
    </row>
    <row r="12" spans="1:14" ht="12.75">
      <c r="A12" s="107" t="s">
        <v>2359</v>
      </c>
      <c r="B12" s="107" t="s">
        <v>2376</v>
      </c>
      <c r="C12" s="81" t="s">
        <v>2377</v>
      </c>
      <c r="D12" s="107" t="s">
        <v>27</v>
      </c>
      <c r="E12" s="107"/>
      <c r="F12" s="107" t="s">
        <v>27</v>
      </c>
      <c r="G12" s="119"/>
      <c r="H12" s="120"/>
      <c r="I12" s="107" t="s">
        <v>27</v>
      </c>
      <c r="J12" s="107" t="s">
        <v>27</v>
      </c>
      <c r="K12" s="111"/>
      <c r="L12" s="111"/>
      <c r="M12" s="45"/>
      <c r="N12" s="121"/>
    </row>
    <row r="13" spans="1:14" ht="175.5">
      <c r="A13" s="107" t="s">
        <v>2359</v>
      </c>
      <c r="B13" s="107" t="s">
        <v>2378</v>
      </c>
      <c r="C13" s="81" t="s">
        <v>2379</v>
      </c>
      <c r="D13" s="107" t="s">
        <v>27</v>
      </c>
      <c r="E13" s="107"/>
      <c r="F13" s="107" t="s">
        <v>27</v>
      </c>
      <c r="G13" s="108" t="s">
        <v>2380</v>
      </c>
      <c r="H13" s="109" t="s">
        <v>2381</v>
      </c>
      <c r="I13" s="106" t="s">
        <v>24</v>
      </c>
      <c r="J13" s="107" t="s">
        <v>27</v>
      </c>
      <c r="K13" s="106"/>
      <c r="L13" s="106"/>
      <c r="M13" s="45"/>
      <c r="N13" s="110"/>
    </row>
    <row r="14" spans="1:14" ht="113.25">
      <c r="A14" s="107" t="s">
        <v>2359</v>
      </c>
      <c r="B14" s="107" t="s">
        <v>438</v>
      </c>
      <c r="C14" s="81" t="s">
        <v>2382</v>
      </c>
      <c r="D14" s="107" t="s">
        <v>94</v>
      </c>
      <c r="E14" s="107" t="s">
        <v>2383</v>
      </c>
      <c r="F14" s="107"/>
      <c r="G14" s="109" t="s">
        <v>2384</v>
      </c>
      <c r="H14" s="109" t="s">
        <v>2385</v>
      </c>
      <c r="I14" s="106" t="s">
        <v>24</v>
      </c>
      <c r="J14" s="106" t="s">
        <v>24</v>
      </c>
      <c r="K14" s="107" t="s">
        <v>24</v>
      </c>
      <c r="L14" s="106"/>
      <c r="M14" s="45"/>
      <c r="N14" s="110" t="s">
        <v>2386</v>
      </c>
    </row>
    <row r="15" spans="1:14" ht="150.75">
      <c r="A15" s="107" t="s">
        <v>2359</v>
      </c>
      <c r="B15" s="107" t="s">
        <v>1571</v>
      </c>
      <c r="C15" s="81" t="s">
        <v>2387</v>
      </c>
      <c r="D15" s="117" t="s">
        <v>94</v>
      </c>
      <c r="E15" s="84" t="s">
        <v>2388</v>
      </c>
      <c r="F15" s="107"/>
      <c r="G15" s="108" t="s">
        <v>2389</v>
      </c>
      <c r="H15" s="109" t="s">
        <v>2390</v>
      </c>
      <c r="I15" s="107" t="s">
        <v>24</v>
      </c>
      <c r="J15" s="106" t="s">
        <v>24</v>
      </c>
      <c r="K15" s="107" t="s">
        <v>24</v>
      </c>
      <c r="L15" s="107"/>
      <c r="M15" s="45"/>
      <c r="N15" s="110" t="s">
        <v>2391</v>
      </c>
    </row>
    <row r="16" spans="1:14" ht="50.25">
      <c r="A16" s="107" t="s">
        <v>2359</v>
      </c>
      <c r="B16" s="107" t="s">
        <v>2392</v>
      </c>
      <c r="C16" s="81" t="s">
        <v>2393</v>
      </c>
      <c r="D16" s="107" t="s">
        <v>27</v>
      </c>
      <c r="E16" s="107"/>
      <c r="F16" s="107" t="s">
        <v>27</v>
      </c>
      <c r="G16" s="109" t="s">
        <v>2394</v>
      </c>
      <c r="H16" s="109" t="s">
        <v>2395</v>
      </c>
      <c r="I16" s="107" t="s">
        <v>24</v>
      </c>
      <c r="J16" s="107" t="s">
        <v>27</v>
      </c>
      <c r="K16" s="107"/>
      <c r="L16" s="107"/>
      <c r="M16" s="45"/>
      <c r="N16" s="110"/>
    </row>
    <row r="17" spans="1:14" ht="226.5">
      <c r="A17" s="107" t="s">
        <v>2359</v>
      </c>
      <c r="B17" s="107" t="s">
        <v>2396</v>
      </c>
      <c r="C17" s="81" t="s">
        <v>2397</v>
      </c>
      <c r="D17" s="117" t="s">
        <v>94</v>
      </c>
      <c r="E17" s="84" t="s">
        <v>2388</v>
      </c>
      <c r="F17" s="81"/>
      <c r="G17" s="108" t="s">
        <v>2398</v>
      </c>
      <c r="H17" s="122" t="s">
        <v>2399</v>
      </c>
      <c r="I17" s="123" t="s">
        <v>25</v>
      </c>
      <c r="J17" s="123" t="s">
        <v>25</v>
      </c>
      <c r="K17" s="77" t="s">
        <v>25</v>
      </c>
      <c r="L17" s="124" t="s">
        <v>2400</v>
      </c>
      <c r="M17" s="45"/>
      <c r="N17" s="110" t="s">
        <v>2401</v>
      </c>
    </row>
    <row r="18" spans="1:14" ht="200.25">
      <c r="A18" s="107" t="s">
        <v>2359</v>
      </c>
      <c r="B18" s="107" t="s">
        <v>2402</v>
      </c>
      <c r="C18" s="81" t="s">
        <v>2403</v>
      </c>
      <c r="D18" s="107" t="s">
        <v>27</v>
      </c>
      <c r="E18" s="107"/>
      <c r="F18" s="107" t="s">
        <v>27</v>
      </c>
      <c r="G18" s="125" t="s">
        <v>2404</v>
      </c>
      <c r="H18" s="125" t="s">
        <v>2405</v>
      </c>
      <c r="I18" s="126" t="s">
        <v>25</v>
      </c>
      <c r="J18" s="107" t="s">
        <v>27</v>
      </c>
      <c r="K18" s="126"/>
      <c r="L18" s="126"/>
      <c r="M18" s="45"/>
      <c r="N18" s="127" t="s">
        <v>2406</v>
      </c>
    </row>
    <row r="19" spans="1:14" ht="150.75">
      <c r="A19" s="107" t="s">
        <v>2359</v>
      </c>
      <c r="B19" s="107" t="s">
        <v>2407</v>
      </c>
      <c r="C19" s="81" t="s">
        <v>2408</v>
      </c>
      <c r="D19" s="117" t="s">
        <v>94</v>
      </c>
      <c r="E19" s="84"/>
      <c r="F19" s="81"/>
      <c r="G19" s="108" t="s">
        <v>2409</v>
      </c>
      <c r="H19" s="120"/>
      <c r="I19" s="107" t="s">
        <v>24</v>
      </c>
      <c r="J19" s="107" t="s">
        <v>24</v>
      </c>
      <c r="K19" s="107" t="s">
        <v>24</v>
      </c>
      <c r="L19" s="123"/>
      <c r="M19" s="128" t="s">
        <v>2410</v>
      </c>
      <c r="N19" s="129" t="s">
        <v>2411</v>
      </c>
    </row>
    <row r="20" spans="1:14" ht="364.5">
      <c r="A20" s="107" t="s">
        <v>2359</v>
      </c>
      <c r="B20" s="112" t="s">
        <v>2412</v>
      </c>
      <c r="C20" s="113" t="s">
        <v>2413</v>
      </c>
      <c r="D20" s="117" t="s">
        <v>94</v>
      </c>
      <c r="E20" s="84" t="s">
        <v>2414</v>
      </c>
      <c r="F20" s="107"/>
      <c r="G20" s="108" t="s">
        <v>2415</v>
      </c>
      <c r="H20" s="109" t="s">
        <v>2416</v>
      </c>
      <c r="I20" s="107" t="s">
        <v>24</v>
      </c>
      <c r="J20" s="107" t="s">
        <v>24</v>
      </c>
      <c r="K20" s="107" t="s">
        <v>24</v>
      </c>
      <c r="L20" s="123"/>
      <c r="M20" s="128" t="s">
        <v>2410</v>
      </c>
      <c r="N20" s="116" t="s">
        <v>2417</v>
      </c>
    </row>
    <row r="21" spans="1:14" ht="162.75">
      <c r="A21" s="107" t="s">
        <v>2359</v>
      </c>
      <c r="B21" s="107" t="s">
        <v>2418</v>
      </c>
      <c r="C21" s="107" t="s">
        <v>2419</v>
      </c>
      <c r="D21" s="117" t="s">
        <v>94</v>
      </c>
      <c r="E21" s="84"/>
      <c r="F21" s="107"/>
      <c r="G21" s="108" t="s">
        <v>2420</v>
      </c>
      <c r="H21" s="109" t="s">
        <v>2421</v>
      </c>
      <c r="I21" s="107" t="s">
        <v>24</v>
      </c>
      <c r="J21" s="107" t="s">
        <v>24</v>
      </c>
      <c r="K21" s="107" t="s">
        <v>24</v>
      </c>
      <c r="L21" s="107"/>
      <c r="M21" s="45"/>
      <c r="N21" s="110"/>
    </row>
    <row r="22" spans="1:14" ht="175.5">
      <c r="A22" s="107" t="s">
        <v>2359</v>
      </c>
      <c r="B22" s="107" t="s">
        <v>2422</v>
      </c>
      <c r="C22" s="81" t="s">
        <v>2423</v>
      </c>
      <c r="D22" s="117" t="s">
        <v>94</v>
      </c>
      <c r="E22" s="117"/>
      <c r="F22" s="107" t="s">
        <v>27</v>
      </c>
      <c r="G22" s="108" t="s">
        <v>2424</v>
      </c>
      <c r="H22" s="120"/>
      <c r="I22" s="107" t="s">
        <v>24</v>
      </c>
      <c r="J22" s="107" t="s">
        <v>24</v>
      </c>
      <c r="K22" s="107" t="s">
        <v>24</v>
      </c>
      <c r="L22" s="123"/>
      <c r="M22" s="128" t="s">
        <v>2425</v>
      </c>
      <c r="N22" s="129" t="s">
        <v>2426</v>
      </c>
    </row>
    <row r="23" spans="1:14" ht="175.5">
      <c r="A23" s="107" t="s">
        <v>2359</v>
      </c>
      <c r="B23" s="112" t="s">
        <v>2427</v>
      </c>
      <c r="C23" s="81" t="s">
        <v>2428</v>
      </c>
      <c r="D23" s="117" t="s">
        <v>94</v>
      </c>
      <c r="E23" s="84" t="s">
        <v>2429</v>
      </c>
      <c r="F23" s="81"/>
      <c r="G23" s="108" t="s">
        <v>2430</v>
      </c>
      <c r="H23" s="120"/>
      <c r="I23" s="107" t="s">
        <v>24</v>
      </c>
      <c r="J23" s="107" t="s">
        <v>24</v>
      </c>
      <c r="K23" s="107" t="s">
        <v>24</v>
      </c>
      <c r="L23" s="123"/>
      <c r="M23" s="128" t="s">
        <v>2425</v>
      </c>
      <c r="N23" s="129" t="s">
        <v>2426</v>
      </c>
    </row>
    <row r="24" spans="1:14" ht="175.5">
      <c r="A24" s="107" t="s">
        <v>2359</v>
      </c>
      <c r="B24" s="107" t="s">
        <v>2431</v>
      </c>
      <c r="C24" s="81" t="s">
        <v>2432</v>
      </c>
      <c r="D24" s="117" t="s">
        <v>94</v>
      </c>
      <c r="E24" s="117"/>
      <c r="F24" s="107" t="s">
        <v>27</v>
      </c>
      <c r="G24" s="108" t="s">
        <v>2433</v>
      </c>
      <c r="H24" s="120"/>
      <c r="I24" s="107" t="s">
        <v>24</v>
      </c>
      <c r="J24" s="107" t="s">
        <v>24</v>
      </c>
      <c r="K24" s="107" t="s">
        <v>24</v>
      </c>
      <c r="L24" s="123"/>
      <c r="M24" s="128" t="s">
        <v>2425</v>
      </c>
      <c r="N24" s="129" t="s">
        <v>2426</v>
      </c>
    </row>
    <row r="25" spans="1:14" ht="50.25">
      <c r="A25" s="78" t="s">
        <v>2359</v>
      </c>
      <c r="B25" s="112" t="s">
        <v>2434</v>
      </c>
      <c r="C25" s="81" t="s">
        <v>2435</v>
      </c>
      <c r="D25" s="117" t="s">
        <v>94</v>
      </c>
      <c r="E25" s="117" t="s">
        <v>2436</v>
      </c>
      <c r="F25" s="81"/>
      <c r="G25" s="108" t="s">
        <v>2437</v>
      </c>
      <c r="H25" s="120"/>
      <c r="I25" s="107" t="s">
        <v>24</v>
      </c>
      <c r="J25" s="107" t="s">
        <v>24</v>
      </c>
      <c r="K25" s="107" t="s">
        <v>24</v>
      </c>
      <c r="L25" s="107"/>
      <c r="M25" s="45"/>
      <c r="N25" s="121"/>
    </row>
    <row r="26" spans="1:14" ht="188.25">
      <c r="A26" s="78" t="s">
        <v>2359</v>
      </c>
      <c r="B26" s="78" t="s">
        <v>2438</v>
      </c>
      <c r="C26" s="81" t="s">
        <v>2439</v>
      </c>
      <c r="D26" s="117" t="s">
        <v>94</v>
      </c>
      <c r="E26" s="117" t="s">
        <v>2436</v>
      </c>
      <c r="F26" s="81"/>
      <c r="G26" s="109" t="s">
        <v>2440</v>
      </c>
      <c r="H26" s="109" t="s">
        <v>2441</v>
      </c>
      <c r="I26" s="107" t="s">
        <v>24</v>
      </c>
      <c r="J26" s="107" t="s">
        <v>24</v>
      </c>
      <c r="K26" s="107" t="s">
        <v>24</v>
      </c>
      <c r="L26" s="107"/>
      <c r="M26" s="45"/>
      <c r="N26" s="109"/>
    </row>
    <row r="27" spans="1:14" ht="12.75">
      <c r="A27" s="107" t="s">
        <v>2359</v>
      </c>
      <c r="B27" s="78" t="s">
        <v>2442</v>
      </c>
      <c r="C27" s="81" t="s">
        <v>2443</v>
      </c>
      <c r="D27" s="107" t="s">
        <v>27</v>
      </c>
      <c r="E27" s="107"/>
      <c r="F27" s="107" t="s">
        <v>27</v>
      </c>
      <c r="G27" s="119"/>
      <c r="H27" s="120"/>
      <c r="I27" s="107" t="s">
        <v>27</v>
      </c>
      <c r="J27" s="107" t="s">
        <v>27</v>
      </c>
      <c r="K27" s="107"/>
      <c r="L27" s="107"/>
      <c r="M27" s="45"/>
      <c r="N27" s="121"/>
    </row>
    <row r="28" spans="1:14" ht="12.75">
      <c r="A28" s="107" t="s">
        <v>2359</v>
      </c>
      <c r="B28" s="78" t="s">
        <v>2444</v>
      </c>
      <c r="C28" s="81" t="s">
        <v>2445</v>
      </c>
      <c r="D28" s="107" t="s">
        <v>27</v>
      </c>
      <c r="E28" s="107"/>
      <c r="F28" s="107" t="s">
        <v>27</v>
      </c>
      <c r="G28" s="119"/>
      <c r="H28" s="120"/>
      <c r="I28" s="107" t="s">
        <v>27</v>
      </c>
      <c r="J28" s="107" t="s">
        <v>27</v>
      </c>
      <c r="K28" s="107"/>
      <c r="L28" s="107"/>
      <c r="M28" s="45"/>
      <c r="N28" s="121"/>
    </row>
    <row r="29" spans="1:14" ht="100.5">
      <c r="A29" s="107" t="s">
        <v>2446</v>
      </c>
      <c r="B29" s="107" t="s">
        <v>1411</v>
      </c>
      <c r="C29" s="107" t="s">
        <v>2447</v>
      </c>
      <c r="D29" s="107" t="s">
        <v>27</v>
      </c>
      <c r="E29" s="107"/>
      <c r="F29" s="107" t="s">
        <v>27</v>
      </c>
      <c r="G29" s="109" t="s">
        <v>2448</v>
      </c>
      <c r="H29" s="109" t="s">
        <v>2449</v>
      </c>
      <c r="I29" s="107" t="s">
        <v>24</v>
      </c>
      <c r="J29" s="107" t="s">
        <v>27</v>
      </c>
      <c r="K29" s="107"/>
      <c r="L29" s="107"/>
      <c r="M29" s="45"/>
      <c r="N29" s="110"/>
    </row>
    <row r="30" spans="1:14" ht="100.5">
      <c r="A30" s="107" t="s">
        <v>2446</v>
      </c>
      <c r="B30" s="107" t="s">
        <v>1407</v>
      </c>
      <c r="C30" s="107" t="s">
        <v>2450</v>
      </c>
      <c r="D30" s="107" t="s">
        <v>27</v>
      </c>
      <c r="E30" s="107"/>
      <c r="F30" s="107" t="s">
        <v>27</v>
      </c>
      <c r="G30" s="109" t="s">
        <v>2451</v>
      </c>
      <c r="H30" s="109" t="s">
        <v>2452</v>
      </c>
      <c r="I30" s="107" t="s">
        <v>24</v>
      </c>
      <c r="J30" s="107" t="s">
        <v>27</v>
      </c>
      <c r="K30" s="107"/>
      <c r="L30" s="107"/>
      <c r="M30" s="45"/>
      <c r="N30" s="110"/>
    </row>
    <row r="31" spans="1:14" ht="100.5">
      <c r="A31" s="107" t="s">
        <v>2446</v>
      </c>
      <c r="B31" s="107" t="s">
        <v>1140</v>
      </c>
      <c r="C31" s="107" t="s">
        <v>2453</v>
      </c>
      <c r="D31" s="107" t="s">
        <v>27</v>
      </c>
      <c r="E31" s="107"/>
      <c r="F31" s="107" t="s">
        <v>27</v>
      </c>
      <c r="G31" s="109" t="s">
        <v>2454</v>
      </c>
      <c r="H31" s="109" t="s">
        <v>2455</v>
      </c>
      <c r="I31" s="107" t="s">
        <v>24</v>
      </c>
      <c r="J31" s="107" t="s">
        <v>27</v>
      </c>
      <c r="K31" s="107"/>
      <c r="L31" s="107"/>
      <c r="M31" s="45"/>
      <c r="N31" s="110"/>
    </row>
    <row r="32" spans="1:14" ht="100.5">
      <c r="A32" s="107" t="s">
        <v>2446</v>
      </c>
      <c r="B32" s="107" t="s">
        <v>1138</v>
      </c>
      <c r="C32" s="107" t="s">
        <v>2456</v>
      </c>
      <c r="D32" s="107" t="s">
        <v>27</v>
      </c>
      <c r="E32" s="107"/>
      <c r="F32" s="107" t="s">
        <v>27</v>
      </c>
      <c r="G32" s="109" t="s">
        <v>2457</v>
      </c>
      <c r="H32" s="109" t="s">
        <v>2458</v>
      </c>
      <c r="I32" s="107" t="s">
        <v>24</v>
      </c>
      <c r="J32" s="107" t="s">
        <v>27</v>
      </c>
      <c r="K32" s="107"/>
      <c r="L32" s="107"/>
      <c r="M32" s="45"/>
      <c r="N32" s="110"/>
    </row>
    <row r="33" spans="1:14" ht="100.5">
      <c r="A33" s="107" t="s">
        <v>2446</v>
      </c>
      <c r="B33" s="107" t="s">
        <v>1421</v>
      </c>
      <c r="C33" s="81" t="s">
        <v>2459</v>
      </c>
      <c r="D33" s="107" t="s">
        <v>27</v>
      </c>
      <c r="E33" s="107"/>
      <c r="F33" s="107" t="s">
        <v>27</v>
      </c>
      <c r="G33" s="109" t="s">
        <v>2460</v>
      </c>
      <c r="H33" s="109" t="s">
        <v>2461</v>
      </c>
      <c r="I33" s="107" t="s">
        <v>24</v>
      </c>
      <c r="J33" s="107" t="s">
        <v>27</v>
      </c>
      <c r="K33" s="107"/>
      <c r="L33" s="107"/>
      <c r="M33" s="45"/>
      <c r="N33" s="110"/>
    </row>
    <row r="34" spans="1:14" ht="100.5">
      <c r="A34" s="107" t="s">
        <v>2446</v>
      </c>
      <c r="B34" s="107" t="s">
        <v>1418</v>
      </c>
      <c r="C34" s="81" t="s">
        <v>2462</v>
      </c>
      <c r="D34" s="107" t="s">
        <v>27</v>
      </c>
      <c r="E34" s="107"/>
      <c r="F34" s="107" t="s">
        <v>27</v>
      </c>
      <c r="G34" s="109" t="s">
        <v>2463</v>
      </c>
      <c r="H34" s="109" t="s">
        <v>2464</v>
      </c>
      <c r="I34" s="107" t="s">
        <v>24</v>
      </c>
      <c r="J34" s="107" t="s">
        <v>27</v>
      </c>
      <c r="K34" s="107"/>
      <c r="L34" s="107"/>
      <c r="M34" s="45"/>
      <c r="N34" s="110"/>
    </row>
    <row r="35" spans="1:14" ht="50.25">
      <c r="A35" s="107" t="s">
        <v>2446</v>
      </c>
      <c r="B35" s="107" t="s">
        <v>1144</v>
      </c>
      <c r="C35" s="107" t="s">
        <v>2465</v>
      </c>
      <c r="D35" s="107" t="s">
        <v>27</v>
      </c>
      <c r="E35" s="107"/>
      <c r="F35" s="107" t="s">
        <v>27</v>
      </c>
      <c r="G35" s="108" t="s">
        <v>2466</v>
      </c>
      <c r="H35" s="109"/>
      <c r="I35" s="107" t="s">
        <v>27</v>
      </c>
      <c r="J35" s="107" t="s">
        <v>27</v>
      </c>
      <c r="K35" s="107"/>
      <c r="L35" s="107"/>
      <c r="M35" s="45"/>
      <c r="N35" s="110"/>
    </row>
    <row r="36" spans="1:14" ht="50.25">
      <c r="A36" s="107" t="s">
        <v>2446</v>
      </c>
      <c r="B36" s="107" t="s">
        <v>1142</v>
      </c>
      <c r="C36" s="107" t="s">
        <v>2467</v>
      </c>
      <c r="D36" s="107" t="s">
        <v>27</v>
      </c>
      <c r="E36" s="107"/>
      <c r="F36" s="107" t="s">
        <v>27</v>
      </c>
      <c r="G36" s="108" t="s">
        <v>2468</v>
      </c>
      <c r="H36" s="109"/>
      <c r="I36" s="107" t="s">
        <v>27</v>
      </c>
      <c r="J36" s="107" t="s">
        <v>27</v>
      </c>
      <c r="K36" s="107"/>
      <c r="L36" s="107"/>
      <c r="M36" s="45"/>
      <c r="N36" s="110"/>
    </row>
    <row r="37" spans="1:14" ht="50.25">
      <c r="A37" s="107" t="s">
        <v>2446</v>
      </c>
      <c r="B37" s="107" t="s">
        <v>1132</v>
      </c>
      <c r="C37" s="107" t="s">
        <v>2469</v>
      </c>
      <c r="D37" s="107" t="s">
        <v>27</v>
      </c>
      <c r="E37" s="107"/>
      <c r="F37" s="107" t="s">
        <v>27</v>
      </c>
      <c r="G37" s="108" t="s">
        <v>2470</v>
      </c>
      <c r="H37" s="109"/>
      <c r="I37" s="107" t="s">
        <v>27</v>
      </c>
      <c r="J37" s="107" t="s">
        <v>27</v>
      </c>
      <c r="K37" s="107"/>
      <c r="L37" s="107"/>
      <c r="M37" s="45"/>
      <c r="N37" s="110"/>
    </row>
    <row r="38" spans="1:14" ht="50.25">
      <c r="A38" s="107" t="s">
        <v>2446</v>
      </c>
      <c r="B38" s="107" t="s">
        <v>1130</v>
      </c>
      <c r="C38" s="107" t="s">
        <v>2471</v>
      </c>
      <c r="D38" s="107" t="s">
        <v>27</v>
      </c>
      <c r="E38" s="107"/>
      <c r="F38" s="107" t="s">
        <v>27</v>
      </c>
      <c r="G38" s="108" t="s">
        <v>2472</v>
      </c>
      <c r="H38" s="109"/>
      <c r="I38" s="107" t="s">
        <v>27</v>
      </c>
      <c r="J38" s="107" t="s">
        <v>27</v>
      </c>
      <c r="K38" s="107"/>
      <c r="L38" s="107"/>
      <c r="M38" s="45"/>
      <c r="N38" s="110"/>
    </row>
    <row r="39" spans="1:14" ht="50.25">
      <c r="A39" s="107" t="s">
        <v>2446</v>
      </c>
      <c r="B39" s="107" t="s">
        <v>1136</v>
      </c>
      <c r="C39" s="107" t="s">
        <v>2473</v>
      </c>
      <c r="D39" s="107" t="s">
        <v>27</v>
      </c>
      <c r="E39" s="107"/>
      <c r="F39" s="107" t="s">
        <v>27</v>
      </c>
      <c r="G39" s="108" t="s">
        <v>2474</v>
      </c>
      <c r="H39" s="109"/>
      <c r="I39" s="107" t="s">
        <v>27</v>
      </c>
      <c r="J39" s="107" t="s">
        <v>27</v>
      </c>
      <c r="K39" s="107"/>
      <c r="L39" s="107"/>
      <c r="M39" s="45"/>
      <c r="N39" s="110"/>
    </row>
    <row r="40" spans="1:14" ht="50.25">
      <c r="A40" s="107" t="s">
        <v>2446</v>
      </c>
      <c r="B40" s="107" t="s">
        <v>1134</v>
      </c>
      <c r="C40" s="107" t="s">
        <v>2475</v>
      </c>
      <c r="D40" s="107" t="s">
        <v>27</v>
      </c>
      <c r="E40" s="107"/>
      <c r="F40" s="107" t="s">
        <v>27</v>
      </c>
      <c r="G40" s="108" t="s">
        <v>2476</v>
      </c>
      <c r="H40" s="109"/>
      <c r="I40" s="107" t="s">
        <v>27</v>
      </c>
      <c r="J40" s="107" t="s">
        <v>27</v>
      </c>
      <c r="K40" s="107"/>
      <c r="L40" s="107"/>
      <c r="M40" s="45"/>
      <c r="N40" s="110"/>
    </row>
    <row r="41" spans="1:14" ht="50.25">
      <c r="A41" s="107" t="s">
        <v>2446</v>
      </c>
      <c r="B41" s="107" t="s">
        <v>1128</v>
      </c>
      <c r="C41" s="107" t="s">
        <v>2477</v>
      </c>
      <c r="D41" s="107" t="s">
        <v>27</v>
      </c>
      <c r="E41" s="107"/>
      <c r="F41" s="107" t="s">
        <v>27</v>
      </c>
      <c r="G41" s="108" t="s">
        <v>2478</v>
      </c>
      <c r="H41" s="109"/>
      <c r="I41" s="107" t="s">
        <v>27</v>
      </c>
      <c r="J41" s="107" t="s">
        <v>27</v>
      </c>
      <c r="K41" s="107"/>
      <c r="L41" s="107"/>
      <c r="M41" s="45"/>
      <c r="N41" s="110"/>
    </row>
    <row r="42" spans="1:14" ht="50.25">
      <c r="A42" s="107" t="s">
        <v>2446</v>
      </c>
      <c r="B42" s="107" t="s">
        <v>1126</v>
      </c>
      <c r="C42" s="107" t="s">
        <v>2479</v>
      </c>
      <c r="D42" s="107" t="s">
        <v>27</v>
      </c>
      <c r="E42" s="107"/>
      <c r="F42" s="107" t="s">
        <v>27</v>
      </c>
      <c r="G42" s="108" t="s">
        <v>2480</v>
      </c>
      <c r="H42" s="109"/>
      <c r="I42" s="107" t="s">
        <v>27</v>
      </c>
      <c r="J42" s="107" t="s">
        <v>27</v>
      </c>
      <c r="K42" s="107"/>
      <c r="L42" s="107"/>
      <c r="M42" s="45"/>
      <c r="N42" s="110"/>
    </row>
    <row r="43" spans="1:14" ht="50.25">
      <c r="A43" s="107" t="s">
        <v>2446</v>
      </c>
      <c r="B43" s="107" t="s">
        <v>1452</v>
      </c>
      <c r="C43" s="81" t="s">
        <v>2481</v>
      </c>
      <c r="D43" s="107" t="s">
        <v>27</v>
      </c>
      <c r="E43" s="107"/>
      <c r="F43" s="107" t="s">
        <v>27</v>
      </c>
      <c r="G43" s="108" t="s">
        <v>2482</v>
      </c>
      <c r="H43" s="109"/>
      <c r="I43" s="107" t="s">
        <v>27</v>
      </c>
      <c r="J43" s="107" t="s">
        <v>27</v>
      </c>
      <c r="K43" s="107"/>
      <c r="L43" s="107"/>
      <c r="M43" s="45"/>
      <c r="N43" s="110"/>
    </row>
    <row r="44" spans="1:14" ht="100.5">
      <c r="A44" s="112" t="s">
        <v>2483</v>
      </c>
      <c r="B44" s="112" t="s">
        <v>80</v>
      </c>
      <c r="C44" s="113" t="s">
        <v>2484</v>
      </c>
      <c r="D44" s="107" t="s">
        <v>27</v>
      </c>
      <c r="E44" s="107"/>
      <c r="F44" s="107" t="s">
        <v>27</v>
      </c>
      <c r="G44" s="108" t="s">
        <v>2485</v>
      </c>
      <c r="H44" s="109" t="s">
        <v>2486</v>
      </c>
      <c r="I44" s="107" t="s">
        <v>24</v>
      </c>
      <c r="J44" s="107" t="s">
        <v>27</v>
      </c>
      <c r="K44" s="107"/>
      <c r="L44" s="107"/>
      <c r="M44" s="45"/>
      <c r="N44" s="110"/>
    </row>
    <row r="45" spans="1:14" ht="50.25">
      <c r="A45" s="112" t="s">
        <v>2483</v>
      </c>
      <c r="B45" s="107" t="s">
        <v>84</v>
      </c>
      <c r="C45" s="81" t="s">
        <v>2487</v>
      </c>
      <c r="D45" s="107" t="s">
        <v>27</v>
      </c>
      <c r="E45" s="107"/>
      <c r="F45" s="107" t="s">
        <v>27</v>
      </c>
      <c r="G45" s="108" t="s">
        <v>2488</v>
      </c>
      <c r="H45" s="109" t="s">
        <v>2489</v>
      </c>
      <c r="I45" s="107" t="s">
        <v>24</v>
      </c>
      <c r="J45" s="107" t="s">
        <v>27</v>
      </c>
      <c r="K45" s="107"/>
      <c r="L45" s="107"/>
      <c r="M45" s="45"/>
      <c r="N45" s="110"/>
    </row>
    <row r="46" spans="1:14" ht="50.25">
      <c r="A46" s="112" t="s">
        <v>2483</v>
      </c>
      <c r="B46" s="107" t="s">
        <v>86</v>
      </c>
      <c r="C46" s="81" t="s">
        <v>2490</v>
      </c>
      <c r="D46" s="107" t="s">
        <v>27</v>
      </c>
      <c r="E46" s="107"/>
      <c r="F46" s="107" t="s">
        <v>27</v>
      </c>
      <c r="G46" s="108" t="s">
        <v>2491</v>
      </c>
      <c r="H46" s="109"/>
      <c r="I46" s="107" t="s">
        <v>24</v>
      </c>
      <c r="J46" s="107" t="s">
        <v>27</v>
      </c>
      <c r="K46" s="107"/>
      <c r="L46" s="107"/>
      <c r="M46" s="45"/>
      <c r="N46" s="110"/>
    </row>
    <row r="47" spans="1:14" ht="50.25">
      <c r="A47" s="112" t="s">
        <v>2483</v>
      </c>
      <c r="B47" s="107" t="s">
        <v>2146</v>
      </c>
      <c r="C47" s="81" t="s">
        <v>2492</v>
      </c>
      <c r="D47" s="107" t="s">
        <v>27</v>
      </c>
      <c r="E47" s="107"/>
      <c r="F47" s="107" t="s">
        <v>27</v>
      </c>
      <c r="G47" s="108" t="s">
        <v>2493</v>
      </c>
      <c r="H47" s="109"/>
      <c r="I47" s="107" t="s">
        <v>24</v>
      </c>
      <c r="J47" s="107" t="s">
        <v>27</v>
      </c>
      <c r="K47" s="107"/>
      <c r="L47" s="107"/>
      <c r="M47" s="45"/>
      <c r="N47" s="110"/>
    </row>
    <row r="48" spans="1:14" ht="50.25">
      <c r="A48" s="112" t="s">
        <v>2483</v>
      </c>
      <c r="B48" s="107" t="s">
        <v>2371</v>
      </c>
      <c r="C48" s="81" t="s">
        <v>2494</v>
      </c>
      <c r="D48" s="107" t="s">
        <v>27</v>
      </c>
      <c r="E48" s="107"/>
      <c r="F48" s="107" t="s">
        <v>27</v>
      </c>
      <c r="G48" s="108" t="s">
        <v>2495</v>
      </c>
      <c r="H48" s="109"/>
      <c r="I48" s="107" t="s">
        <v>24</v>
      </c>
      <c r="J48" s="107" t="s">
        <v>27</v>
      </c>
      <c r="K48" s="107"/>
      <c r="L48" s="107"/>
      <c r="M48" s="45"/>
      <c r="N48" s="110"/>
    </row>
    <row r="49" spans="1:14" ht="50.25">
      <c r="A49" s="112" t="s">
        <v>2483</v>
      </c>
      <c r="B49" s="107" t="s">
        <v>2376</v>
      </c>
      <c r="C49" s="81" t="s">
        <v>2496</v>
      </c>
      <c r="D49" s="107" t="s">
        <v>27</v>
      </c>
      <c r="E49" s="107"/>
      <c r="F49" s="107" t="s">
        <v>27</v>
      </c>
      <c r="G49" s="109" t="s">
        <v>2497</v>
      </c>
      <c r="H49" s="109"/>
      <c r="I49" s="107" t="s">
        <v>24</v>
      </c>
      <c r="J49" s="107" t="s">
        <v>27</v>
      </c>
      <c r="K49" s="107"/>
      <c r="L49" s="107"/>
      <c r="M49" s="45"/>
      <c r="N49" s="110"/>
    </row>
    <row r="50" spans="1:14" ht="188.25">
      <c r="A50" s="112" t="s">
        <v>2483</v>
      </c>
      <c r="B50" s="112" t="s">
        <v>438</v>
      </c>
      <c r="C50" s="113" t="s">
        <v>2498</v>
      </c>
      <c r="D50" s="117" t="s">
        <v>94</v>
      </c>
      <c r="E50" s="84" t="s">
        <v>2499</v>
      </c>
      <c r="F50" s="130"/>
      <c r="G50" s="108" t="s">
        <v>2500</v>
      </c>
      <c r="H50" s="109" t="s">
        <v>2501</v>
      </c>
      <c r="I50" s="81" t="s">
        <v>24</v>
      </c>
      <c r="J50" s="81" t="s">
        <v>24</v>
      </c>
      <c r="K50" s="107" t="s">
        <v>24</v>
      </c>
      <c r="L50" s="81"/>
      <c r="M50" s="45"/>
      <c r="N50" s="110"/>
    </row>
    <row r="51" spans="1:14" ht="50.25">
      <c r="A51" s="112" t="s">
        <v>2483</v>
      </c>
      <c r="B51" s="107" t="s">
        <v>2502</v>
      </c>
      <c r="C51" s="81" t="s">
        <v>2503</v>
      </c>
      <c r="D51" s="107" t="s">
        <v>27</v>
      </c>
      <c r="E51" s="84"/>
      <c r="F51" s="107" t="s">
        <v>27</v>
      </c>
      <c r="G51" s="108" t="s">
        <v>2504</v>
      </c>
      <c r="H51" s="109"/>
      <c r="I51" s="107" t="s">
        <v>27</v>
      </c>
      <c r="J51" s="107" t="s">
        <v>27</v>
      </c>
      <c r="K51" s="107"/>
      <c r="L51" s="107"/>
      <c r="M51" s="45"/>
      <c r="N51" s="110"/>
    </row>
    <row r="52" spans="1:14" ht="50.25">
      <c r="A52" s="112" t="s">
        <v>2483</v>
      </c>
      <c r="B52" s="107" t="s">
        <v>2505</v>
      </c>
      <c r="C52" s="81" t="s">
        <v>2506</v>
      </c>
      <c r="D52" s="107" t="s">
        <v>27</v>
      </c>
      <c r="E52" s="107"/>
      <c r="F52" s="107" t="s">
        <v>27</v>
      </c>
      <c r="G52" s="108" t="s">
        <v>2507</v>
      </c>
      <c r="H52" s="109"/>
      <c r="I52" s="107" t="s">
        <v>27</v>
      </c>
      <c r="J52" s="107" t="s">
        <v>27</v>
      </c>
      <c r="K52" s="107"/>
      <c r="L52" s="107"/>
      <c r="M52" s="45"/>
      <c r="N52" s="110"/>
    </row>
    <row r="53" spans="1:14" ht="251.25">
      <c r="A53" s="112" t="s">
        <v>2483</v>
      </c>
      <c r="B53" s="107" t="s">
        <v>2508</v>
      </c>
      <c r="C53" s="113" t="s">
        <v>2509</v>
      </c>
      <c r="D53" s="117" t="s">
        <v>94</v>
      </c>
      <c r="E53" s="117" t="s">
        <v>2510</v>
      </c>
      <c r="F53" s="131"/>
      <c r="G53" s="109" t="s">
        <v>2511</v>
      </c>
      <c r="H53" s="109" t="s">
        <v>2512</v>
      </c>
      <c r="I53" s="107" t="s">
        <v>24</v>
      </c>
      <c r="J53" s="107" t="s">
        <v>24</v>
      </c>
      <c r="K53" s="107" t="s">
        <v>24</v>
      </c>
      <c r="L53" s="107"/>
      <c r="M53" s="45"/>
      <c r="N53" s="110"/>
    </row>
    <row r="54" spans="1:14" ht="100.5">
      <c r="A54" s="107" t="s">
        <v>2513</v>
      </c>
      <c r="B54" s="107" t="s">
        <v>1411</v>
      </c>
      <c r="C54" s="107" t="s">
        <v>2514</v>
      </c>
      <c r="D54" s="107" t="s">
        <v>27</v>
      </c>
      <c r="E54" s="107"/>
      <c r="F54" s="107" t="s">
        <v>27</v>
      </c>
      <c r="G54" s="109" t="s">
        <v>2515</v>
      </c>
      <c r="H54" s="109" t="s">
        <v>2516</v>
      </c>
      <c r="I54" s="107" t="s">
        <v>24</v>
      </c>
      <c r="J54" s="107" t="s">
        <v>27</v>
      </c>
      <c r="K54" s="107"/>
      <c r="L54" s="107"/>
      <c r="M54" s="45"/>
      <c r="N54" s="110"/>
    </row>
    <row r="55" spans="1:14" ht="100.5">
      <c r="A55" s="107" t="s">
        <v>2513</v>
      </c>
      <c r="B55" s="107" t="s">
        <v>1407</v>
      </c>
      <c r="C55" s="81" t="s">
        <v>2517</v>
      </c>
      <c r="D55" s="107" t="s">
        <v>27</v>
      </c>
      <c r="E55" s="107"/>
      <c r="F55" s="107" t="s">
        <v>27</v>
      </c>
      <c r="G55" s="109" t="s">
        <v>2518</v>
      </c>
      <c r="H55" s="109" t="s">
        <v>2519</v>
      </c>
      <c r="I55" s="107" t="s">
        <v>24</v>
      </c>
      <c r="J55" s="107" t="s">
        <v>27</v>
      </c>
      <c r="K55" s="107"/>
      <c r="L55" s="107"/>
      <c r="M55" s="45"/>
      <c r="N55" s="110"/>
    </row>
    <row r="56" spans="1:14" ht="100.5">
      <c r="A56" s="107" t="s">
        <v>2513</v>
      </c>
      <c r="B56" s="107" t="s">
        <v>1140</v>
      </c>
      <c r="C56" s="81" t="s">
        <v>2520</v>
      </c>
      <c r="D56" s="107" t="s">
        <v>27</v>
      </c>
      <c r="E56" s="107"/>
      <c r="F56" s="107" t="s">
        <v>27</v>
      </c>
      <c r="G56" s="109" t="s">
        <v>2521</v>
      </c>
      <c r="H56" s="109" t="s">
        <v>2522</v>
      </c>
      <c r="I56" s="107" t="s">
        <v>24</v>
      </c>
      <c r="J56" s="107" t="s">
        <v>27</v>
      </c>
      <c r="K56" s="107"/>
      <c r="L56" s="107"/>
      <c r="M56" s="45"/>
      <c r="N56" s="110"/>
    </row>
    <row r="57" spans="1:14" ht="100.5">
      <c r="A57" s="107" t="s">
        <v>2513</v>
      </c>
      <c r="B57" s="107" t="s">
        <v>1138</v>
      </c>
      <c r="C57" s="107" t="s">
        <v>2523</v>
      </c>
      <c r="D57" s="107" t="s">
        <v>27</v>
      </c>
      <c r="E57" s="107"/>
      <c r="F57" s="107" t="s">
        <v>27</v>
      </c>
      <c r="G57" s="109" t="s">
        <v>2524</v>
      </c>
      <c r="H57" s="109" t="s">
        <v>2525</v>
      </c>
      <c r="I57" s="107" t="s">
        <v>24</v>
      </c>
      <c r="J57" s="107" t="s">
        <v>27</v>
      </c>
      <c r="K57" s="107"/>
      <c r="L57" s="107"/>
      <c r="M57" s="45"/>
      <c r="N57" s="110"/>
    </row>
    <row r="58" spans="1:14" ht="100.5">
      <c r="A58" s="107" t="s">
        <v>2513</v>
      </c>
      <c r="B58" s="107" t="s">
        <v>1421</v>
      </c>
      <c r="C58" s="107" t="s">
        <v>2526</v>
      </c>
      <c r="D58" s="107" t="s">
        <v>27</v>
      </c>
      <c r="E58" s="107"/>
      <c r="F58" s="107" t="s">
        <v>27</v>
      </c>
      <c r="G58" s="109" t="s">
        <v>2527</v>
      </c>
      <c r="H58" s="109" t="s">
        <v>2528</v>
      </c>
      <c r="I58" s="107" t="s">
        <v>24</v>
      </c>
      <c r="J58" s="107" t="s">
        <v>27</v>
      </c>
      <c r="K58" s="107"/>
      <c r="L58" s="107"/>
      <c r="M58" s="45"/>
      <c r="N58" s="110"/>
    </row>
    <row r="59" spans="1:14" ht="100.5">
      <c r="A59" s="107" t="s">
        <v>2513</v>
      </c>
      <c r="B59" s="107" t="s">
        <v>1418</v>
      </c>
      <c r="C59" s="81" t="s">
        <v>2529</v>
      </c>
      <c r="D59" s="107" t="s">
        <v>27</v>
      </c>
      <c r="E59" s="107"/>
      <c r="F59" s="107" t="s">
        <v>27</v>
      </c>
      <c r="G59" s="109" t="s">
        <v>2530</v>
      </c>
      <c r="H59" s="109" t="s">
        <v>2531</v>
      </c>
      <c r="I59" s="107" t="s">
        <v>24</v>
      </c>
      <c r="J59" s="107" t="s">
        <v>27</v>
      </c>
      <c r="K59" s="107"/>
      <c r="L59" s="107"/>
      <c r="M59" s="45"/>
      <c r="N59" s="110"/>
    </row>
    <row r="60" spans="1:14" ht="50.25">
      <c r="A60" s="107" t="s">
        <v>2513</v>
      </c>
      <c r="B60" s="107" t="s">
        <v>1144</v>
      </c>
      <c r="C60" s="81" t="s">
        <v>2532</v>
      </c>
      <c r="D60" s="107" t="s">
        <v>27</v>
      </c>
      <c r="E60" s="107"/>
      <c r="F60" s="107" t="s">
        <v>27</v>
      </c>
      <c r="G60" s="108" t="s">
        <v>2533</v>
      </c>
      <c r="H60" s="109"/>
      <c r="I60" s="107" t="s">
        <v>27</v>
      </c>
      <c r="J60" s="107" t="s">
        <v>27</v>
      </c>
      <c r="K60" s="107"/>
      <c r="L60" s="107"/>
      <c r="M60" s="45"/>
      <c r="N60" s="110"/>
    </row>
    <row r="61" spans="1:14" ht="50.25">
      <c r="A61" s="107" t="s">
        <v>2513</v>
      </c>
      <c r="B61" s="107" t="s">
        <v>1142</v>
      </c>
      <c r="C61" s="81" t="s">
        <v>2534</v>
      </c>
      <c r="D61" s="107" t="s">
        <v>27</v>
      </c>
      <c r="E61" s="107"/>
      <c r="F61" s="107" t="s">
        <v>27</v>
      </c>
      <c r="G61" s="108" t="s">
        <v>2535</v>
      </c>
      <c r="H61" s="109"/>
      <c r="I61" s="107" t="s">
        <v>27</v>
      </c>
      <c r="J61" s="107" t="s">
        <v>27</v>
      </c>
      <c r="K61" s="107"/>
      <c r="L61" s="107"/>
      <c r="M61" s="45"/>
      <c r="N61" s="110"/>
    </row>
    <row r="62" spans="1:14" ht="50.25">
      <c r="A62" s="107" t="s">
        <v>2513</v>
      </c>
      <c r="B62" s="107" t="s">
        <v>1132</v>
      </c>
      <c r="C62" s="81" t="s">
        <v>2536</v>
      </c>
      <c r="D62" s="107" t="s">
        <v>27</v>
      </c>
      <c r="E62" s="107"/>
      <c r="F62" s="107" t="s">
        <v>27</v>
      </c>
      <c r="G62" s="108" t="s">
        <v>2537</v>
      </c>
      <c r="H62" s="109"/>
      <c r="I62" s="107" t="s">
        <v>27</v>
      </c>
      <c r="J62" s="107" t="s">
        <v>27</v>
      </c>
      <c r="K62" s="107"/>
      <c r="L62" s="107"/>
      <c r="M62" s="45"/>
      <c r="N62" s="110"/>
    </row>
    <row r="63" spans="1:14" ht="50.25">
      <c r="A63" s="107" t="s">
        <v>2513</v>
      </c>
      <c r="B63" s="107" t="s">
        <v>1130</v>
      </c>
      <c r="C63" s="81" t="s">
        <v>2538</v>
      </c>
      <c r="D63" s="107" t="s">
        <v>806</v>
      </c>
      <c r="E63" s="107"/>
      <c r="F63" s="107" t="s">
        <v>27</v>
      </c>
      <c r="G63" s="108" t="s">
        <v>2539</v>
      </c>
      <c r="H63" s="109"/>
      <c r="I63" s="107" t="s">
        <v>27</v>
      </c>
      <c r="J63" s="107" t="s">
        <v>27</v>
      </c>
      <c r="K63" s="107"/>
      <c r="L63" s="107"/>
      <c r="M63" s="45"/>
      <c r="N63" s="110"/>
    </row>
    <row r="64" spans="1:14" ht="50.25">
      <c r="A64" s="107" t="s">
        <v>2513</v>
      </c>
      <c r="B64" s="107" t="s">
        <v>1136</v>
      </c>
      <c r="C64" s="81" t="s">
        <v>2540</v>
      </c>
      <c r="D64" s="107" t="s">
        <v>27</v>
      </c>
      <c r="E64" s="107"/>
      <c r="F64" s="107" t="s">
        <v>27</v>
      </c>
      <c r="G64" s="108" t="s">
        <v>2541</v>
      </c>
      <c r="H64" s="109"/>
      <c r="I64" s="107" t="s">
        <v>27</v>
      </c>
      <c r="J64" s="107" t="s">
        <v>27</v>
      </c>
      <c r="K64" s="107"/>
      <c r="L64" s="107"/>
      <c r="M64" s="45"/>
      <c r="N64" s="110"/>
    </row>
    <row r="65" spans="1:14" ht="50.25">
      <c r="A65" s="107" t="s">
        <v>2513</v>
      </c>
      <c r="B65" s="107" t="s">
        <v>1134</v>
      </c>
      <c r="C65" s="81" t="s">
        <v>2542</v>
      </c>
      <c r="D65" s="107" t="s">
        <v>27</v>
      </c>
      <c r="E65" s="107"/>
      <c r="F65" s="107" t="s">
        <v>27</v>
      </c>
      <c r="G65" s="108" t="s">
        <v>2543</v>
      </c>
      <c r="H65" s="109"/>
      <c r="I65" s="107" t="s">
        <v>27</v>
      </c>
      <c r="J65" s="107" t="s">
        <v>27</v>
      </c>
      <c r="K65" s="107"/>
      <c r="L65" s="107"/>
      <c r="M65" s="45"/>
      <c r="N65" s="110"/>
    </row>
    <row r="66" spans="1:14" ht="50.25">
      <c r="A66" s="107" t="s">
        <v>2513</v>
      </c>
      <c r="B66" s="107" t="s">
        <v>1128</v>
      </c>
      <c r="C66" s="107" t="s">
        <v>2544</v>
      </c>
      <c r="D66" s="107" t="s">
        <v>27</v>
      </c>
      <c r="E66" s="107"/>
      <c r="F66" s="107" t="s">
        <v>27</v>
      </c>
      <c r="G66" s="108" t="s">
        <v>2545</v>
      </c>
      <c r="H66" s="109"/>
      <c r="I66" s="107" t="s">
        <v>27</v>
      </c>
      <c r="J66" s="107" t="s">
        <v>27</v>
      </c>
      <c r="K66" s="107"/>
      <c r="L66" s="107"/>
      <c r="M66" s="45"/>
      <c r="N66" s="110"/>
    </row>
    <row r="67" spans="1:14" ht="50.25">
      <c r="A67" s="107" t="s">
        <v>2513</v>
      </c>
      <c r="B67" s="107" t="s">
        <v>1126</v>
      </c>
      <c r="C67" s="81" t="s">
        <v>2546</v>
      </c>
      <c r="D67" s="107" t="s">
        <v>27</v>
      </c>
      <c r="E67" s="107"/>
      <c r="F67" s="107" t="s">
        <v>27</v>
      </c>
      <c r="G67" s="108" t="s">
        <v>2547</v>
      </c>
      <c r="H67" s="109"/>
      <c r="I67" s="107" t="s">
        <v>27</v>
      </c>
      <c r="J67" s="107" t="s">
        <v>27</v>
      </c>
      <c r="K67" s="107"/>
      <c r="L67" s="107"/>
      <c r="M67" s="45"/>
      <c r="N67" s="110"/>
    </row>
    <row r="68" spans="1:14" ht="50.25">
      <c r="A68" s="107" t="s">
        <v>2513</v>
      </c>
      <c r="B68" s="107" t="s">
        <v>1452</v>
      </c>
      <c r="C68" s="81" t="s">
        <v>2548</v>
      </c>
      <c r="D68" s="107" t="s">
        <v>27</v>
      </c>
      <c r="E68" s="107"/>
      <c r="F68" s="107" t="s">
        <v>27</v>
      </c>
      <c r="G68" s="108" t="s">
        <v>2549</v>
      </c>
      <c r="H68" s="109"/>
      <c r="I68" s="107" t="s">
        <v>27</v>
      </c>
      <c r="J68" s="107" t="s">
        <v>27</v>
      </c>
      <c r="K68" s="107"/>
      <c r="L68" s="107"/>
      <c r="M68" s="45"/>
      <c r="N68" s="110"/>
    </row>
    <row r="69" spans="1:14" ht="12.75">
      <c r="A69" s="107" t="s">
        <v>2550</v>
      </c>
      <c r="B69" s="107" t="s">
        <v>80</v>
      </c>
      <c r="C69" s="81" t="s">
        <v>2551</v>
      </c>
      <c r="D69" s="107" t="s">
        <v>27</v>
      </c>
      <c r="E69" s="107"/>
      <c r="F69" s="107"/>
      <c r="G69" s="113"/>
      <c r="H69" s="132"/>
      <c r="I69" s="107" t="s">
        <v>27</v>
      </c>
      <c r="J69" s="107" t="s">
        <v>27</v>
      </c>
      <c r="K69" s="107"/>
      <c r="L69" s="107"/>
      <c r="M69" s="45"/>
      <c r="N69" s="107" t="s">
        <v>2552</v>
      </c>
    </row>
    <row r="70" spans="1:14">
      <c r="A70" s="107" t="s">
        <v>2550</v>
      </c>
      <c r="B70" s="107" t="s">
        <v>84</v>
      </c>
      <c r="C70" s="107" t="s">
        <v>2553</v>
      </c>
      <c r="D70" s="107" t="s">
        <v>27</v>
      </c>
      <c r="E70" s="107"/>
      <c r="F70" s="107"/>
      <c r="G70" s="112"/>
      <c r="H70" s="132"/>
      <c r="I70" s="107" t="s">
        <v>27</v>
      </c>
      <c r="J70" s="107" t="s">
        <v>27</v>
      </c>
      <c r="K70" s="107"/>
      <c r="L70" s="107"/>
      <c r="M70" s="45"/>
      <c r="N70" s="107" t="s">
        <v>2552</v>
      </c>
    </row>
    <row r="71" spans="1:14" ht="12.75">
      <c r="A71" s="107" t="s">
        <v>2550</v>
      </c>
      <c r="B71" s="107" t="s">
        <v>86</v>
      </c>
      <c r="C71" s="81" t="s">
        <v>2554</v>
      </c>
      <c r="D71" s="107" t="s">
        <v>27</v>
      </c>
      <c r="E71" s="107"/>
      <c r="F71" s="107"/>
      <c r="G71" s="112"/>
      <c r="H71" s="132"/>
      <c r="I71" s="107" t="s">
        <v>27</v>
      </c>
      <c r="J71" s="107" t="s">
        <v>27</v>
      </c>
      <c r="K71" s="107"/>
      <c r="L71" s="107"/>
      <c r="M71" s="45"/>
      <c r="N71" s="107" t="s">
        <v>2552</v>
      </c>
    </row>
    <row r="72" spans="1:14">
      <c r="A72" s="107" t="s">
        <v>2550</v>
      </c>
      <c r="B72" s="107" t="s">
        <v>2146</v>
      </c>
      <c r="C72" s="107" t="s">
        <v>2555</v>
      </c>
      <c r="D72" s="107" t="s">
        <v>27</v>
      </c>
      <c r="E72" s="107"/>
      <c r="F72" s="107"/>
      <c r="G72" s="112"/>
      <c r="H72" s="132"/>
      <c r="I72" s="107" t="s">
        <v>27</v>
      </c>
      <c r="J72" s="107" t="s">
        <v>27</v>
      </c>
      <c r="K72" s="107"/>
      <c r="L72" s="107"/>
      <c r="M72" s="45"/>
      <c r="N72" s="107" t="s">
        <v>2552</v>
      </c>
    </row>
    <row r="73" spans="1:14">
      <c r="A73" s="107" t="s">
        <v>2550</v>
      </c>
      <c r="B73" s="107" t="s">
        <v>2371</v>
      </c>
      <c r="C73" s="107" t="s">
        <v>2556</v>
      </c>
      <c r="D73" s="107" t="s">
        <v>27</v>
      </c>
      <c r="E73" s="107"/>
      <c r="F73" s="107"/>
      <c r="G73" s="112"/>
      <c r="H73" s="132"/>
      <c r="I73" s="107" t="s">
        <v>27</v>
      </c>
      <c r="J73" s="107" t="s">
        <v>27</v>
      </c>
      <c r="K73" s="107"/>
      <c r="L73" s="107"/>
      <c r="M73" s="45"/>
      <c r="N73" s="107" t="s">
        <v>2552</v>
      </c>
    </row>
    <row r="74" spans="1:14" ht="12.75">
      <c r="A74" s="107" t="s">
        <v>2550</v>
      </c>
      <c r="B74" s="107" t="s">
        <v>2376</v>
      </c>
      <c r="C74" s="81" t="s">
        <v>2557</v>
      </c>
      <c r="D74" s="107" t="s">
        <v>27</v>
      </c>
      <c r="E74" s="107"/>
      <c r="F74" s="107"/>
      <c r="G74" s="112"/>
      <c r="H74" s="132"/>
      <c r="I74" s="107" t="s">
        <v>27</v>
      </c>
      <c r="J74" s="107" t="s">
        <v>27</v>
      </c>
      <c r="K74" s="107"/>
      <c r="L74" s="107"/>
      <c r="M74" s="45"/>
      <c r="N74" s="107" t="s">
        <v>2552</v>
      </c>
    </row>
    <row r="75" spans="1:14" ht="12.75">
      <c r="A75" s="107" t="s">
        <v>2550</v>
      </c>
      <c r="B75" s="107" t="s">
        <v>2558</v>
      </c>
      <c r="C75" s="81" t="s">
        <v>2559</v>
      </c>
      <c r="D75" s="107" t="s">
        <v>27</v>
      </c>
      <c r="E75" s="107"/>
      <c r="F75" s="107"/>
      <c r="G75" s="112"/>
      <c r="H75" s="132"/>
      <c r="I75" s="107" t="s">
        <v>27</v>
      </c>
      <c r="J75" s="107" t="s">
        <v>27</v>
      </c>
      <c r="K75" s="107"/>
      <c r="L75" s="107"/>
      <c r="M75" s="45"/>
      <c r="N75" s="107" t="s">
        <v>2552</v>
      </c>
    </row>
    <row r="76" spans="1:14" ht="12.75">
      <c r="A76" s="107" t="s">
        <v>2550</v>
      </c>
      <c r="B76" s="107" t="s">
        <v>2560</v>
      </c>
      <c r="C76" s="81" t="s">
        <v>2561</v>
      </c>
      <c r="D76" s="107" t="s">
        <v>27</v>
      </c>
      <c r="E76" s="107"/>
      <c r="F76" s="107"/>
      <c r="G76" s="112"/>
      <c r="H76" s="132"/>
      <c r="I76" s="107" t="s">
        <v>27</v>
      </c>
      <c r="J76" s="107" t="s">
        <v>27</v>
      </c>
      <c r="K76" s="107"/>
      <c r="L76" s="107"/>
      <c r="M76" s="45"/>
      <c r="N76" s="107" t="s">
        <v>2552</v>
      </c>
    </row>
    <row r="77" spans="1:14" ht="162.75">
      <c r="A77" s="107" t="s">
        <v>2550</v>
      </c>
      <c r="B77" s="107" t="s">
        <v>2562</v>
      </c>
      <c r="C77" s="107" t="s">
        <v>2563</v>
      </c>
      <c r="D77" s="107" t="s">
        <v>27</v>
      </c>
      <c r="E77" s="107"/>
      <c r="F77" s="107"/>
      <c r="G77" s="112"/>
      <c r="H77" s="115" t="s">
        <v>2564</v>
      </c>
      <c r="I77" s="107" t="s">
        <v>27</v>
      </c>
      <c r="J77" s="107" t="s">
        <v>27</v>
      </c>
      <c r="K77" s="133"/>
      <c r="L77" s="133"/>
      <c r="M77" s="45"/>
      <c r="N77" s="107" t="s">
        <v>2552</v>
      </c>
    </row>
    <row r="78" spans="1:14" ht="12.75">
      <c r="A78" s="107" t="s">
        <v>2565</v>
      </c>
      <c r="B78" s="107" t="s">
        <v>1411</v>
      </c>
      <c r="C78" s="81" t="s">
        <v>2566</v>
      </c>
      <c r="D78" s="107" t="s">
        <v>27</v>
      </c>
      <c r="E78" s="107"/>
      <c r="F78" s="81"/>
      <c r="G78" s="119"/>
      <c r="H78" s="120"/>
      <c r="I78" s="107" t="s">
        <v>27</v>
      </c>
      <c r="J78" s="107" t="s">
        <v>27</v>
      </c>
      <c r="K78" s="107"/>
      <c r="L78" s="107"/>
      <c r="M78" s="45"/>
      <c r="N78" s="107" t="s">
        <v>2552</v>
      </c>
    </row>
    <row r="79" spans="1:14" ht="12.75">
      <c r="A79" s="107" t="s">
        <v>2565</v>
      </c>
      <c r="B79" s="107" t="s">
        <v>1407</v>
      </c>
      <c r="C79" s="81" t="s">
        <v>2567</v>
      </c>
      <c r="D79" s="107" t="s">
        <v>27</v>
      </c>
      <c r="E79" s="107"/>
      <c r="F79" s="81"/>
      <c r="G79" s="119"/>
      <c r="H79" s="120"/>
      <c r="I79" s="107" t="s">
        <v>27</v>
      </c>
      <c r="J79" s="107" t="s">
        <v>27</v>
      </c>
      <c r="K79" s="107"/>
      <c r="L79" s="107"/>
      <c r="M79" s="45"/>
      <c r="N79" s="107" t="s">
        <v>2552</v>
      </c>
    </row>
    <row r="80" spans="1:14" ht="12.75">
      <c r="A80" s="107" t="s">
        <v>2565</v>
      </c>
      <c r="B80" s="107" t="s">
        <v>1140</v>
      </c>
      <c r="C80" s="81" t="s">
        <v>2568</v>
      </c>
      <c r="D80" s="107" t="s">
        <v>27</v>
      </c>
      <c r="E80" s="107"/>
      <c r="F80" s="81"/>
      <c r="G80" s="119"/>
      <c r="H80" s="120"/>
      <c r="I80" s="107" t="s">
        <v>27</v>
      </c>
      <c r="J80" s="107" t="s">
        <v>27</v>
      </c>
      <c r="K80" s="107"/>
      <c r="L80" s="107"/>
      <c r="M80" s="45"/>
      <c r="N80" s="107" t="s">
        <v>2552</v>
      </c>
    </row>
    <row r="81" spans="1:14">
      <c r="A81" s="107" t="s">
        <v>2565</v>
      </c>
      <c r="B81" s="107" t="s">
        <v>1138</v>
      </c>
      <c r="C81" s="107" t="s">
        <v>2569</v>
      </c>
      <c r="D81" s="107" t="s">
        <v>27</v>
      </c>
      <c r="E81" s="107"/>
      <c r="F81" s="107"/>
      <c r="G81" s="119"/>
      <c r="H81" s="120"/>
      <c r="I81" s="107" t="s">
        <v>27</v>
      </c>
      <c r="J81" s="107" t="s">
        <v>27</v>
      </c>
      <c r="K81" s="107"/>
      <c r="L81" s="107"/>
      <c r="M81" s="45"/>
      <c r="N81" s="107" t="s">
        <v>2552</v>
      </c>
    </row>
    <row r="82" spans="1:14">
      <c r="A82" s="107" t="s">
        <v>2565</v>
      </c>
      <c r="B82" s="107" t="s">
        <v>1421</v>
      </c>
      <c r="C82" s="107" t="s">
        <v>2570</v>
      </c>
      <c r="D82" s="107" t="s">
        <v>27</v>
      </c>
      <c r="E82" s="107"/>
      <c r="F82" s="107"/>
      <c r="G82" s="119"/>
      <c r="H82" s="120"/>
      <c r="I82" s="107" t="s">
        <v>27</v>
      </c>
      <c r="J82" s="107" t="s">
        <v>27</v>
      </c>
      <c r="K82" s="107"/>
      <c r="L82" s="107"/>
      <c r="M82" s="45"/>
      <c r="N82" s="107" t="s">
        <v>2552</v>
      </c>
    </row>
    <row r="83" spans="1:14">
      <c r="A83" s="107" t="s">
        <v>2565</v>
      </c>
      <c r="B83" s="107" t="s">
        <v>1418</v>
      </c>
      <c r="C83" s="107" t="s">
        <v>2571</v>
      </c>
      <c r="D83" s="107" t="s">
        <v>27</v>
      </c>
      <c r="E83" s="107"/>
      <c r="F83" s="107"/>
      <c r="G83" s="119"/>
      <c r="H83" s="120"/>
      <c r="I83" s="107" t="s">
        <v>27</v>
      </c>
      <c r="J83" s="107" t="s">
        <v>27</v>
      </c>
      <c r="K83" s="107"/>
      <c r="L83" s="107"/>
      <c r="M83" s="45"/>
      <c r="N83" s="107" t="s">
        <v>2552</v>
      </c>
    </row>
    <row r="84" spans="1:14">
      <c r="A84" s="107" t="s">
        <v>2565</v>
      </c>
      <c r="B84" s="107" t="s">
        <v>1144</v>
      </c>
      <c r="C84" s="107" t="s">
        <v>2572</v>
      </c>
      <c r="D84" s="107" t="s">
        <v>27</v>
      </c>
      <c r="E84" s="107"/>
      <c r="F84" s="107"/>
      <c r="G84" s="119"/>
      <c r="H84" s="120"/>
      <c r="I84" s="107" t="s">
        <v>27</v>
      </c>
      <c r="J84" s="107" t="s">
        <v>27</v>
      </c>
      <c r="K84" s="107"/>
      <c r="L84" s="107"/>
      <c r="M84" s="45"/>
      <c r="N84" s="107" t="s">
        <v>2552</v>
      </c>
    </row>
    <row r="85" spans="1:14">
      <c r="A85" s="107" t="s">
        <v>2565</v>
      </c>
      <c r="B85" s="107" t="s">
        <v>1142</v>
      </c>
      <c r="C85" s="107" t="s">
        <v>2573</v>
      </c>
      <c r="D85" s="107" t="s">
        <v>27</v>
      </c>
      <c r="E85" s="107"/>
      <c r="F85" s="107"/>
      <c r="G85" s="119"/>
      <c r="H85" s="120"/>
      <c r="I85" s="107" t="s">
        <v>27</v>
      </c>
      <c r="J85" s="107" t="s">
        <v>27</v>
      </c>
      <c r="K85" s="107"/>
      <c r="L85" s="107"/>
      <c r="M85" s="45"/>
      <c r="N85" s="107" t="s">
        <v>2552</v>
      </c>
    </row>
    <row r="86" spans="1:14">
      <c r="A86" s="107" t="s">
        <v>2565</v>
      </c>
      <c r="B86" s="107" t="s">
        <v>1132</v>
      </c>
      <c r="C86" s="107" t="s">
        <v>2574</v>
      </c>
      <c r="D86" s="107" t="s">
        <v>27</v>
      </c>
      <c r="E86" s="107"/>
      <c r="F86" s="107"/>
      <c r="G86" s="119"/>
      <c r="H86" s="120"/>
      <c r="I86" s="107" t="s">
        <v>27</v>
      </c>
      <c r="J86" s="107" t="s">
        <v>27</v>
      </c>
      <c r="K86" s="107"/>
      <c r="L86" s="107"/>
      <c r="M86" s="45"/>
      <c r="N86" s="107" t="s">
        <v>2552</v>
      </c>
    </row>
    <row r="87" spans="1:14">
      <c r="A87" s="107" t="s">
        <v>2565</v>
      </c>
      <c r="B87" s="107" t="s">
        <v>1130</v>
      </c>
      <c r="C87" s="107" t="s">
        <v>2575</v>
      </c>
      <c r="D87" s="107" t="s">
        <v>27</v>
      </c>
      <c r="E87" s="107"/>
      <c r="F87" s="107"/>
      <c r="G87" s="119"/>
      <c r="H87" s="120"/>
      <c r="I87" s="107" t="s">
        <v>27</v>
      </c>
      <c r="J87" s="107" t="s">
        <v>27</v>
      </c>
      <c r="K87" s="107"/>
      <c r="L87" s="107"/>
      <c r="M87" s="45"/>
      <c r="N87" s="107" t="s">
        <v>2552</v>
      </c>
    </row>
    <row r="88" spans="1:14">
      <c r="A88" s="107" t="s">
        <v>2565</v>
      </c>
      <c r="B88" s="107" t="s">
        <v>1136</v>
      </c>
      <c r="C88" s="107" t="s">
        <v>2576</v>
      </c>
      <c r="D88" s="107" t="s">
        <v>27</v>
      </c>
      <c r="E88" s="107"/>
      <c r="F88" s="107"/>
      <c r="G88" s="119"/>
      <c r="H88" s="120"/>
      <c r="I88" s="107" t="s">
        <v>27</v>
      </c>
      <c r="J88" s="107" t="s">
        <v>27</v>
      </c>
      <c r="K88" s="107"/>
      <c r="L88" s="107"/>
      <c r="M88" s="45"/>
      <c r="N88" s="107" t="s">
        <v>2552</v>
      </c>
    </row>
    <row r="89" spans="1:14">
      <c r="A89" s="107" t="s">
        <v>2565</v>
      </c>
      <c r="B89" s="107" t="s">
        <v>1134</v>
      </c>
      <c r="C89" s="107" t="s">
        <v>2577</v>
      </c>
      <c r="D89" s="107" t="s">
        <v>27</v>
      </c>
      <c r="E89" s="107"/>
      <c r="F89" s="107"/>
      <c r="G89" s="119"/>
      <c r="H89" s="120"/>
      <c r="I89" s="107" t="s">
        <v>27</v>
      </c>
      <c r="J89" s="107" t="s">
        <v>27</v>
      </c>
      <c r="K89" s="107"/>
      <c r="L89" s="107"/>
      <c r="M89" s="45"/>
      <c r="N89" s="107" t="s">
        <v>2552</v>
      </c>
    </row>
    <row r="90" spans="1:14">
      <c r="A90" s="107" t="s">
        <v>2565</v>
      </c>
      <c r="B90" s="107" t="s">
        <v>1128</v>
      </c>
      <c r="C90" s="107" t="s">
        <v>2578</v>
      </c>
      <c r="D90" s="107" t="s">
        <v>27</v>
      </c>
      <c r="E90" s="107"/>
      <c r="F90" s="107"/>
      <c r="G90" s="119"/>
      <c r="H90" s="120"/>
      <c r="I90" s="107" t="s">
        <v>27</v>
      </c>
      <c r="J90" s="107" t="s">
        <v>27</v>
      </c>
      <c r="K90" s="107"/>
      <c r="L90" s="107"/>
      <c r="M90" s="45"/>
      <c r="N90" s="107" t="s">
        <v>2552</v>
      </c>
    </row>
    <row r="91" spans="1:14">
      <c r="A91" s="107" t="s">
        <v>2565</v>
      </c>
      <c r="B91" s="107" t="s">
        <v>1126</v>
      </c>
      <c r="C91" s="107" t="s">
        <v>2579</v>
      </c>
      <c r="D91" s="107" t="s">
        <v>27</v>
      </c>
      <c r="E91" s="107"/>
      <c r="F91" s="107"/>
      <c r="G91" s="119"/>
      <c r="H91" s="120"/>
      <c r="I91" s="107" t="s">
        <v>27</v>
      </c>
      <c r="J91" s="107" t="s">
        <v>27</v>
      </c>
      <c r="K91" s="107"/>
      <c r="L91" s="107"/>
      <c r="M91" s="45"/>
      <c r="N91" s="107" t="s">
        <v>2552</v>
      </c>
    </row>
    <row r="92" spans="1:14">
      <c r="A92" s="107" t="s">
        <v>2565</v>
      </c>
      <c r="B92" s="107" t="s">
        <v>1452</v>
      </c>
      <c r="C92" s="107" t="s">
        <v>2580</v>
      </c>
      <c r="D92" s="107" t="s">
        <v>27</v>
      </c>
      <c r="E92" s="107"/>
      <c r="F92" s="107"/>
      <c r="G92" s="119"/>
      <c r="H92" s="120"/>
      <c r="I92" s="107" t="s">
        <v>27</v>
      </c>
      <c r="J92" s="107" t="s">
        <v>27</v>
      </c>
      <c r="K92" s="107"/>
      <c r="L92" s="107"/>
      <c r="M92" s="45"/>
      <c r="N92" s="107" t="s">
        <v>2552</v>
      </c>
    </row>
    <row r="93" spans="1:14" ht="251.25">
      <c r="A93" s="107" t="s">
        <v>2581</v>
      </c>
      <c r="B93" s="107" t="s">
        <v>80</v>
      </c>
      <c r="C93" s="81" t="s">
        <v>2582</v>
      </c>
      <c r="D93" s="117" t="s">
        <v>94</v>
      </c>
      <c r="E93" s="88" t="s">
        <v>2583</v>
      </c>
      <c r="F93" s="107"/>
      <c r="G93" s="108" t="s">
        <v>2584</v>
      </c>
      <c r="H93" s="120"/>
      <c r="I93" s="123" t="s">
        <v>311</v>
      </c>
      <c r="J93" s="123" t="s">
        <v>28</v>
      </c>
      <c r="K93" s="77" t="s">
        <v>28</v>
      </c>
      <c r="L93" s="124" t="s">
        <v>2585</v>
      </c>
      <c r="M93" s="45"/>
      <c r="N93" s="129"/>
    </row>
    <row r="94" spans="1:14" ht="50.25">
      <c r="A94" s="107" t="s">
        <v>2581</v>
      </c>
      <c r="B94" s="107" t="s">
        <v>84</v>
      </c>
      <c r="C94" s="81" t="s">
        <v>2586</v>
      </c>
      <c r="D94" s="117" t="s">
        <v>94</v>
      </c>
      <c r="E94" s="88" t="s">
        <v>2583</v>
      </c>
      <c r="F94" s="107"/>
      <c r="G94" s="108" t="s">
        <v>2587</v>
      </c>
      <c r="H94" s="120"/>
      <c r="I94" s="123" t="s">
        <v>311</v>
      </c>
      <c r="J94" s="123" t="s">
        <v>28</v>
      </c>
      <c r="K94" s="77" t="s">
        <v>28</v>
      </c>
      <c r="L94" s="123"/>
      <c r="M94" s="45"/>
      <c r="N94" s="129"/>
    </row>
    <row r="95" spans="1:14" ht="50.25">
      <c r="A95" s="107" t="s">
        <v>2581</v>
      </c>
      <c r="B95" s="107" t="s">
        <v>86</v>
      </c>
      <c r="C95" s="81" t="s">
        <v>2588</v>
      </c>
      <c r="D95" s="117" t="s">
        <v>94</v>
      </c>
      <c r="E95" s="88" t="s">
        <v>2583</v>
      </c>
      <c r="F95" s="107"/>
      <c r="G95" s="108" t="s">
        <v>2589</v>
      </c>
      <c r="H95" s="120"/>
      <c r="I95" s="123" t="s">
        <v>311</v>
      </c>
      <c r="J95" s="123" t="s">
        <v>28</v>
      </c>
      <c r="K95" s="134" t="s">
        <v>28</v>
      </c>
      <c r="L95" s="123"/>
      <c r="M95" s="45"/>
      <c r="N95" s="129"/>
    </row>
    <row r="96" spans="1:14" ht="50.25">
      <c r="A96" s="107" t="s">
        <v>2581</v>
      </c>
      <c r="B96" s="107" t="s">
        <v>2146</v>
      </c>
      <c r="C96" s="81" t="s">
        <v>2590</v>
      </c>
      <c r="D96" s="117" t="s">
        <v>94</v>
      </c>
      <c r="E96" s="88" t="s">
        <v>2583</v>
      </c>
      <c r="F96" s="107"/>
      <c r="G96" s="108" t="s">
        <v>2591</v>
      </c>
      <c r="H96" s="120"/>
      <c r="I96" s="123" t="s">
        <v>311</v>
      </c>
      <c r="J96" s="123" t="s">
        <v>28</v>
      </c>
      <c r="K96" s="134" t="s">
        <v>28</v>
      </c>
      <c r="L96" s="123"/>
      <c r="M96" s="45"/>
      <c r="N96" s="129"/>
    </row>
    <row r="97" spans="1:14" ht="50.25">
      <c r="A97" s="107" t="s">
        <v>2581</v>
      </c>
      <c r="B97" s="107" t="s">
        <v>88</v>
      </c>
      <c r="C97" s="81" t="s">
        <v>2592</v>
      </c>
      <c r="D97" s="117" t="s">
        <v>94</v>
      </c>
      <c r="E97" s="88" t="s">
        <v>2583</v>
      </c>
      <c r="F97" s="107"/>
      <c r="G97" s="108" t="s">
        <v>2593</v>
      </c>
      <c r="H97" s="120"/>
      <c r="I97" s="123" t="s">
        <v>311</v>
      </c>
      <c r="J97" s="123" t="s">
        <v>28</v>
      </c>
      <c r="K97" s="134" t="s">
        <v>28</v>
      </c>
      <c r="L97" s="123"/>
      <c r="M97" s="45"/>
      <c r="N97" s="129"/>
    </row>
    <row r="98" spans="1:14" ht="50.25">
      <c r="A98" s="107" t="s">
        <v>2581</v>
      </c>
      <c r="B98" s="107" t="s">
        <v>2558</v>
      </c>
      <c r="C98" s="81" t="s">
        <v>2594</v>
      </c>
      <c r="D98" s="117" t="s">
        <v>94</v>
      </c>
      <c r="E98" s="88" t="s">
        <v>2583</v>
      </c>
      <c r="F98" s="107"/>
      <c r="G98" s="108" t="s">
        <v>2595</v>
      </c>
      <c r="H98" s="120"/>
      <c r="I98" s="123" t="s">
        <v>311</v>
      </c>
      <c r="J98" s="123" t="s">
        <v>28</v>
      </c>
      <c r="K98" s="134" t="s">
        <v>28</v>
      </c>
      <c r="L98" s="123"/>
      <c r="M98" s="45"/>
      <c r="N98" s="129"/>
    </row>
    <row r="99" spans="1:14" ht="50.25">
      <c r="A99" s="107" t="s">
        <v>2581</v>
      </c>
      <c r="B99" s="107" t="s">
        <v>90</v>
      </c>
      <c r="C99" s="81" t="s">
        <v>2596</v>
      </c>
      <c r="D99" s="117" t="s">
        <v>94</v>
      </c>
      <c r="E99" s="88" t="s">
        <v>2583</v>
      </c>
      <c r="F99" s="107"/>
      <c r="G99" s="108" t="s">
        <v>2597</v>
      </c>
      <c r="H99" s="120"/>
      <c r="I99" s="123" t="s">
        <v>311</v>
      </c>
      <c r="J99" s="123" t="s">
        <v>28</v>
      </c>
      <c r="K99" s="134" t="s">
        <v>28</v>
      </c>
      <c r="L99" s="123"/>
      <c r="M99" s="45"/>
      <c r="N99" s="129"/>
    </row>
    <row r="100" spans="1:14" ht="50.25">
      <c r="A100" s="107" t="s">
        <v>2581</v>
      </c>
      <c r="B100" s="107" t="s">
        <v>2598</v>
      </c>
      <c r="C100" s="81" t="s">
        <v>2599</v>
      </c>
      <c r="D100" s="117" t="s">
        <v>94</v>
      </c>
      <c r="E100" s="88" t="s">
        <v>2583</v>
      </c>
      <c r="F100" s="107"/>
      <c r="G100" s="108" t="s">
        <v>2600</v>
      </c>
      <c r="H100" s="120"/>
      <c r="I100" s="123" t="s">
        <v>311</v>
      </c>
      <c r="J100" s="123" t="s">
        <v>28</v>
      </c>
      <c r="K100" s="134" t="s">
        <v>28</v>
      </c>
      <c r="L100" s="123"/>
      <c r="M100" s="45"/>
      <c r="N100" s="129"/>
    </row>
    <row r="101" spans="1:14" ht="50.25">
      <c r="A101" s="107" t="s">
        <v>2581</v>
      </c>
      <c r="B101" s="107" t="s">
        <v>2601</v>
      </c>
      <c r="C101" s="81" t="s">
        <v>2602</v>
      </c>
      <c r="D101" s="117" t="s">
        <v>94</v>
      </c>
      <c r="E101" s="88" t="s">
        <v>2583</v>
      </c>
      <c r="F101" s="107"/>
      <c r="G101" s="108" t="s">
        <v>2603</v>
      </c>
      <c r="H101" s="120"/>
      <c r="I101" s="123" t="s">
        <v>311</v>
      </c>
      <c r="J101" s="123" t="s">
        <v>28</v>
      </c>
      <c r="K101" s="134" t="s">
        <v>28</v>
      </c>
      <c r="L101" s="123"/>
      <c r="M101" s="45"/>
      <c r="N101" s="129"/>
    </row>
    <row r="102" spans="1:14" ht="50.25">
      <c r="A102" s="107" t="s">
        <v>2581</v>
      </c>
      <c r="B102" s="107" t="s">
        <v>2604</v>
      </c>
      <c r="C102" s="81" t="s">
        <v>2605</v>
      </c>
      <c r="D102" s="117" t="s">
        <v>94</v>
      </c>
      <c r="E102" s="88" t="s">
        <v>2583</v>
      </c>
      <c r="F102" s="107"/>
      <c r="G102" s="108" t="s">
        <v>2606</v>
      </c>
      <c r="H102" s="120"/>
      <c r="I102" s="123" t="s">
        <v>311</v>
      </c>
      <c r="J102" s="123" t="s">
        <v>28</v>
      </c>
      <c r="K102" s="134" t="s">
        <v>28</v>
      </c>
      <c r="L102" s="123"/>
      <c r="M102" s="45"/>
      <c r="N102" s="129"/>
    </row>
    <row r="103" spans="1:14" ht="37.5">
      <c r="A103" s="107" t="s">
        <v>2581</v>
      </c>
      <c r="B103" s="107" t="s">
        <v>2607</v>
      </c>
      <c r="C103" s="81" t="s">
        <v>2608</v>
      </c>
      <c r="D103" s="117" t="s">
        <v>94</v>
      </c>
      <c r="E103" s="88" t="s">
        <v>2583</v>
      </c>
      <c r="F103" s="107"/>
      <c r="G103" s="108" t="s">
        <v>2609</v>
      </c>
      <c r="H103" s="120"/>
      <c r="I103" s="123" t="s">
        <v>311</v>
      </c>
      <c r="J103" s="123" t="s">
        <v>28</v>
      </c>
      <c r="K103" s="134" t="s">
        <v>28</v>
      </c>
      <c r="L103" s="123"/>
      <c r="M103" s="45"/>
      <c r="N103" s="129"/>
    </row>
    <row r="104" spans="1:14" ht="50.25">
      <c r="A104" s="107" t="s">
        <v>2581</v>
      </c>
      <c r="B104" s="107" t="s">
        <v>2610</v>
      </c>
      <c r="C104" s="81" t="s">
        <v>2611</v>
      </c>
      <c r="D104" s="117" t="s">
        <v>94</v>
      </c>
      <c r="E104" s="88" t="s">
        <v>2583</v>
      </c>
      <c r="F104" s="107"/>
      <c r="G104" s="108" t="s">
        <v>2612</v>
      </c>
      <c r="H104" s="120"/>
      <c r="I104" s="123" t="s">
        <v>311</v>
      </c>
      <c r="J104" s="123" t="s">
        <v>28</v>
      </c>
      <c r="K104" s="134" t="s">
        <v>28</v>
      </c>
      <c r="L104" s="123"/>
      <c r="M104" s="45"/>
      <c r="N104" s="129"/>
    </row>
    <row r="105" spans="1:14" ht="50.25">
      <c r="A105" s="107" t="s">
        <v>2581</v>
      </c>
      <c r="B105" s="107" t="s">
        <v>2613</v>
      </c>
      <c r="C105" s="81" t="s">
        <v>2614</v>
      </c>
      <c r="D105" s="117" t="s">
        <v>94</v>
      </c>
      <c r="E105" s="88" t="s">
        <v>2583</v>
      </c>
      <c r="F105" s="107"/>
      <c r="G105" s="108" t="s">
        <v>2615</v>
      </c>
      <c r="H105" s="120"/>
      <c r="I105" s="123" t="s">
        <v>311</v>
      </c>
      <c r="J105" s="123" t="s">
        <v>28</v>
      </c>
      <c r="K105" s="134" t="s">
        <v>28</v>
      </c>
      <c r="L105" s="123"/>
      <c r="M105" s="45"/>
      <c r="N105" s="129"/>
    </row>
    <row r="106" spans="1:14" ht="50.25">
      <c r="A106" s="107" t="s">
        <v>2581</v>
      </c>
      <c r="B106" s="107" t="s">
        <v>2616</v>
      </c>
      <c r="C106" s="81" t="s">
        <v>2617</v>
      </c>
      <c r="D106" s="117" t="s">
        <v>94</v>
      </c>
      <c r="E106" s="88" t="s">
        <v>2583</v>
      </c>
      <c r="F106" s="107"/>
      <c r="G106" s="108" t="s">
        <v>2618</v>
      </c>
      <c r="H106" s="120"/>
      <c r="I106" s="123" t="s">
        <v>311</v>
      </c>
      <c r="J106" s="123" t="s">
        <v>28</v>
      </c>
      <c r="K106" s="134" t="s">
        <v>28</v>
      </c>
      <c r="L106" s="123"/>
      <c r="M106" s="45"/>
      <c r="N106" s="129"/>
    </row>
    <row r="107" spans="1:14" ht="50.25">
      <c r="A107" s="107" t="s">
        <v>2581</v>
      </c>
      <c r="B107" s="107" t="s">
        <v>2619</v>
      </c>
      <c r="C107" s="81" t="s">
        <v>2620</v>
      </c>
      <c r="D107" s="117" t="s">
        <v>94</v>
      </c>
      <c r="E107" s="88" t="s">
        <v>2583</v>
      </c>
      <c r="F107" s="107"/>
      <c r="G107" s="108" t="s">
        <v>2621</v>
      </c>
      <c r="H107" s="120"/>
      <c r="I107" s="123" t="s">
        <v>311</v>
      </c>
      <c r="J107" s="123" t="s">
        <v>28</v>
      </c>
      <c r="K107" s="134" t="s">
        <v>28</v>
      </c>
      <c r="L107" s="123"/>
      <c r="M107" s="45"/>
      <c r="N107" s="129"/>
    </row>
    <row r="108" spans="1:14" ht="50.25">
      <c r="A108" s="107" t="s">
        <v>2581</v>
      </c>
      <c r="B108" s="107" t="s">
        <v>2622</v>
      </c>
      <c r="C108" s="81" t="s">
        <v>2623</v>
      </c>
      <c r="D108" s="117" t="s">
        <v>94</v>
      </c>
      <c r="E108" s="88" t="s">
        <v>2583</v>
      </c>
      <c r="F108" s="107"/>
      <c r="G108" s="108" t="s">
        <v>2624</v>
      </c>
      <c r="H108" s="120"/>
      <c r="I108" s="123" t="s">
        <v>311</v>
      </c>
      <c r="J108" s="123" t="s">
        <v>28</v>
      </c>
      <c r="K108" s="134" t="s">
        <v>28</v>
      </c>
      <c r="L108" s="123"/>
      <c r="M108" s="45"/>
      <c r="N108" s="129"/>
    </row>
    <row r="109" spans="1:14" ht="50.25">
      <c r="A109" s="107" t="s">
        <v>2581</v>
      </c>
      <c r="B109" s="107" t="s">
        <v>2625</v>
      </c>
      <c r="C109" s="81" t="s">
        <v>2626</v>
      </c>
      <c r="D109" s="117" t="s">
        <v>94</v>
      </c>
      <c r="E109" s="88" t="s">
        <v>2583</v>
      </c>
      <c r="F109" s="107"/>
      <c r="G109" s="108" t="s">
        <v>2627</v>
      </c>
      <c r="H109" s="120"/>
      <c r="I109" s="123" t="s">
        <v>311</v>
      </c>
      <c r="J109" s="123" t="s">
        <v>28</v>
      </c>
      <c r="K109" s="134" t="s">
        <v>28</v>
      </c>
      <c r="L109" s="123"/>
      <c r="M109" s="45"/>
      <c r="N109" s="129"/>
    </row>
    <row r="110" spans="1:14" ht="50.25">
      <c r="A110" s="107" t="s">
        <v>2581</v>
      </c>
      <c r="B110" s="107" t="s">
        <v>2628</v>
      </c>
      <c r="C110" s="81" t="s">
        <v>2629</v>
      </c>
      <c r="D110" s="117" t="s">
        <v>94</v>
      </c>
      <c r="E110" s="88" t="s">
        <v>2583</v>
      </c>
      <c r="F110" s="107"/>
      <c r="G110" s="108" t="s">
        <v>2630</v>
      </c>
      <c r="H110" s="120"/>
      <c r="I110" s="123" t="s">
        <v>311</v>
      </c>
      <c r="J110" s="123" t="s">
        <v>28</v>
      </c>
      <c r="K110" s="134" t="s">
        <v>28</v>
      </c>
      <c r="L110" s="123"/>
      <c r="M110" s="45"/>
      <c r="N110" s="129"/>
    </row>
    <row r="111" spans="1:14" ht="50.25">
      <c r="A111" s="107" t="s">
        <v>2581</v>
      </c>
      <c r="B111" s="107" t="s">
        <v>2631</v>
      </c>
      <c r="C111" s="81" t="s">
        <v>2632</v>
      </c>
      <c r="D111" s="117" t="s">
        <v>94</v>
      </c>
      <c r="E111" s="88" t="s">
        <v>2583</v>
      </c>
      <c r="F111" s="107"/>
      <c r="G111" s="108" t="s">
        <v>2633</v>
      </c>
      <c r="H111" s="120"/>
      <c r="I111" s="123" t="s">
        <v>311</v>
      </c>
      <c r="J111" s="123" t="s">
        <v>28</v>
      </c>
      <c r="K111" s="134" t="s">
        <v>28</v>
      </c>
      <c r="L111" s="123"/>
      <c r="M111" s="45"/>
      <c r="N111" s="129"/>
    </row>
    <row r="112" spans="1:14" ht="50.25">
      <c r="A112" s="107" t="s">
        <v>2581</v>
      </c>
      <c r="B112" s="107" t="s">
        <v>2634</v>
      </c>
      <c r="C112" s="81" t="s">
        <v>2635</v>
      </c>
      <c r="D112" s="117" t="s">
        <v>94</v>
      </c>
      <c r="E112" s="88" t="s">
        <v>2583</v>
      </c>
      <c r="F112" s="107"/>
      <c r="G112" s="108" t="s">
        <v>2636</v>
      </c>
      <c r="H112" s="120"/>
      <c r="I112" s="123" t="s">
        <v>311</v>
      </c>
      <c r="J112" s="123" t="s">
        <v>28</v>
      </c>
      <c r="K112" s="134" t="s">
        <v>28</v>
      </c>
      <c r="L112" s="123"/>
      <c r="M112" s="45"/>
      <c r="N112" s="129"/>
    </row>
    <row r="113" spans="1:14" ht="50.25">
      <c r="A113" s="107" t="s">
        <v>2581</v>
      </c>
      <c r="B113" s="107" t="s">
        <v>2637</v>
      </c>
      <c r="C113" s="81" t="s">
        <v>2638</v>
      </c>
      <c r="D113" s="117" t="s">
        <v>94</v>
      </c>
      <c r="E113" s="88" t="s">
        <v>2583</v>
      </c>
      <c r="F113" s="107"/>
      <c r="G113" s="108" t="s">
        <v>2639</v>
      </c>
      <c r="H113" s="120"/>
      <c r="I113" s="123" t="s">
        <v>311</v>
      </c>
      <c r="J113" s="123" t="s">
        <v>28</v>
      </c>
      <c r="K113" s="134" t="s">
        <v>28</v>
      </c>
      <c r="L113" s="123"/>
      <c r="M113" s="45"/>
      <c r="N113" s="129"/>
    </row>
    <row r="114" spans="1:14" ht="50.25">
      <c r="A114" s="107" t="s">
        <v>2581</v>
      </c>
      <c r="B114" s="107" t="s">
        <v>2640</v>
      </c>
      <c r="C114" s="81" t="s">
        <v>2641</v>
      </c>
      <c r="D114" s="117" t="s">
        <v>94</v>
      </c>
      <c r="E114" s="88" t="s">
        <v>2583</v>
      </c>
      <c r="F114" s="107"/>
      <c r="G114" s="108" t="s">
        <v>2642</v>
      </c>
      <c r="H114" s="120"/>
      <c r="I114" s="123" t="s">
        <v>311</v>
      </c>
      <c r="J114" s="123" t="s">
        <v>28</v>
      </c>
      <c r="K114" s="134" t="s">
        <v>28</v>
      </c>
      <c r="L114" s="123"/>
      <c r="M114" s="45"/>
      <c r="N114" s="129"/>
    </row>
  </sheetData>
  <autoFilter ref="A1:M115" xr:uid="{AF22D32E-D90B-43AC-9647-5D55AAD6C24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117FC-36A5-4B91-8C95-CBC1ED107326}">
  <dimension ref="A1:N22"/>
  <sheetViews>
    <sheetView topLeftCell="C1" workbookViewId="0">
      <pane xSplit="2" topLeftCell="E13" activePane="topRight" state="frozen"/>
      <selection pane="topRight" activeCell="E5" sqref="E5"/>
    </sheetView>
  </sheetViews>
  <sheetFormatPr defaultColWidth="9" defaultRowHeight="11.25"/>
  <cols>
    <col min="1" max="1" width="21.875" style="75" customWidth="1"/>
    <col min="2" max="2" width="20" style="75" customWidth="1"/>
    <col min="3" max="3" width="41.875" style="75" customWidth="1"/>
    <col min="4" max="4" width="11" style="75" bestFit="1" customWidth="1"/>
    <col min="5" max="5" width="32" style="75" bestFit="1" customWidth="1"/>
    <col min="6" max="6" width="14.125" style="75" bestFit="1" customWidth="1"/>
    <col min="7" max="7" width="38.625" style="75" customWidth="1"/>
    <col min="8" max="8" width="54.125" style="75" bestFit="1" customWidth="1"/>
    <col min="9" max="11" width="10.375" style="75" bestFit="1" customWidth="1"/>
    <col min="12" max="12" width="10.125" style="75" bestFit="1" customWidth="1"/>
    <col min="13" max="14" width="30.5" style="75" bestFit="1" customWidth="1"/>
    <col min="15" max="15" width="9" style="75" customWidth="1"/>
    <col min="16" max="16384" width="9" style="75"/>
  </cols>
  <sheetData>
    <row r="1" spans="1:14" ht="27">
      <c r="A1" s="102" t="s">
        <v>66</v>
      </c>
      <c r="B1" s="90" t="s">
        <v>2643</v>
      </c>
      <c r="C1" s="90" t="s">
        <v>2644</v>
      </c>
      <c r="D1" s="90" t="s">
        <v>2645</v>
      </c>
      <c r="E1" s="33" t="s">
        <v>70</v>
      </c>
      <c r="F1" s="90" t="s">
        <v>71</v>
      </c>
      <c r="G1" s="91" t="s">
        <v>220</v>
      </c>
      <c r="H1" s="92" t="s">
        <v>2342</v>
      </c>
      <c r="I1" s="93" t="s">
        <v>72</v>
      </c>
      <c r="J1" s="94" t="s">
        <v>73</v>
      </c>
      <c r="K1" s="33" t="s">
        <v>74</v>
      </c>
      <c r="L1" s="33" t="s">
        <v>76</v>
      </c>
      <c r="M1" s="92" t="s">
        <v>77</v>
      </c>
      <c r="N1" s="92" t="s">
        <v>78</v>
      </c>
    </row>
    <row r="2" spans="1:14" ht="12">
      <c r="A2" s="95" t="s">
        <v>2646</v>
      </c>
      <c r="B2" s="95" t="s">
        <v>2647</v>
      </c>
      <c r="C2" s="95" t="s">
        <v>2648</v>
      </c>
      <c r="D2" s="96" t="s">
        <v>27</v>
      </c>
      <c r="E2" s="96"/>
      <c r="F2" s="96" t="s">
        <v>27</v>
      </c>
      <c r="G2" s="97"/>
      <c r="H2" s="97"/>
      <c r="I2" s="98" t="s">
        <v>2649</v>
      </c>
      <c r="J2" s="98"/>
      <c r="K2" s="98"/>
      <c r="L2" s="98"/>
      <c r="M2" s="98"/>
      <c r="N2" s="73"/>
    </row>
    <row r="3" spans="1:14" ht="12">
      <c r="A3" s="95" t="s">
        <v>2646</v>
      </c>
      <c r="B3" s="95" t="s">
        <v>2650</v>
      </c>
      <c r="C3" s="95" t="s">
        <v>2651</v>
      </c>
      <c r="D3" s="96" t="s">
        <v>27</v>
      </c>
      <c r="E3" s="96"/>
      <c r="F3" s="96" t="s">
        <v>27</v>
      </c>
      <c r="G3" s="97"/>
      <c r="H3" s="97"/>
      <c r="I3" s="98" t="s">
        <v>2649</v>
      </c>
      <c r="J3" s="98"/>
      <c r="K3" s="98"/>
      <c r="L3" s="98"/>
      <c r="M3" s="98"/>
      <c r="N3" s="73"/>
    </row>
    <row r="4" spans="1:14" ht="12">
      <c r="A4" s="95" t="s">
        <v>2652</v>
      </c>
      <c r="B4" s="95" t="s">
        <v>86</v>
      </c>
      <c r="C4" s="95" t="s">
        <v>2653</v>
      </c>
      <c r="D4" s="96" t="s">
        <v>27</v>
      </c>
      <c r="E4" s="96"/>
      <c r="F4" s="96" t="s">
        <v>27</v>
      </c>
      <c r="G4" s="97"/>
      <c r="H4" s="97"/>
      <c r="I4" s="98" t="s">
        <v>2649</v>
      </c>
      <c r="J4" s="98"/>
      <c r="K4" s="98"/>
      <c r="L4" s="98"/>
      <c r="M4" s="98"/>
      <c r="N4" s="73"/>
    </row>
    <row r="5" spans="1:14" ht="409.6">
      <c r="A5" s="95" t="s">
        <v>2652</v>
      </c>
      <c r="B5" s="95" t="s">
        <v>80</v>
      </c>
      <c r="C5" s="95" t="s">
        <v>2654</v>
      </c>
      <c r="D5" s="98" t="s">
        <v>94</v>
      </c>
      <c r="E5" s="98" t="s">
        <v>2655</v>
      </c>
      <c r="F5" s="98" t="s">
        <v>83</v>
      </c>
      <c r="G5" s="59" t="s">
        <v>2656</v>
      </c>
      <c r="H5" s="59" t="s">
        <v>2657</v>
      </c>
      <c r="I5" s="98" t="s">
        <v>24</v>
      </c>
      <c r="J5" s="98" t="s">
        <v>24</v>
      </c>
      <c r="K5" s="99" t="s">
        <v>26</v>
      </c>
      <c r="L5" s="98"/>
      <c r="M5" s="98"/>
      <c r="N5" s="73"/>
    </row>
    <row r="6" spans="1:14" ht="12">
      <c r="A6" s="95" t="s">
        <v>2652</v>
      </c>
      <c r="B6" s="95" t="s">
        <v>2146</v>
      </c>
      <c r="C6" s="95" t="s">
        <v>2658</v>
      </c>
      <c r="D6" s="96" t="s">
        <v>27</v>
      </c>
      <c r="E6" s="96"/>
      <c r="F6" s="96" t="s">
        <v>27</v>
      </c>
      <c r="G6" s="97"/>
      <c r="H6" s="97"/>
      <c r="I6" s="98" t="s">
        <v>2649</v>
      </c>
      <c r="J6" s="100" t="s">
        <v>27</v>
      </c>
      <c r="K6" s="98"/>
      <c r="L6" s="98"/>
      <c r="M6" s="98"/>
      <c r="N6" s="73"/>
    </row>
    <row r="7" spans="1:14" ht="12">
      <c r="A7" s="95" t="s">
        <v>2652</v>
      </c>
      <c r="B7" s="95" t="s">
        <v>84</v>
      </c>
      <c r="C7" s="95" t="s">
        <v>2659</v>
      </c>
      <c r="D7" s="96" t="s">
        <v>27</v>
      </c>
      <c r="E7" s="96"/>
      <c r="F7" s="96" t="s">
        <v>27</v>
      </c>
      <c r="G7" s="97"/>
      <c r="H7" s="97"/>
      <c r="I7" s="98" t="s">
        <v>2649</v>
      </c>
      <c r="J7" s="100" t="s">
        <v>27</v>
      </c>
      <c r="K7" s="98"/>
      <c r="L7" s="98"/>
      <c r="M7" s="98"/>
      <c r="N7" s="73"/>
    </row>
    <row r="8" spans="1:14" ht="12">
      <c r="A8" s="95" t="s">
        <v>2652</v>
      </c>
      <c r="B8" s="95" t="s">
        <v>2660</v>
      </c>
      <c r="C8" s="95" t="s">
        <v>2661</v>
      </c>
      <c r="D8" s="96" t="s">
        <v>27</v>
      </c>
      <c r="E8" s="96"/>
      <c r="F8" s="96" t="s">
        <v>27</v>
      </c>
      <c r="G8" s="97"/>
      <c r="H8" s="97"/>
      <c r="I8" s="98" t="s">
        <v>2649</v>
      </c>
      <c r="J8" s="100" t="s">
        <v>27</v>
      </c>
      <c r="K8" s="98"/>
      <c r="L8" s="98"/>
      <c r="M8" s="98"/>
      <c r="N8" s="73"/>
    </row>
    <row r="9" spans="1:14" ht="12">
      <c r="A9" s="95" t="s">
        <v>2652</v>
      </c>
      <c r="B9" s="95" t="s">
        <v>2662</v>
      </c>
      <c r="C9" s="95" t="s">
        <v>2663</v>
      </c>
      <c r="D9" s="96" t="s">
        <v>27</v>
      </c>
      <c r="E9" s="96"/>
      <c r="F9" s="96" t="s">
        <v>27</v>
      </c>
      <c r="G9" s="97"/>
      <c r="H9" s="97"/>
      <c r="I9" s="98" t="s">
        <v>2649</v>
      </c>
      <c r="J9" s="100" t="s">
        <v>27</v>
      </c>
      <c r="K9" s="98"/>
      <c r="L9" s="98"/>
      <c r="M9" s="98"/>
      <c r="N9" s="73"/>
    </row>
    <row r="10" spans="1:14" ht="12">
      <c r="A10" s="95" t="s">
        <v>2652</v>
      </c>
      <c r="B10" s="95" t="s">
        <v>2664</v>
      </c>
      <c r="C10" s="95" t="s">
        <v>2665</v>
      </c>
      <c r="D10" s="96" t="s">
        <v>27</v>
      </c>
      <c r="E10" s="96"/>
      <c r="F10" s="96" t="s">
        <v>27</v>
      </c>
      <c r="G10" s="97"/>
      <c r="H10" s="97"/>
      <c r="I10" s="98" t="s">
        <v>2649</v>
      </c>
      <c r="J10" s="100" t="s">
        <v>27</v>
      </c>
      <c r="K10" s="98"/>
      <c r="L10" s="98"/>
      <c r="M10" s="98"/>
      <c r="N10" s="73"/>
    </row>
    <row r="11" spans="1:14" ht="12">
      <c r="A11" s="95" t="s">
        <v>2652</v>
      </c>
      <c r="B11" s="95" t="s">
        <v>2666</v>
      </c>
      <c r="C11" s="95" t="s">
        <v>2667</v>
      </c>
      <c r="D11" s="96" t="s">
        <v>27</v>
      </c>
      <c r="E11" s="96"/>
      <c r="F11" s="96" t="s">
        <v>27</v>
      </c>
      <c r="G11" s="97"/>
      <c r="H11" s="97"/>
      <c r="I11" s="98" t="s">
        <v>2649</v>
      </c>
      <c r="J11" s="100" t="s">
        <v>27</v>
      </c>
      <c r="K11" s="98"/>
      <c r="L11" s="98"/>
      <c r="M11" s="98"/>
      <c r="N11" s="73"/>
    </row>
    <row r="12" spans="1:14" ht="12">
      <c r="A12" s="95" t="s">
        <v>2652</v>
      </c>
      <c r="B12" s="95" t="s">
        <v>2668</v>
      </c>
      <c r="C12" s="95" t="s">
        <v>2669</v>
      </c>
      <c r="D12" s="96" t="s">
        <v>27</v>
      </c>
      <c r="E12" s="96"/>
      <c r="F12" s="96" t="s">
        <v>27</v>
      </c>
      <c r="G12" s="97"/>
      <c r="H12" s="97"/>
      <c r="I12" s="98" t="s">
        <v>2649</v>
      </c>
      <c r="J12" s="100" t="s">
        <v>27</v>
      </c>
      <c r="K12" s="98"/>
      <c r="L12" s="98"/>
      <c r="M12" s="98"/>
      <c r="N12" s="73"/>
    </row>
    <row r="13" spans="1:14" ht="276">
      <c r="A13" s="95" t="s">
        <v>2652</v>
      </c>
      <c r="B13" s="95" t="s">
        <v>2670</v>
      </c>
      <c r="C13" s="95" t="s">
        <v>2671</v>
      </c>
      <c r="D13" s="98" t="s">
        <v>94</v>
      </c>
      <c r="E13" s="98" t="s">
        <v>2672</v>
      </c>
      <c r="F13" s="98" t="s">
        <v>83</v>
      </c>
      <c r="G13" s="59" t="s">
        <v>2673</v>
      </c>
      <c r="H13" s="59" t="s">
        <v>2674</v>
      </c>
      <c r="I13" s="98" t="s">
        <v>24</v>
      </c>
      <c r="J13" s="98" t="s">
        <v>24</v>
      </c>
      <c r="K13" s="99" t="s">
        <v>26</v>
      </c>
      <c r="L13" s="98"/>
      <c r="M13" s="98"/>
      <c r="N13" s="73"/>
    </row>
    <row r="14" spans="1:14" ht="12">
      <c r="A14" s="95" t="s">
        <v>2652</v>
      </c>
      <c r="B14" s="95" t="s">
        <v>2675</v>
      </c>
      <c r="C14" s="95" t="s">
        <v>2676</v>
      </c>
      <c r="D14" s="100" t="s">
        <v>27</v>
      </c>
      <c r="E14" s="100"/>
      <c r="F14" s="100" t="s">
        <v>27</v>
      </c>
      <c r="G14" s="97"/>
      <c r="H14" s="97"/>
      <c r="I14" s="98" t="s">
        <v>2649</v>
      </c>
      <c r="J14" s="100" t="s">
        <v>27</v>
      </c>
      <c r="K14" s="98"/>
      <c r="L14" s="98"/>
      <c r="M14" s="98"/>
      <c r="N14" s="73"/>
    </row>
    <row r="15" spans="1:14" ht="12">
      <c r="A15" s="95" t="s">
        <v>2677</v>
      </c>
      <c r="B15" s="95" t="s">
        <v>86</v>
      </c>
      <c r="C15" s="95" t="s">
        <v>2678</v>
      </c>
      <c r="D15" s="100" t="s">
        <v>27</v>
      </c>
      <c r="E15" s="100"/>
      <c r="F15" s="100" t="s">
        <v>27</v>
      </c>
      <c r="G15" s="97"/>
      <c r="H15" s="97"/>
      <c r="I15" s="98" t="s">
        <v>2649</v>
      </c>
      <c r="J15" s="100" t="s">
        <v>27</v>
      </c>
      <c r="K15" s="98"/>
      <c r="L15" s="98"/>
      <c r="M15" s="98"/>
      <c r="N15" s="73"/>
    </row>
    <row r="16" spans="1:14" ht="376.5">
      <c r="A16" s="95" t="s">
        <v>2677</v>
      </c>
      <c r="B16" s="95" t="s">
        <v>80</v>
      </c>
      <c r="C16" s="95" t="s">
        <v>2679</v>
      </c>
      <c r="D16" s="98" t="s">
        <v>94</v>
      </c>
      <c r="E16" s="98" t="s">
        <v>2655</v>
      </c>
      <c r="F16" s="98" t="s">
        <v>83</v>
      </c>
      <c r="G16" s="59" t="s">
        <v>2680</v>
      </c>
      <c r="H16" s="59" t="s">
        <v>2681</v>
      </c>
      <c r="I16" s="98" t="s">
        <v>24</v>
      </c>
      <c r="J16" s="98" t="s">
        <v>24</v>
      </c>
      <c r="K16" s="99" t="s">
        <v>26</v>
      </c>
      <c r="L16" s="98"/>
      <c r="M16" s="98"/>
      <c r="N16" s="73"/>
    </row>
    <row r="17" spans="1:14" ht="12">
      <c r="A17" s="95" t="s">
        <v>2677</v>
      </c>
      <c r="B17" s="95" t="s">
        <v>2682</v>
      </c>
      <c r="C17" s="95" t="s">
        <v>2683</v>
      </c>
      <c r="D17" s="100" t="s">
        <v>27</v>
      </c>
      <c r="E17" s="100"/>
      <c r="F17" s="100" t="s">
        <v>27</v>
      </c>
      <c r="G17" s="97"/>
      <c r="H17" s="97"/>
      <c r="I17" s="98" t="s">
        <v>2649</v>
      </c>
      <c r="J17" s="100" t="s">
        <v>27</v>
      </c>
      <c r="K17" s="98"/>
      <c r="L17" s="98"/>
      <c r="M17" s="98"/>
      <c r="N17" s="73"/>
    </row>
    <row r="18" spans="1:14" ht="24.75">
      <c r="A18" s="95" t="s">
        <v>2677</v>
      </c>
      <c r="B18" s="95" t="s">
        <v>2684</v>
      </c>
      <c r="C18" s="95" t="s">
        <v>2685</v>
      </c>
      <c r="D18" s="98" t="s">
        <v>94</v>
      </c>
      <c r="E18" s="101" t="s">
        <v>2686</v>
      </c>
      <c r="F18" s="98" t="s">
        <v>83</v>
      </c>
      <c r="G18" s="97"/>
      <c r="H18" s="97"/>
      <c r="I18" s="98" t="s">
        <v>337</v>
      </c>
      <c r="J18" s="98" t="s">
        <v>337</v>
      </c>
      <c r="K18" s="99" t="s">
        <v>26</v>
      </c>
      <c r="L18" s="98"/>
      <c r="M18" s="95" t="s">
        <v>2687</v>
      </c>
      <c r="N18" s="74" t="s">
        <v>2687</v>
      </c>
    </row>
    <row r="19" spans="1:14" ht="12">
      <c r="A19" s="95" t="s">
        <v>2677</v>
      </c>
      <c r="B19" s="95" t="s">
        <v>2688</v>
      </c>
      <c r="C19" s="95" t="s">
        <v>2689</v>
      </c>
      <c r="D19" s="100" t="s">
        <v>27</v>
      </c>
      <c r="E19" s="100"/>
      <c r="F19" s="100" t="s">
        <v>27</v>
      </c>
      <c r="G19" s="97"/>
      <c r="H19" s="97"/>
      <c r="I19" s="98" t="s">
        <v>2649</v>
      </c>
      <c r="J19" s="100" t="s">
        <v>27</v>
      </c>
      <c r="K19" s="98"/>
      <c r="L19" s="98"/>
      <c r="M19" s="98"/>
      <c r="N19" s="73"/>
    </row>
    <row r="20" spans="1:14" ht="12">
      <c r="A20" s="95" t="s">
        <v>2677</v>
      </c>
      <c r="B20" s="95" t="s">
        <v>2690</v>
      </c>
      <c r="C20" s="95" t="s">
        <v>2691</v>
      </c>
      <c r="D20" s="100" t="s">
        <v>27</v>
      </c>
      <c r="E20" s="98" t="s">
        <v>2692</v>
      </c>
      <c r="F20" s="100" t="s">
        <v>27</v>
      </c>
      <c r="G20" s="97"/>
      <c r="H20" s="97"/>
      <c r="I20" s="98" t="s">
        <v>2649</v>
      </c>
      <c r="J20" s="100" t="s">
        <v>27</v>
      </c>
      <c r="K20" s="98"/>
      <c r="L20" s="98"/>
      <c r="M20" s="98"/>
      <c r="N20" s="73"/>
    </row>
    <row r="21" spans="1:14" ht="376.5">
      <c r="A21" s="95" t="s">
        <v>2677</v>
      </c>
      <c r="B21" s="95" t="s">
        <v>2693</v>
      </c>
      <c r="C21" s="95" t="s">
        <v>2694</v>
      </c>
      <c r="D21" s="98" t="s">
        <v>94</v>
      </c>
      <c r="E21" s="98" t="s">
        <v>2655</v>
      </c>
      <c r="F21" s="98" t="s">
        <v>83</v>
      </c>
      <c r="G21" s="59" t="s">
        <v>2695</v>
      </c>
      <c r="H21" s="59" t="s">
        <v>2696</v>
      </c>
      <c r="I21" s="98" t="s">
        <v>24</v>
      </c>
      <c r="J21" s="98" t="s">
        <v>24</v>
      </c>
      <c r="K21" s="99" t="s">
        <v>26</v>
      </c>
      <c r="L21" s="98"/>
      <c r="M21" s="98"/>
      <c r="N21" s="73"/>
    </row>
    <row r="22" spans="1:14" ht="12">
      <c r="A22" s="95" t="s">
        <v>2697</v>
      </c>
      <c r="B22" s="95" t="s">
        <v>2698</v>
      </c>
      <c r="C22" s="95" t="s">
        <v>2699</v>
      </c>
      <c r="D22" s="100" t="s">
        <v>27</v>
      </c>
      <c r="E22" s="100"/>
      <c r="F22" s="100" t="s">
        <v>27</v>
      </c>
      <c r="G22" s="97"/>
      <c r="H22" s="97"/>
      <c r="I22" s="98" t="s">
        <v>2649</v>
      </c>
      <c r="J22" s="100" t="s">
        <v>27</v>
      </c>
      <c r="K22" s="98"/>
      <c r="L22" s="98"/>
      <c r="M22" s="98"/>
      <c r="N22" s="73"/>
    </row>
  </sheetData>
  <autoFilter ref="A1:M22" xr:uid="{CA4117FC-36A5-4B91-8C95-CBC1ED107326}"/>
  <conditionalFormatting sqref="I2:M4 I6:I12 I5:J5 L5:M5 I13:J13 L13:M13 I16:J16 L16:M16 I18:J18 L18:M18 I22 I21:J21 L21:M21 N2:N22 I14:I15 I17 K6:M12 K14:M15 K17:M17 I19:I20 K19:M20 K22:M22">
    <cfRule type="cellIs" dxfId="35" priority="1" operator="equal">
      <formula>"Pass"</formula>
    </cfRule>
    <cfRule type="cellIs" dxfId="34" priority="2" operator="equal">
      <formula>"Failed"</formula>
    </cfRule>
    <cfRule type="cellIs" dxfId="33" priority="3" operator="equal">
      <formula>"Ignored"</formula>
    </cfRule>
  </conditionalFormatting>
  <dataValidations count="2">
    <dataValidation type="list" allowBlank="1" showInputMessage="1" showErrorMessage="1" sqref="K22 L2:L22 K2:K4 K6:K12 K14:K15 J16 K19:K20 I2:I22 K17 J2:J5 J13 J18 J21" xr:uid="{620B809A-303E-408E-B57B-93116F546990}">
      <formula1>"Pass,Failed,Ignored"</formula1>
    </dataValidation>
    <dataValidation allowBlank="1" showInputMessage="1" showErrorMessage="1" sqref="M2:N22" xr:uid="{7810B177-F932-4DEC-BBFF-5024BD8F4DB2}"/>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8D322-59DD-4839-8642-D4B610396320}">
  <dimension ref="A1:I41"/>
  <sheetViews>
    <sheetView workbookViewId="0">
      <pane xSplit="1" ySplit="1" topLeftCell="E5" activePane="bottomRight" state="frozen"/>
      <selection pane="bottomRight" activeCell="E5" sqref="E5"/>
      <selection pane="bottomLeft"/>
      <selection pane="topRight"/>
    </sheetView>
  </sheetViews>
  <sheetFormatPr defaultRowHeight="11.25"/>
  <cols>
    <col min="1" max="2" width="9" style="75"/>
    <col min="3" max="3" width="25.5" style="54" bestFit="1" customWidth="1"/>
    <col min="4" max="4" width="29.75" style="54" bestFit="1" customWidth="1"/>
    <col min="5" max="5" width="30.75" style="54" customWidth="1"/>
    <col min="6" max="6" width="54.625" style="54" customWidth="1"/>
    <col min="7" max="7" width="13.5" style="54" customWidth="1"/>
    <col min="8" max="8" width="64.625" style="54" customWidth="1"/>
    <col min="9" max="9" width="58.375" style="54" customWidth="1"/>
    <col min="10" max="16384" width="9" style="54"/>
  </cols>
  <sheetData>
    <row r="1" spans="1:9" ht="12.75">
      <c r="A1" s="146" t="s">
        <v>2700</v>
      </c>
      <c r="B1" s="147" t="s">
        <v>2701</v>
      </c>
      <c r="C1" s="147" t="s">
        <v>2702</v>
      </c>
      <c r="D1" s="147" t="s">
        <v>2703</v>
      </c>
      <c r="E1" s="148" t="s">
        <v>2704</v>
      </c>
      <c r="F1" s="149" t="s">
        <v>220</v>
      </c>
      <c r="G1" s="149" t="s">
        <v>2705</v>
      </c>
      <c r="H1" s="149" t="s">
        <v>2706</v>
      </c>
      <c r="I1" s="150" t="s">
        <v>77</v>
      </c>
    </row>
    <row r="2" spans="1:9" ht="24.75">
      <c r="A2" s="151">
        <v>1</v>
      </c>
      <c r="B2" s="152">
        <v>2</v>
      </c>
      <c r="C2" s="153" t="s">
        <v>2707</v>
      </c>
      <c r="D2" s="154" t="s">
        <v>2708</v>
      </c>
      <c r="E2" s="155" t="s">
        <v>626</v>
      </c>
      <c r="F2" s="72"/>
      <c r="G2" s="72"/>
      <c r="H2" s="72"/>
      <c r="I2" s="141" t="s">
        <v>626</v>
      </c>
    </row>
    <row r="3" spans="1:9" ht="12">
      <c r="A3" s="151">
        <v>2</v>
      </c>
      <c r="B3" s="152">
        <v>2</v>
      </c>
      <c r="C3" s="153" t="s">
        <v>2709</v>
      </c>
      <c r="D3" s="153" t="s">
        <v>626</v>
      </c>
      <c r="E3" s="155" t="s">
        <v>2710</v>
      </c>
      <c r="F3" s="72"/>
      <c r="G3" s="72"/>
      <c r="H3" s="72"/>
      <c r="I3" s="141" t="s">
        <v>2711</v>
      </c>
    </row>
    <row r="4" spans="1:9" ht="12">
      <c r="A4" s="151">
        <v>3</v>
      </c>
      <c r="B4" s="152">
        <v>2</v>
      </c>
      <c r="C4" s="153" t="s">
        <v>2709</v>
      </c>
      <c r="D4" s="153" t="s">
        <v>2712</v>
      </c>
      <c r="E4" s="155" t="s">
        <v>626</v>
      </c>
      <c r="F4" s="72"/>
      <c r="G4" s="72"/>
      <c r="H4" s="72"/>
      <c r="I4" s="141" t="s">
        <v>2711</v>
      </c>
    </row>
    <row r="5" spans="1:9" ht="12.75">
      <c r="A5" s="151">
        <v>4</v>
      </c>
      <c r="B5" s="152">
        <v>2</v>
      </c>
      <c r="C5" s="153" t="s">
        <v>2709</v>
      </c>
      <c r="D5" s="153" t="s">
        <v>626</v>
      </c>
      <c r="E5" s="156" t="s">
        <v>2713</v>
      </c>
      <c r="F5" s="72"/>
      <c r="G5" s="72"/>
      <c r="H5" s="72"/>
      <c r="I5" s="141" t="s">
        <v>2711</v>
      </c>
    </row>
    <row r="6" spans="1:9" ht="12.75">
      <c r="A6" s="151">
        <v>5</v>
      </c>
      <c r="B6" s="152">
        <v>2</v>
      </c>
      <c r="C6" s="153" t="s">
        <v>2714</v>
      </c>
      <c r="D6" s="153" t="s">
        <v>2715</v>
      </c>
      <c r="E6" s="156" t="s">
        <v>626</v>
      </c>
      <c r="F6" s="72"/>
      <c r="G6" s="72"/>
      <c r="H6" s="72"/>
      <c r="I6" s="141" t="s">
        <v>626</v>
      </c>
    </row>
    <row r="7" spans="1:9" ht="12">
      <c r="A7" s="151">
        <v>6</v>
      </c>
      <c r="B7" s="152">
        <v>2</v>
      </c>
      <c r="C7" s="153" t="s">
        <v>2714</v>
      </c>
      <c r="D7" s="153" t="s">
        <v>2716</v>
      </c>
      <c r="E7" s="155" t="s">
        <v>626</v>
      </c>
      <c r="F7" s="72"/>
      <c r="G7" s="72"/>
      <c r="H7" s="72"/>
      <c r="I7" s="141" t="s">
        <v>626</v>
      </c>
    </row>
    <row r="8" spans="1:9" ht="165">
      <c r="A8" s="151">
        <v>7</v>
      </c>
      <c r="B8" s="152">
        <v>1</v>
      </c>
      <c r="C8" s="153" t="s">
        <v>2717</v>
      </c>
      <c r="D8" s="153" t="s">
        <v>2718</v>
      </c>
      <c r="E8" s="155" t="s">
        <v>626</v>
      </c>
      <c r="F8" s="83" t="s">
        <v>2719</v>
      </c>
      <c r="G8" s="72" t="s">
        <v>24</v>
      </c>
      <c r="H8" s="55" t="s">
        <v>2720</v>
      </c>
      <c r="I8" s="142" t="s">
        <v>626</v>
      </c>
    </row>
    <row r="9" spans="1:9" ht="219.75">
      <c r="A9" s="151">
        <v>8</v>
      </c>
      <c r="B9" s="152">
        <v>1</v>
      </c>
      <c r="C9" s="153" t="s">
        <v>2717</v>
      </c>
      <c r="D9" s="153" t="s">
        <v>2721</v>
      </c>
      <c r="E9" s="155" t="s">
        <v>626</v>
      </c>
      <c r="F9" s="55" t="s">
        <v>2722</v>
      </c>
      <c r="G9" s="72" t="s">
        <v>24</v>
      </c>
      <c r="H9" s="55" t="s">
        <v>2723</v>
      </c>
      <c r="I9" s="142" t="s">
        <v>626</v>
      </c>
    </row>
    <row r="10" spans="1:9" ht="12">
      <c r="A10" s="151">
        <v>9</v>
      </c>
      <c r="B10" s="152">
        <v>1</v>
      </c>
      <c r="C10" s="153" t="s">
        <v>2724</v>
      </c>
      <c r="D10" s="153" t="s">
        <v>2725</v>
      </c>
      <c r="E10" s="155" t="s">
        <v>626</v>
      </c>
      <c r="F10" s="72"/>
      <c r="G10" s="72"/>
      <c r="H10" s="72"/>
      <c r="I10" s="141" t="s">
        <v>626</v>
      </c>
    </row>
    <row r="11" spans="1:9" ht="12.75">
      <c r="A11" s="151">
        <v>10</v>
      </c>
      <c r="B11" s="152">
        <v>1</v>
      </c>
      <c r="C11" s="153" t="s">
        <v>2726</v>
      </c>
      <c r="D11" s="153" t="s">
        <v>2727</v>
      </c>
      <c r="E11" s="155" t="s">
        <v>2728</v>
      </c>
      <c r="F11" s="72"/>
      <c r="G11" s="72"/>
      <c r="H11" s="72"/>
      <c r="I11" s="142" t="s">
        <v>626</v>
      </c>
    </row>
    <row r="12" spans="1:9" ht="12.75">
      <c r="A12" s="151">
        <v>11</v>
      </c>
      <c r="B12" s="152">
        <v>1</v>
      </c>
      <c r="C12" s="153" t="s">
        <v>2729</v>
      </c>
      <c r="D12" s="153" t="s">
        <v>626</v>
      </c>
      <c r="E12" s="155" t="s">
        <v>2730</v>
      </c>
      <c r="F12" s="72"/>
      <c r="G12" s="72"/>
      <c r="H12" s="72"/>
      <c r="I12" s="142" t="s">
        <v>626</v>
      </c>
    </row>
    <row r="13" spans="1:9" ht="50.25">
      <c r="A13" s="157">
        <v>12</v>
      </c>
      <c r="B13" s="158">
        <v>1</v>
      </c>
      <c r="C13" s="154" t="s">
        <v>2731</v>
      </c>
      <c r="D13" s="154" t="s">
        <v>2732</v>
      </c>
      <c r="E13" s="156" t="s">
        <v>2732</v>
      </c>
      <c r="F13" s="72"/>
      <c r="G13" s="72"/>
      <c r="H13" s="72"/>
      <c r="I13" s="141" t="s">
        <v>626</v>
      </c>
    </row>
    <row r="14" spans="1:9" ht="12.75">
      <c r="A14" s="151">
        <v>13</v>
      </c>
      <c r="B14" s="152">
        <v>1</v>
      </c>
      <c r="C14" s="153" t="s">
        <v>2733</v>
      </c>
      <c r="D14" s="153" t="s">
        <v>626</v>
      </c>
      <c r="E14" s="156" t="s">
        <v>2734</v>
      </c>
      <c r="F14" s="72"/>
      <c r="G14" s="72"/>
      <c r="H14" s="72"/>
      <c r="I14" s="142" t="s">
        <v>626</v>
      </c>
    </row>
    <row r="15" spans="1:9" ht="12.75">
      <c r="A15" s="151">
        <v>14</v>
      </c>
      <c r="B15" s="152">
        <v>1</v>
      </c>
      <c r="C15" s="153" t="s">
        <v>2735</v>
      </c>
      <c r="D15" s="153" t="s">
        <v>626</v>
      </c>
      <c r="E15" s="156" t="s">
        <v>2736</v>
      </c>
      <c r="F15" s="72"/>
      <c r="G15" s="72"/>
      <c r="H15" s="72"/>
      <c r="I15" s="142" t="s">
        <v>626</v>
      </c>
    </row>
    <row r="16" spans="1:9" ht="330">
      <c r="A16" s="151">
        <v>15</v>
      </c>
      <c r="B16" s="152">
        <v>2</v>
      </c>
      <c r="C16" s="153" t="s">
        <v>2737</v>
      </c>
      <c r="D16" s="154" t="s">
        <v>2732</v>
      </c>
      <c r="E16" s="156" t="s">
        <v>2732</v>
      </c>
      <c r="F16" s="55" t="s">
        <v>2738</v>
      </c>
      <c r="G16" s="72" t="s">
        <v>24</v>
      </c>
      <c r="H16" s="55" t="s">
        <v>2739</v>
      </c>
      <c r="I16" s="142" t="s">
        <v>626</v>
      </c>
    </row>
    <row r="17" spans="1:9" ht="12.75">
      <c r="A17" s="151">
        <v>16</v>
      </c>
      <c r="B17" s="152">
        <v>2</v>
      </c>
      <c r="C17" s="153" t="s">
        <v>2740</v>
      </c>
      <c r="D17" s="153" t="s">
        <v>2741</v>
      </c>
      <c r="E17" s="156" t="s">
        <v>2742</v>
      </c>
      <c r="F17" s="72"/>
      <c r="G17" s="72"/>
      <c r="H17" s="72"/>
      <c r="I17" s="142" t="s">
        <v>626</v>
      </c>
    </row>
    <row r="18" spans="1:9" ht="219.75">
      <c r="A18" s="151">
        <v>17</v>
      </c>
      <c r="B18" s="152">
        <v>1</v>
      </c>
      <c r="C18" s="154" t="s">
        <v>2743</v>
      </c>
      <c r="D18" s="154" t="s">
        <v>2744</v>
      </c>
      <c r="E18" s="156" t="s">
        <v>2745</v>
      </c>
      <c r="F18" s="55" t="s">
        <v>2746</v>
      </c>
      <c r="G18" s="72" t="s">
        <v>337</v>
      </c>
      <c r="H18" s="72"/>
      <c r="I18" s="142" t="s">
        <v>2747</v>
      </c>
    </row>
    <row r="19" spans="1:9" ht="24.75">
      <c r="A19" s="151">
        <v>18</v>
      </c>
      <c r="B19" s="152">
        <v>2</v>
      </c>
      <c r="C19" s="154" t="s">
        <v>2748</v>
      </c>
      <c r="D19" s="154" t="s">
        <v>2749</v>
      </c>
      <c r="E19" s="155" t="s">
        <v>2750</v>
      </c>
      <c r="F19" s="72"/>
      <c r="G19" s="72" t="s">
        <v>337</v>
      </c>
      <c r="H19" s="72"/>
      <c r="I19" s="142" t="s">
        <v>2747</v>
      </c>
    </row>
    <row r="20" spans="1:9" ht="37.5">
      <c r="A20" s="151">
        <v>19</v>
      </c>
      <c r="B20" s="152">
        <v>1</v>
      </c>
      <c r="C20" s="153" t="s">
        <v>2751</v>
      </c>
      <c r="D20" s="154" t="s">
        <v>2752</v>
      </c>
      <c r="E20" s="156" t="s">
        <v>2753</v>
      </c>
      <c r="F20" s="72"/>
      <c r="G20" s="72"/>
      <c r="H20" s="72"/>
      <c r="I20" s="141" t="s">
        <v>626</v>
      </c>
    </row>
    <row r="21" spans="1:9" ht="109.5">
      <c r="A21" s="151">
        <v>20</v>
      </c>
      <c r="B21" s="152">
        <v>1</v>
      </c>
      <c r="C21" s="153" t="s">
        <v>2754</v>
      </c>
      <c r="D21" s="153" t="s">
        <v>626</v>
      </c>
      <c r="E21" s="156" t="s">
        <v>2755</v>
      </c>
      <c r="F21" s="72" t="s">
        <v>2756</v>
      </c>
      <c r="G21" s="72" t="s">
        <v>24</v>
      </c>
      <c r="H21" s="55" t="s">
        <v>2757</v>
      </c>
      <c r="I21" s="142" t="s">
        <v>626</v>
      </c>
    </row>
    <row r="22" spans="1:9" ht="109.5">
      <c r="A22" s="151">
        <v>21</v>
      </c>
      <c r="B22" s="152">
        <v>1</v>
      </c>
      <c r="C22" s="153" t="s">
        <v>2754</v>
      </c>
      <c r="D22" s="153" t="s">
        <v>2758</v>
      </c>
      <c r="E22" s="156" t="s">
        <v>2759</v>
      </c>
      <c r="F22" s="72" t="s">
        <v>2756</v>
      </c>
      <c r="G22" s="72" t="s">
        <v>24</v>
      </c>
      <c r="H22" s="55" t="s">
        <v>2757</v>
      </c>
      <c r="I22" s="141" t="s">
        <v>626</v>
      </c>
    </row>
    <row r="23" spans="1:9" ht="12.75">
      <c r="A23" s="151">
        <v>22</v>
      </c>
      <c r="B23" s="152">
        <v>1</v>
      </c>
      <c r="C23" s="153" t="s">
        <v>2760</v>
      </c>
      <c r="D23" s="153" t="s">
        <v>626</v>
      </c>
      <c r="E23" s="156" t="s">
        <v>2761</v>
      </c>
      <c r="F23" s="72"/>
      <c r="G23" s="72"/>
      <c r="H23" s="72"/>
      <c r="I23" s="142" t="s">
        <v>626</v>
      </c>
    </row>
    <row r="24" spans="1:9" ht="12.75">
      <c r="A24" s="151">
        <v>23</v>
      </c>
      <c r="B24" s="152">
        <v>1</v>
      </c>
      <c r="C24" s="153" t="s">
        <v>2760</v>
      </c>
      <c r="D24" s="153" t="s">
        <v>626</v>
      </c>
      <c r="E24" s="156" t="s">
        <v>2761</v>
      </c>
      <c r="F24" s="72"/>
      <c r="G24" s="72"/>
      <c r="H24" s="72"/>
      <c r="I24" s="142" t="s">
        <v>626</v>
      </c>
    </row>
    <row r="25" spans="1:9" ht="150.75">
      <c r="A25" s="151">
        <v>24</v>
      </c>
      <c r="B25" s="152">
        <v>1</v>
      </c>
      <c r="C25" s="153" t="s">
        <v>2762</v>
      </c>
      <c r="D25" s="153" t="s">
        <v>626</v>
      </c>
      <c r="E25" s="156" t="s">
        <v>2734</v>
      </c>
      <c r="F25" s="55" t="s">
        <v>2763</v>
      </c>
      <c r="G25" s="72" t="s">
        <v>24</v>
      </c>
      <c r="H25" s="55" t="s">
        <v>2764</v>
      </c>
      <c r="I25" s="142" t="s">
        <v>626</v>
      </c>
    </row>
    <row r="26" spans="1:9" ht="113.25">
      <c r="A26" s="157">
        <v>25</v>
      </c>
      <c r="B26" s="158">
        <v>1</v>
      </c>
      <c r="C26" s="153" t="s">
        <v>2765</v>
      </c>
      <c r="D26" s="153" t="s">
        <v>2766</v>
      </c>
      <c r="E26" s="156" t="s">
        <v>2767</v>
      </c>
      <c r="F26" s="72" t="s">
        <v>2768</v>
      </c>
      <c r="G26" s="72"/>
      <c r="H26" s="159" t="s">
        <v>2769</v>
      </c>
      <c r="I26" s="142" t="s">
        <v>626</v>
      </c>
    </row>
    <row r="27" spans="1:9" ht="24.75">
      <c r="A27" s="151">
        <v>26</v>
      </c>
      <c r="B27" s="152">
        <v>1</v>
      </c>
      <c r="C27" s="153" t="s">
        <v>2770</v>
      </c>
      <c r="D27" s="154" t="s">
        <v>2771</v>
      </c>
      <c r="E27" s="156" t="s">
        <v>2772</v>
      </c>
      <c r="F27" s="72"/>
      <c r="G27" s="72"/>
      <c r="H27" s="72"/>
      <c r="I27" s="141" t="s">
        <v>626</v>
      </c>
    </row>
    <row r="28" spans="1:9" ht="12">
      <c r="A28" s="151">
        <v>27</v>
      </c>
      <c r="B28" s="152">
        <v>1</v>
      </c>
      <c r="C28" s="153" t="s">
        <v>784</v>
      </c>
      <c r="D28" s="153" t="s">
        <v>2773</v>
      </c>
      <c r="E28" s="155" t="s">
        <v>626</v>
      </c>
      <c r="F28" s="72"/>
      <c r="G28" s="72"/>
      <c r="H28" s="72"/>
      <c r="I28" s="141" t="s">
        <v>626</v>
      </c>
    </row>
    <row r="29" spans="1:9" ht="12">
      <c r="A29" s="151">
        <v>28</v>
      </c>
      <c r="B29" s="152">
        <v>1</v>
      </c>
      <c r="C29" s="153" t="s">
        <v>784</v>
      </c>
      <c r="D29" s="153" t="s">
        <v>2774</v>
      </c>
      <c r="E29" s="155" t="s">
        <v>626</v>
      </c>
      <c r="F29" s="72"/>
      <c r="G29" s="72"/>
      <c r="H29" s="72"/>
      <c r="I29" s="141" t="s">
        <v>626</v>
      </c>
    </row>
    <row r="30" spans="1:9" ht="55.5">
      <c r="A30" s="151">
        <v>29</v>
      </c>
      <c r="B30" s="152">
        <v>1</v>
      </c>
      <c r="C30" s="153" t="s">
        <v>784</v>
      </c>
      <c r="D30" s="153" t="s">
        <v>2775</v>
      </c>
      <c r="E30" s="155" t="s">
        <v>626</v>
      </c>
      <c r="F30" s="55" t="s">
        <v>2776</v>
      </c>
      <c r="G30" s="72" t="s">
        <v>337</v>
      </c>
      <c r="H30" s="72"/>
      <c r="I30" s="141" t="s">
        <v>2777</v>
      </c>
    </row>
    <row r="31" spans="1:9" ht="82.5">
      <c r="A31" s="151">
        <v>30</v>
      </c>
      <c r="B31" s="152">
        <v>1</v>
      </c>
      <c r="C31" s="153" t="s">
        <v>784</v>
      </c>
      <c r="D31" s="153" t="s">
        <v>2778</v>
      </c>
      <c r="E31" s="155" t="s">
        <v>626</v>
      </c>
      <c r="F31" s="55" t="s">
        <v>2779</v>
      </c>
      <c r="G31" s="72" t="s">
        <v>337</v>
      </c>
      <c r="H31" s="72"/>
      <c r="I31" s="141" t="s">
        <v>2780</v>
      </c>
    </row>
    <row r="32" spans="1:9" ht="55.5">
      <c r="A32" s="151">
        <v>31</v>
      </c>
      <c r="B32" s="152">
        <v>1</v>
      </c>
      <c r="C32" s="153" t="s">
        <v>784</v>
      </c>
      <c r="D32" s="153" t="s">
        <v>2781</v>
      </c>
      <c r="E32" s="155" t="s">
        <v>626</v>
      </c>
      <c r="F32" s="55" t="s">
        <v>2782</v>
      </c>
      <c r="G32" s="72" t="s">
        <v>337</v>
      </c>
      <c r="H32" s="72"/>
      <c r="I32" s="141" t="s">
        <v>2783</v>
      </c>
    </row>
    <row r="33" spans="1:9" ht="55.5">
      <c r="A33" s="151">
        <v>32</v>
      </c>
      <c r="B33" s="152">
        <v>1</v>
      </c>
      <c r="C33" s="153" t="s">
        <v>784</v>
      </c>
      <c r="D33" s="153" t="s">
        <v>2784</v>
      </c>
      <c r="E33" s="155" t="s">
        <v>626</v>
      </c>
      <c r="F33" s="55" t="s">
        <v>2785</v>
      </c>
      <c r="G33" s="72" t="s">
        <v>337</v>
      </c>
      <c r="H33" s="72"/>
      <c r="I33" s="141" t="s">
        <v>2786</v>
      </c>
    </row>
    <row r="34" spans="1:9" ht="150.75">
      <c r="A34" s="151">
        <v>33</v>
      </c>
      <c r="B34" s="152">
        <v>1</v>
      </c>
      <c r="C34" s="153" t="s">
        <v>2787</v>
      </c>
      <c r="D34" s="153" t="s">
        <v>2788</v>
      </c>
      <c r="E34" s="155" t="s">
        <v>626</v>
      </c>
      <c r="F34" s="72"/>
      <c r="G34" s="72" t="s">
        <v>24</v>
      </c>
      <c r="H34" s="55" t="s">
        <v>2789</v>
      </c>
      <c r="I34" s="141"/>
    </row>
    <row r="35" spans="1:9" ht="12">
      <c r="A35" s="151">
        <v>34</v>
      </c>
      <c r="B35" s="152">
        <v>1</v>
      </c>
      <c r="C35" s="153" t="s">
        <v>2717</v>
      </c>
      <c r="D35" s="153" t="s">
        <v>2790</v>
      </c>
      <c r="E35" s="155" t="s">
        <v>626</v>
      </c>
      <c r="F35" s="72"/>
      <c r="G35" s="72"/>
      <c r="H35" s="72"/>
      <c r="I35" s="141" t="s">
        <v>626</v>
      </c>
    </row>
    <row r="36" spans="1:9" ht="12">
      <c r="A36" s="151">
        <v>35</v>
      </c>
      <c r="B36" s="152">
        <v>1</v>
      </c>
      <c r="C36" s="153" t="s">
        <v>2717</v>
      </c>
      <c r="D36" s="153" t="s">
        <v>2791</v>
      </c>
      <c r="E36" s="155" t="s">
        <v>626</v>
      </c>
      <c r="F36" s="72"/>
      <c r="G36" s="72"/>
      <c r="H36" s="72"/>
      <c r="I36" s="141" t="s">
        <v>626</v>
      </c>
    </row>
    <row r="37" spans="1:9" ht="12.75">
      <c r="A37" s="151">
        <v>36</v>
      </c>
      <c r="B37" s="152">
        <v>1</v>
      </c>
      <c r="C37" s="154" t="s">
        <v>921</v>
      </c>
      <c r="D37" s="153" t="s">
        <v>626</v>
      </c>
      <c r="E37" s="155" t="s">
        <v>2792</v>
      </c>
      <c r="F37" s="72"/>
      <c r="G37" s="72"/>
      <c r="H37" s="72"/>
      <c r="I37" s="141" t="s">
        <v>626</v>
      </c>
    </row>
    <row r="38" spans="1:9" ht="12">
      <c r="A38" s="151">
        <v>37</v>
      </c>
      <c r="B38" s="152">
        <v>1</v>
      </c>
      <c r="C38" s="153" t="s">
        <v>921</v>
      </c>
      <c r="D38" s="153" t="s">
        <v>626</v>
      </c>
      <c r="E38" s="155" t="s">
        <v>2793</v>
      </c>
      <c r="F38" s="72"/>
      <c r="G38" s="72"/>
      <c r="H38" s="72"/>
      <c r="I38" s="141" t="s">
        <v>626</v>
      </c>
    </row>
    <row r="39" spans="1:9" ht="12">
      <c r="A39" s="160"/>
      <c r="B39" s="160"/>
      <c r="C39" s="161"/>
      <c r="D39" s="162"/>
      <c r="E39" s="161"/>
      <c r="I39" s="161"/>
    </row>
    <row r="40" spans="1:9" ht="12">
      <c r="A40" s="163"/>
      <c r="B40" s="163"/>
      <c r="C40" s="161"/>
      <c r="D40" s="161"/>
      <c r="E40" s="161"/>
      <c r="I40" s="161"/>
    </row>
    <row r="41" spans="1:9" ht="12">
      <c r="A41" s="163"/>
      <c r="B41" s="163"/>
      <c r="C41" s="455" t="s">
        <v>2794</v>
      </c>
      <c r="D41" s="455"/>
      <c r="E41" s="161"/>
      <c r="I41" s="161"/>
    </row>
  </sheetData>
  <autoFilter ref="A1:I1" xr:uid="{DCB8D322-59DD-4839-8642-D4B610396320}"/>
  <mergeCells count="1">
    <mergeCell ref="C41:D4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F1FB4-2BAE-4DC3-819A-D8FBC44F4414}">
  <dimension ref="A1:N24"/>
  <sheetViews>
    <sheetView workbookViewId="0">
      <pane ySplit="1" topLeftCell="B2" activePane="bottomLeft" state="frozen"/>
      <selection pane="bottomLeft" activeCell="D2" sqref="D2"/>
    </sheetView>
  </sheetViews>
  <sheetFormatPr defaultRowHeight="11.25"/>
  <cols>
    <col min="1" max="1" width="17.5" style="54" bestFit="1" customWidth="1"/>
    <col min="2" max="2" width="17.375" style="54" bestFit="1" customWidth="1"/>
    <col min="3" max="3" width="34.375" style="54" bestFit="1" customWidth="1"/>
    <col min="4" max="5" width="26.25" style="54" customWidth="1"/>
    <col min="6" max="6" width="19.375" style="54" customWidth="1"/>
    <col min="7" max="7" width="43.25" style="54" customWidth="1"/>
    <col min="8" max="8" width="51.75" style="54" customWidth="1"/>
    <col min="9" max="11" width="13.5" style="54" customWidth="1"/>
    <col min="12" max="12" width="29.625" style="60" customWidth="1"/>
    <col min="13" max="14" width="16.875" style="54" customWidth="1"/>
    <col min="15" max="16384" width="9" style="54"/>
  </cols>
  <sheetData>
    <row r="1" spans="1:14" ht="27">
      <c r="A1" s="135" t="s">
        <v>66</v>
      </c>
      <c r="B1" s="135" t="s">
        <v>2643</v>
      </c>
      <c r="C1" s="136" t="s">
        <v>2644</v>
      </c>
      <c r="D1" s="90" t="s">
        <v>2645</v>
      </c>
      <c r="E1" s="137" t="s">
        <v>70</v>
      </c>
      <c r="F1" s="136" t="s">
        <v>71</v>
      </c>
      <c r="G1" s="102" t="s">
        <v>220</v>
      </c>
      <c r="H1" s="92" t="s">
        <v>2342</v>
      </c>
      <c r="I1" s="94" t="s">
        <v>72</v>
      </c>
      <c r="J1" s="94" t="s">
        <v>73</v>
      </c>
      <c r="K1" s="33" t="s">
        <v>74</v>
      </c>
      <c r="L1" s="33" t="s">
        <v>76</v>
      </c>
      <c r="M1" s="50" t="s">
        <v>2795</v>
      </c>
      <c r="N1" s="50" t="s">
        <v>2796</v>
      </c>
    </row>
    <row r="2" spans="1:14" ht="75.75">
      <c r="A2" s="138" t="s">
        <v>2797</v>
      </c>
      <c r="B2" s="45" t="s">
        <v>2798</v>
      </c>
      <c r="C2" s="139" t="s">
        <v>2799</v>
      </c>
      <c r="D2" s="138" t="s">
        <v>94</v>
      </c>
      <c r="E2" s="138" t="s">
        <v>2800</v>
      </c>
      <c r="F2" s="140" t="s">
        <v>2801</v>
      </c>
      <c r="G2" s="57" t="s">
        <v>2802</v>
      </c>
      <c r="H2" s="57" t="s">
        <v>2803</v>
      </c>
      <c r="I2" s="45" t="s">
        <v>24</v>
      </c>
      <c r="J2" s="45" t="s">
        <v>24</v>
      </c>
      <c r="K2" s="141" t="s">
        <v>24</v>
      </c>
      <c r="L2" s="142" t="s">
        <v>2804</v>
      </c>
      <c r="M2" s="45"/>
      <c r="N2" s="72"/>
    </row>
    <row r="3" spans="1:14" ht="162.75">
      <c r="A3" s="138" t="s">
        <v>2797</v>
      </c>
      <c r="B3" s="45" t="s">
        <v>2805</v>
      </c>
      <c r="C3" s="139" t="s">
        <v>2806</v>
      </c>
      <c r="D3" s="45" t="s">
        <v>94</v>
      </c>
      <c r="E3" s="138" t="s">
        <v>2800</v>
      </c>
      <c r="F3" s="140" t="s">
        <v>2801</v>
      </c>
      <c r="G3" s="57" t="s">
        <v>2807</v>
      </c>
      <c r="H3" s="57" t="s">
        <v>2808</v>
      </c>
      <c r="I3" s="45" t="s">
        <v>24</v>
      </c>
      <c r="J3" s="45" t="s">
        <v>24</v>
      </c>
      <c r="K3" s="143" t="s">
        <v>24</v>
      </c>
      <c r="L3" s="57"/>
      <c r="M3" s="45"/>
      <c r="N3" s="72"/>
    </row>
    <row r="4" spans="1:14">
      <c r="A4" s="144"/>
      <c r="B4" s="145"/>
      <c r="C4" s="145"/>
    </row>
    <row r="5" spans="1:14">
      <c r="A5" s="144"/>
      <c r="B5" s="145"/>
      <c r="C5" s="145"/>
    </row>
    <row r="6" spans="1:14">
      <c r="A6" s="144"/>
      <c r="B6" s="145"/>
      <c r="C6" s="145"/>
    </row>
    <row r="7" spans="1:14">
      <c r="A7" s="144"/>
      <c r="B7" s="145"/>
      <c r="C7" s="145"/>
    </row>
    <row r="8" spans="1:14">
      <c r="A8" s="144"/>
      <c r="B8" s="145"/>
      <c r="C8" s="145"/>
    </row>
    <row r="9" spans="1:14">
      <c r="A9" s="144"/>
      <c r="B9" s="144"/>
      <c r="C9" s="145"/>
    </row>
    <row r="10" spans="1:14">
      <c r="A10" s="144"/>
      <c r="B10" s="144"/>
      <c r="C10" s="145"/>
    </row>
    <row r="11" spans="1:14">
      <c r="A11" s="144"/>
      <c r="B11" s="145"/>
      <c r="C11" s="145"/>
    </row>
    <row r="12" spans="1:14">
      <c r="A12" s="144"/>
      <c r="B12" s="145"/>
      <c r="C12" s="145"/>
    </row>
    <row r="13" spans="1:14">
      <c r="A13" s="144"/>
      <c r="B13" s="145"/>
      <c r="C13" s="145"/>
    </row>
    <row r="14" spans="1:14">
      <c r="A14" s="144"/>
      <c r="B14" s="145"/>
      <c r="C14" s="145"/>
    </row>
    <row r="15" spans="1:14">
      <c r="A15" s="144"/>
      <c r="B15" s="145"/>
      <c r="C15" s="145"/>
    </row>
    <row r="16" spans="1:14">
      <c r="A16" s="144"/>
      <c r="B16" s="145"/>
      <c r="C16" s="145"/>
    </row>
    <row r="17" spans="1:3">
      <c r="A17" s="144"/>
      <c r="B17" s="145"/>
      <c r="C17" s="145"/>
    </row>
    <row r="18" spans="1:3">
      <c r="A18" s="144"/>
      <c r="B18" s="145"/>
      <c r="C18" s="145"/>
    </row>
    <row r="19" spans="1:3">
      <c r="A19" s="144"/>
      <c r="B19" s="145"/>
      <c r="C19" s="145"/>
    </row>
    <row r="20" spans="1:3">
      <c r="A20" s="144"/>
      <c r="B20" s="145"/>
      <c r="C20" s="145"/>
    </row>
    <row r="21" spans="1:3">
      <c r="A21" s="144"/>
      <c r="B21" s="145"/>
      <c r="C21" s="145"/>
    </row>
    <row r="22" spans="1:3">
      <c r="A22" s="144"/>
      <c r="B22" s="145"/>
      <c r="C22" s="145"/>
    </row>
    <row r="23" spans="1:3">
      <c r="A23" s="144"/>
      <c r="B23" s="145"/>
      <c r="C23" s="145"/>
    </row>
    <row r="24" spans="1:3">
      <c r="B24" s="145"/>
      <c r="C24" s="145"/>
    </row>
  </sheetData>
  <autoFilter ref="A1:M1" xr:uid="{47DF1FB4-2BAE-4DC3-819A-D8FBC44F4414}"/>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EDA30-B898-45C1-8B8B-EF25FED6CB1C}">
  <dimension ref="A1:N9"/>
  <sheetViews>
    <sheetView workbookViewId="0">
      <pane ySplit="1" topLeftCell="H2" activePane="bottomLeft" state="frozen"/>
      <selection pane="bottomLeft" activeCell="C2" sqref="C2"/>
    </sheetView>
  </sheetViews>
  <sheetFormatPr defaultRowHeight="11.25"/>
  <cols>
    <col min="1" max="1" width="37" style="54" bestFit="1" customWidth="1"/>
    <col min="2" max="2" width="12.625" style="54" bestFit="1" customWidth="1"/>
    <col min="3" max="3" width="57.5" style="54" customWidth="1"/>
    <col min="4" max="4" width="21.125" style="54" bestFit="1" customWidth="1"/>
    <col min="5" max="6" width="21.125" style="54" customWidth="1"/>
    <col min="7" max="7" width="56" style="54" customWidth="1"/>
    <col min="8" max="8" width="75.875" style="54" customWidth="1"/>
    <col min="9" max="11" width="15.125" style="54" customWidth="1"/>
    <col min="12" max="13" width="33.625" style="54" customWidth="1"/>
    <col min="14" max="14" width="28.25" style="54" customWidth="1"/>
    <col min="15" max="16384" width="9" style="54"/>
  </cols>
  <sheetData>
    <row r="1" spans="1:14" ht="27">
      <c r="A1" s="164" t="s">
        <v>66</v>
      </c>
      <c r="B1" s="33" t="s">
        <v>67</v>
      </c>
      <c r="C1" s="33" t="s">
        <v>68</v>
      </c>
      <c r="D1" s="33" t="s">
        <v>69</v>
      </c>
      <c r="E1" s="33" t="s">
        <v>70</v>
      </c>
      <c r="F1" s="33" t="s">
        <v>71</v>
      </c>
      <c r="G1" s="33" t="s">
        <v>220</v>
      </c>
      <c r="H1" s="33" t="s">
        <v>2342</v>
      </c>
      <c r="I1" s="94" t="s">
        <v>72</v>
      </c>
      <c r="J1" s="94" t="s">
        <v>73</v>
      </c>
      <c r="K1" s="33" t="s">
        <v>74</v>
      </c>
      <c r="L1" s="33" t="s">
        <v>76</v>
      </c>
      <c r="M1" s="33" t="s">
        <v>77</v>
      </c>
      <c r="N1" s="165" t="s">
        <v>78</v>
      </c>
    </row>
    <row r="2" spans="1:14" ht="343.5">
      <c r="A2" s="85" t="s">
        <v>2809</v>
      </c>
      <c r="B2" s="85" t="s">
        <v>80</v>
      </c>
      <c r="C2" s="85" t="s">
        <v>2810</v>
      </c>
      <c r="D2" s="85" t="s">
        <v>94</v>
      </c>
      <c r="E2" s="85" t="s">
        <v>2811</v>
      </c>
      <c r="F2" s="85" t="s">
        <v>96</v>
      </c>
      <c r="G2" s="166" t="s">
        <v>2812</v>
      </c>
      <c r="H2" s="167" t="s">
        <v>2813</v>
      </c>
      <c r="I2" s="166" t="s">
        <v>24</v>
      </c>
      <c r="J2" s="166" t="s">
        <v>24</v>
      </c>
      <c r="K2" s="166" t="s">
        <v>24</v>
      </c>
      <c r="L2" s="168" t="s">
        <v>2814</v>
      </c>
      <c r="M2" s="85"/>
      <c r="N2" s="169"/>
    </row>
    <row r="3" spans="1:14" ht="343.5">
      <c r="A3" s="85" t="s">
        <v>2815</v>
      </c>
      <c r="B3" s="85" t="s">
        <v>80</v>
      </c>
      <c r="C3" s="85" t="s">
        <v>2816</v>
      </c>
      <c r="D3" s="85" t="s">
        <v>94</v>
      </c>
      <c r="E3" s="85" t="s">
        <v>2811</v>
      </c>
      <c r="F3" s="85" t="s">
        <v>96</v>
      </c>
      <c r="G3" s="166" t="s">
        <v>2817</v>
      </c>
      <c r="H3" s="167" t="s">
        <v>2818</v>
      </c>
      <c r="I3" s="166" t="s">
        <v>24</v>
      </c>
      <c r="J3" s="166" t="s">
        <v>24</v>
      </c>
      <c r="K3" s="166" t="s">
        <v>24</v>
      </c>
      <c r="L3" s="166"/>
      <c r="M3" s="85"/>
      <c r="N3" s="166"/>
    </row>
    <row r="4" spans="1:14" ht="50.25">
      <c r="A4" s="85" t="s">
        <v>2819</v>
      </c>
      <c r="B4" s="85" t="s">
        <v>2820</v>
      </c>
      <c r="C4" s="85" t="s">
        <v>2821</v>
      </c>
      <c r="D4" s="85" t="s">
        <v>94</v>
      </c>
      <c r="E4" s="85" t="s">
        <v>2822</v>
      </c>
      <c r="F4" s="85" t="s">
        <v>96</v>
      </c>
      <c r="G4" s="166" t="s">
        <v>2823</v>
      </c>
      <c r="H4" s="167" t="s">
        <v>2824</v>
      </c>
      <c r="I4" s="166" t="s">
        <v>24</v>
      </c>
      <c r="J4" s="166" t="s">
        <v>24</v>
      </c>
      <c r="K4" s="166" t="s">
        <v>24</v>
      </c>
      <c r="L4" s="166"/>
      <c r="M4" s="85"/>
      <c r="N4" s="166" t="s">
        <v>2825</v>
      </c>
    </row>
    <row r="5" spans="1:14" ht="50.25">
      <c r="A5" s="85" t="s">
        <v>2819</v>
      </c>
      <c r="B5" s="85" t="s">
        <v>2826</v>
      </c>
      <c r="C5" s="85" t="s">
        <v>2827</v>
      </c>
      <c r="D5" s="85" t="s">
        <v>94</v>
      </c>
      <c r="E5" s="85" t="s">
        <v>2822</v>
      </c>
      <c r="F5" s="85" t="s">
        <v>96</v>
      </c>
      <c r="G5" s="166" t="s">
        <v>2828</v>
      </c>
      <c r="H5" s="167" t="s">
        <v>2829</v>
      </c>
      <c r="I5" s="166" t="s">
        <v>24</v>
      </c>
      <c r="J5" s="166" t="s">
        <v>24</v>
      </c>
      <c r="K5" s="166" t="s">
        <v>24</v>
      </c>
      <c r="L5" s="166"/>
      <c r="M5" s="85"/>
      <c r="N5" s="166" t="s">
        <v>2825</v>
      </c>
    </row>
    <row r="6" spans="1:14" ht="50.25">
      <c r="A6" s="85" t="s">
        <v>2819</v>
      </c>
      <c r="B6" s="85" t="s">
        <v>2830</v>
      </c>
      <c r="C6" s="85" t="s">
        <v>2831</v>
      </c>
      <c r="D6" s="85" t="s">
        <v>94</v>
      </c>
      <c r="E6" s="85" t="s">
        <v>2822</v>
      </c>
      <c r="F6" s="85" t="s">
        <v>96</v>
      </c>
      <c r="G6" s="166" t="s">
        <v>2832</v>
      </c>
      <c r="H6" s="167" t="s">
        <v>2833</v>
      </c>
      <c r="I6" s="166" t="s">
        <v>24</v>
      </c>
      <c r="J6" s="166" t="s">
        <v>24</v>
      </c>
      <c r="K6" s="166" t="s">
        <v>24</v>
      </c>
      <c r="L6" s="166"/>
      <c r="M6" s="85"/>
      <c r="N6" s="166" t="s">
        <v>2825</v>
      </c>
    </row>
    <row r="7" spans="1:14" ht="50.25">
      <c r="A7" s="85" t="s">
        <v>2819</v>
      </c>
      <c r="B7" s="85" t="s">
        <v>2834</v>
      </c>
      <c r="C7" s="85" t="s">
        <v>2835</v>
      </c>
      <c r="D7" s="85" t="s">
        <v>94</v>
      </c>
      <c r="E7" s="85" t="s">
        <v>2822</v>
      </c>
      <c r="F7" s="85" t="s">
        <v>96</v>
      </c>
      <c r="G7" s="166" t="s">
        <v>2836</v>
      </c>
      <c r="H7" s="167" t="s">
        <v>2837</v>
      </c>
      <c r="I7" s="166" t="s">
        <v>24</v>
      </c>
      <c r="J7" s="166" t="s">
        <v>24</v>
      </c>
      <c r="K7" s="166" t="s">
        <v>24</v>
      </c>
      <c r="L7" s="166"/>
      <c r="M7" s="85"/>
      <c r="N7" s="166" t="s">
        <v>2825</v>
      </c>
    </row>
    <row r="8" spans="1:14" ht="50.25">
      <c r="A8" s="85" t="s">
        <v>2819</v>
      </c>
      <c r="B8" s="85" t="s">
        <v>1653</v>
      </c>
      <c r="C8" s="85" t="s">
        <v>2838</v>
      </c>
      <c r="D8" s="85" t="s">
        <v>94</v>
      </c>
      <c r="E8" s="85" t="s">
        <v>2822</v>
      </c>
      <c r="F8" s="85" t="s">
        <v>96</v>
      </c>
      <c r="G8" s="166" t="s">
        <v>2839</v>
      </c>
      <c r="H8" s="167" t="s">
        <v>2840</v>
      </c>
      <c r="I8" s="166" t="s">
        <v>24</v>
      </c>
      <c r="J8" s="166" t="s">
        <v>24</v>
      </c>
      <c r="K8" s="166" t="s">
        <v>24</v>
      </c>
      <c r="L8" s="166"/>
      <c r="M8" s="85"/>
      <c r="N8" s="166" t="s">
        <v>2825</v>
      </c>
    </row>
    <row r="9" spans="1:14" ht="62.25">
      <c r="A9" s="85" t="s">
        <v>2841</v>
      </c>
      <c r="B9" s="85" t="s">
        <v>2842</v>
      </c>
      <c r="C9" s="85" t="s">
        <v>2843</v>
      </c>
      <c r="D9" s="85" t="s">
        <v>94</v>
      </c>
      <c r="E9" s="85" t="s">
        <v>2844</v>
      </c>
      <c r="F9" s="85" t="s">
        <v>96</v>
      </c>
      <c r="G9" s="166" t="s">
        <v>2845</v>
      </c>
      <c r="H9" s="167" t="s">
        <v>2846</v>
      </c>
      <c r="I9" s="166" t="s">
        <v>24</v>
      </c>
      <c r="J9" s="166" t="s">
        <v>24</v>
      </c>
      <c r="K9" s="166" t="s">
        <v>24</v>
      </c>
      <c r="L9" s="166"/>
      <c r="M9" s="85"/>
      <c r="N9" s="170"/>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2E6ED-47F5-4940-9D6B-E4880B5DF1D6}">
  <dimension ref="A1:N99"/>
  <sheetViews>
    <sheetView topLeftCell="C74" workbookViewId="0">
      <selection activeCell="G76" sqref="G76"/>
    </sheetView>
  </sheetViews>
  <sheetFormatPr defaultRowHeight="208.5" customHeight="1"/>
  <cols>
    <col min="1" max="1" width="30.625" style="54" bestFit="1" customWidth="1"/>
    <col min="2" max="2" width="19.5" style="54" bestFit="1" customWidth="1"/>
    <col min="3" max="3" width="35.75" style="60" customWidth="1"/>
    <col min="4" max="4" width="11.625" style="54" bestFit="1" customWidth="1"/>
    <col min="5" max="5" width="14" style="54" bestFit="1" customWidth="1"/>
    <col min="6" max="6" width="54" style="82" customWidth="1"/>
    <col min="7" max="7" width="57.25" style="186" customWidth="1"/>
    <col min="8" max="10" width="13.625" style="186" customWidth="1"/>
    <col min="11" max="11" width="22.125" style="186" customWidth="1"/>
    <col min="12" max="12" width="51.875" style="54" bestFit="1" customWidth="1"/>
    <col min="13" max="13" width="34.375" style="54" customWidth="1"/>
    <col min="14" max="16384" width="9" style="54"/>
  </cols>
  <sheetData>
    <row r="1" spans="1:13" s="34" customFormat="1" ht="27">
      <c r="A1" s="32" t="s">
        <v>66</v>
      </c>
      <c r="B1" s="32" t="s">
        <v>2847</v>
      </c>
      <c r="C1" s="32" t="s">
        <v>68</v>
      </c>
      <c r="D1" s="32" t="s">
        <v>69</v>
      </c>
      <c r="E1" s="32" t="s">
        <v>71</v>
      </c>
      <c r="F1" s="32" t="s">
        <v>220</v>
      </c>
      <c r="G1" s="32" t="s">
        <v>2342</v>
      </c>
      <c r="H1" s="33" t="s">
        <v>72</v>
      </c>
      <c r="I1" s="33" t="s">
        <v>73</v>
      </c>
      <c r="J1" s="33" t="s">
        <v>74</v>
      </c>
      <c r="K1" s="33" t="s">
        <v>76</v>
      </c>
      <c r="L1" s="32" t="s">
        <v>77</v>
      </c>
      <c r="M1" s="32" t="s">
        <v>78</v>
      </c>
    </row>
    <row r="2" spans="1:13" ht="208.5" customHeight="1">
      <c r="A2" s="85" t="s">
        <v>2848</v>
      </c>
      <c r="B2" s="85" t="s">
        <v>2849</v>
      </c>
      <c r="C2" s="171" t="s">
        <v>2850</v>
      </c>
      <c r="D2" s="85" t="s">
        <v>94</v>
      </c>
      <c r="E2" s="85" t="s">
        <v>2851</v>
      </c>
      <c r="F2" s="167" t="s">
        <v>2852</v>
      </c>
      <c r="G2" s="172" t="s">
        <v>2853</v>
      </c>
      <c r="H2" s="85" t="s">
        <v>24</v>
      </c>
      <c r="I2" s="85" t="s">
        <v>24</v>
      </c>
      <c r="J2" s="173" t="s">
        <v>1527</v>
      </c>
      <c r="K2" s="174" t="s">
        <v>2854</v>
      </c>
      <c r="L2" s="175"/>
      <c r="M2" s="85"/>
    </row>
    <row r="3" spans="1:13" ht="175.5" customHeight="1">
      <c r="A3" s="85" t="s">
        <v>2848</v>
      </c>
      <c r="B3" s="85" t="s">
        <v>2855</v>
      </c>
      <c r="C3" s="171" t="s">
        <v>2856</v>
      </c>
      <c r="D3" s="85" t="s">
        <v>94</v>
      </c>
      <c r="E3" s="85" t="s">
        <v>2851</v>
      </c>
      <c r="F3" s="167" t="s">
        <v>2857</v>
      </c>
      <c r="G3" s="172" t="s">
        <v>2858</v>
      </c>
      <c r="H3" s="85" t="s">
        <v>24</v>
      </c>
      <c r="I3" s="85" t="s">
        <v>24</v>
      </c>
      <c r="J3" s="173" t="s">
        <v>1527</v>
      </c>
      <c r="K3" s="176" t="s">
        <v>2562</v>
      </c>
      <c r="L3" s="175"/>
      <c r="M3" s="85"/>
    </row>
    <row r="4" spans="1:13" ht="180.75" customHeight="1">
      <c r="A4" s="85" t="s">
        <v>2848</v>
      </c>
      <c r="B4" s="85" t="s">
        <v>2859</v>
      </c>
      <c r="C4" s="171" t="s">
        <v>2860</v>
      </c>
      <c r="D4" s="85" t="s">
        <v>94</v>
      </c>
      <c r="E4" s="85" t="s">
        <v>2851</v>
      </c>
      <c r="F4" s="167" t="s">
        <v>2861</v>
      </c>
      <c r="G4" s="172" t="s">
        <v>2862</v>
      </c>
      <c r="H4" s="85" t="s">
        <v>24</v>
      </c>
      <c r="I4" s="85" t="s">
        <v>24</v>
      </c>
      <c r="J4" s="173" t="s">
        <v>1527</v>
      </c>
      <c r="K4" s="176" t="s">
        <v>2562</v>
      </c>
      <c r="L4" s="177" t="s">
        <v>2863</v>
      </c>
      <c r="M4" s="85"/>
    </row>
    <row r="5" spans="1:13" ht="179.25" customHeight="1">
      <c r="A5" s="85" t="s">
        <v>2848</v>
      </c>
      <c r="B5" s="85" t="s">
        <v>2864</v>
      </c>
      <c r="C5" s="171" t="s">
        <v>2865</v>
      </c>
      <c r="D5" s="85" t="s">
        <v>94</v>
      </c>
      <c r="E5" s="85" t="s">
        <v>2851</v>
      </c>
      <c r="F5" s="167" t="s">
        <v>2866</v>
      </c>
      <c r="G5" s="172" t="s">
        <v>2867</v>
      </c>
      <c r="H5" s="85" t="s">
        <v>24</v>
      </c>
      <c r="I5" s="85" t="s">
        <v>24</v>
      </c>
      <c r="J5" s="173" t="s">
        <v>1527</v>
      </c>
      <c r="K5" s="176" t="s">
        <v>2562</v>
      </c>
      <c r="L5" s="85"/>
      <c r="M5" s="85"/>
    </row>
    <row r="6" spans="1:13" ht="208.5" customHeight="1">
      <c r="A6" s="85" t="s">
        <v>2848</v>
      </c>
      <c r="B6" s="85" t="s">
        <v>2868</v>
      </c>
      <c r="C6" s="171" t="s">
        <v>2869</v>
      </c>
      <c r="D6" s="85" t="s">
        <v>94</v>
      </c>
      <c r="E6" s="85" t="s">
        <v>2851</v>
      </c>
      <c r="F6" s="167" t="s">
        <v>2870</v>
      </c>
      <c r="G6" s="172" t="s">
        <v>2871</v>
      </c>
      <c r="H6" s="180" t="s">
        <v>25</v>
      </c>
      <c r="I6" s="85" t="s">
        <v>24</v>
      </c>
      <c r="J6" s="173" t="s">
        <v>1527</v>
      </c>
      <c r="K6" s="178" t="s">
        <v>2872</v>
      </c>
      <c r="L6" s="179" t="s">
        <v>2873</v>
      </c>
      <c r="M6" s="179"/>
    </row>
    <row r="7" spans="1:13" ht="208.5" customHeight="1">
      <c r="A7" s="85" t="s">
        <v>2848</v>
      </c>
      <c r="B7" s="85" t="s">
        <v>2874</v>
      </c>
      <c r="C7" s="171" t="s">
        <v>2875</v>
      </c>
      <c r="D7" s="85" t="s">
        <v>94</v>
      </c>
      <c r="E7" s="85" t="s">
        <v>2851</v>
      </c>
      <c r="F7" s="167" t="s">
        <v>2876</v>
      </c>
      <c r="G7" s="172" t="s">
        <v>2877</v>
      </c>
      <c r="H7" s="180" t="s">
        <v>25</v>
      </c>
      <c r="I7" s="85" t="s">
        <v>24</v>
      </c>
      <c r="J7" s="173" t="s">
        <v>1527</v>
      </c>
      <c r="K7" s="178" t="s">
        <v>2878</v>
      </c>
      <c r="L7" s="179" t="s">
        <v>2873</v>
      </c>
      <c r="M7" s="179"/>
    </row>
    <row r="8" spans="1:13" ht="208.5" customHeight="1">
      <c r="A8" s="85" t="s">
        <v>2848</v>
      </c>
      <c r="B8" s="85" t="s">
        <v>2879</v>
      </c>
      <c r="C8" s="171" t="s">
        <v>2880</v>
      </c>
      <c r="D8" s="85" t="s">
        <v>94</v>
      </c>
      <c r="E8" s="85" t="s">
        <v>2851</v>
      </c>
      <c r="F8" s="167" t="s">
        <v>2881</v>
      </c>
      <c r="G8" s="172" t="s">
        <v>2882</v>
      </c>
      <c r="H8" s="180" t="s">
        <v>25</v>
      </c>
      <c r="I8" s="85" t="s">
        <v>24</v>
      </c>
      <c r="J8" s="173" t="s">
        <v>1527</v>
      </c>
      <c r="K8" s="178" t="s">
        <v>2883</v>
      </c>
      <c r="L8" s="179" t="s">
        <v>2873</v>
      </c>
      <c r="M8" s="179"/>
    </row>
    <row r="9" spans="1:13" ht="208.5" customHeight="1">
      <c r="A9" s="85" t="s">
        <v>2848</v>
      </c>
      <c r="B9" s="85" t="s">
        <v>2884</v>
      </c>
      <c r="C9" s="171" t="s">
        <v>2885</v>
      </c>
      <c r="D9" s="85" t="s">
        <v>94</v>
      </c>
      <c r="E9" s="85" t="s">
        <v>2851</v>
      </c>
      <c r="F9" s="167" t="s">
        <v>2886</v>
      </c>
      <c r="G9" s="172" t="s">
        <v>2887</v>
      </c>
      <c r="H9" s="180" t="s">
        <v>25</v>
      </c>
      <c r="I9" s="85" t="s">
        <v>24</v>
      </c>
      <c r="J9" s="173" t="s">
        <v>1527</v>
      </c>
      <c r="K9" s="178" t="s">
        <v>2888</v>
      </c>
      <c r="L9" s="179" t="s">
        <v>2873</v>
      </c>
      <c r="M9" s="179"/>
    </row>
    <row r="10" spans="1:13" ht="208.5" customHeight="1">
      <c r="A10" s="85" t="s">
        <v>2848</v>
      </c>
      <c r="B10" s="85" t="s">
        <v>2889</v>
      </c>
      <c r="C10" s="171" t="s">
        <v>2890</v>
      </c>
      <c r="D10" s="85" t="s">
        <v>94</v>
      </c>
      <c r="E10" s="85" t="s">
        <v>2851</v>
      </c>
      <c r="F10" s="167" t="s">
        <v>2891</v>
      </c>
      <c r="G10" s="172" t="s">
        <v>2892</v>
      </c>
      <c r="H10" s="85" t="s">
        <v>24</v>
      </c>
      <c r="I10" s="85" t="s">
        <v>24</v>
      </c>
      <c r="J10" s="173" t="s">
        <v>1527</v>
      </c>
      <c r="K10" s="176" t="s">
        <v>2562</v>
      </c>
      <c r="L10" s="175"/>
      <c r="M10" s="85"/>
    </row>
    <row r="11" spans="1:13" ht="166.5" customHeight="1">
      <c r="A11" s="85" t="s">
        <v>2848</v>
      </c>
      <c r="B11" s="85" t="s">
        <v>2893</v>
      </c>
      <c r="C11" s="171" t="s">
        <v>2894</v>
      </c>
      <c r="D11" s="79" t="s">
        <v>94</v>
      </c>
      <c r="E11" s="85" t="s">
        <v>27</v>
      </c>
      <c r="F11" s="167" t="s">
        <v>2895</v>
      </c>
      <c r="G11" s="223" t="s">
        <v>2896</v>
      </c>
      <c r="H11" s="180" t="s">
        <v>25</v>
      </c>
      <c r="I11" s="79" t="s">
        <v>24</v>
      </c>
      <c r="J11" s="181" t="s">
        <v>308</v>
      </c>
      <c r="K11" s="176" t="s">
        <v>2562</v>
      </c>
      <c r="L11" s="175" t="s">
        <v>2897</v>
      </c>
      <c r="M11" s="85" t="s">
        <v>2898</v>
      </c>
    </row>
    <row r="12" spans="1:13" ht="166.5" customHeight="1">
      <c r="A12" s="85" t="s">
        <v>2848</v>
      </c>
      <c r="B12" s="85" t="s">
        <v>2899</v>
      </c>
      <c r="C12" s="171" t="s">
        <v>2900</v>
      </c>
      <c r="D12" s="79" t="s">
        <v>94</v>
      </c>
      <c r="E12" s="85" t="s">
        <v>27</v>
      </c>
      <c r="F12" s="167" t="s">
        <v>2901</v>
      </c>
      <c r="G12" s="223" t="s">
        <v>2902</v>
      </c>
      <c r="H12" s="180" t="s">
        <v>25</v>
      </c>
      <c r="I12" s="79" t="s">
        <v>24</v>
      </c>
      <c r="J12" s="181" t="s">
        <v>308</v>
      </c>
      <c r="K12" s="176" t="s">
        <v>2562</v>
      </c>
      <c r="L12" s="175" t="s">
        <v>2903</v>
      </c>
      <c r="M12" s="85" t="s">
        <v>2898</v>
      </c>
    </row>
    <row r="13" spans="1:13" ht="166.5" customHeight="1">
      <c r="A13" s="85" t="s">
        <v>2848</v>
      </c>
      <c r="B13" s="85" t="s">
        <v>2904</v>
      </c>
      <c r="C13" s="171" t="s">
        <v>2905</v>
      </c>
      <c r="D13" s="79" t="s">
        <v>94</v>
      </c>
      <c r="E13" s="85" t="s">
        <v>27</v>
      </c>
      <c r="F13" s="167" t="s">
        <v>2906</v>
      </c>
      <c r="G13" s="223" t="s">
        <v>2907</v>
      </c>
      <c r="H13" s="180" t="s">
        <v>25</v>
      </c>
      <c r="I13" s="79" t="s">
        <v>24</v>
      </c>
      <c r="J13" s="181" t="s">
        <v>308</v>
      </c>
      <c r="K13" s="176" t="s">
        <v>2562</v>
      </c>
      <c r="L13" s="175" t="s">
        <v>2903</v>
      </c>
      <c r="M13" s="85" t="s">
        <v>2898</v>
      </c>
    </row>
    <row r="14" spans="1:13" ht="208.5" customHeight="1">
      <c r="A14" s="85" t="s">
        <v>2848</v>
      </c>
      <c r="B14" s="85" t="s">
        <v>2908</v>
      </c>
      <c r="C14" s="171" t="s">
        <v>2909</v>
      </c>
      <c r="D14" s="85" t="s">
        <v>94</v>
      </c>
      <c r="E14" s="85" t="s">
        <v>2851</v>
      </c>
      <c r="F14" s="167" t="s">
        <v>2910</v>
      </c>
      <c r="G14" s="172" t="s">
        <v>2911</v>
      </c>
      <c r="H14" s="180" t="s">
        <v>25</v>
      </c>
      <c r="I14" s="85" t="s">
        <v>24</v>
      </c>
      <c r="J14" s="173" t="s">
        <v>1527</v>
      </c>
      <c r="K14" s="178" t="s">
        <v>2888</v>
      </c>
      <c r="L14" s="179" t="s">
        <v>2873</v>
      </c>
      <c r="M14" s="179"/>
    </row>
    <row r="15" spans="1:13" ht="208.5" customHeight="1">
      <c r="A15" s="85" t="s">
        <v>2848</v>
      </c>
      <c r="B15" s="85" t="s">
        <v>2912</v>
      </c>
      <c r="C15" s="171" t="s">
        <v>2913</v>
      </c>
      <c r="D15" s="85" t="s">
        <v>94</v>
      </c>
      <c r="E15" s="85" t="s">
        <v>2851</v>
      </c>
      <c r="F15" s="167" t="s">
        <v>2914</v>
      </c>
      <c r="G15" s="172" t="s">
        <v>2915</v>
      </c>
      <c r="H15" s="180" t="s">
        <v>25</v>
      </c>
      <c r="I15" s="85" t="s">
        <v>24</v>
      </c>
      <c r="J15" s="173" t="s">
        <v>1527</v>
      </c>
      <c r="K15" s="178" t="s">
        <v>2872</v>
      </c>
      <c r="L15" s="179" t="s">
        <v>2873</v>
      </c>
      <c r="M15" s="179"/>
    </row>
    <row r="16" spans="1:13" ht="208.5" customHeight="1">
      <c r="A16" s="85" t="s">
        <v>2848</v>
      </c>
      <c r="B16" s="85" t="s">
        <v>2916</v>
      </c>
      <c r="C16" s="171" t="s">
        <v>2917</v>
      </c>
      <c r="D16" s="85" t="s">
        <v>94</v>
      </c>
      <c r="E16" s="85" t="s">
        <v>2851</v>
      </c>
      <c r="F16" s="167" t="s">
        <v>2918</v>
      </c>
      <c r="G16" s="172" t="s">
        <v>2919</v>
      </c>
      <c r="H16" s="180" t="s">
        <v>25</v>
      </c>
      <c r="I16" s="85" t="s">
        <v>24</v>
      </c>
      <c r="J16" s="173" t="s">
        <v>1527</v>
      </c>
      <c r="K16" s="178" t="s">
        <v>2878</v>
      </c>
      <c r="L16" s="179" t="s">
        <v>2873</v>
      </c>
      <c r="M16" s="179"/>
    </row>
    <row r="17" spans="1:13" ht="208.5" customHeight="1">
      <c r="A17" s="85" t="s">
        <v>2848</v>
      </c>
      <c r="B17" s="85" t="s">
        <v>2920</v>
      </c>
      <c r="C17" s="171" t="s">
        <v>2921</v>
      </c>
      <c r="D17" s="85" t="s">
        <v>94</v>
      </c>
      <c r="E17" s="85" t="s">
        <v>2851</v>
      </c>
      <c r="F17" s="167" t="s">
        <v>2922</v>
      </c>
      <c r="G17" s="172" t="s">
        <v>2923</v>
      </c>
      <c r="H17" s="180" t="s">
        <v>25</v>
      </c>
      <c r="I17" s="85" t="s">
        <v>24</v>
      </c>
      <c r="J17" s="173" t="s">
        <v>1527</v>
      </c>
      <c r="K17" s="178" t="s">
        <v>2883</v>
      </c>
      <c r="L17" s="179" t="s">
        <v>2873</v>
      </c>
      <c r="M17" s="179"/>
    </row>
    <row r="18" spans="1:13" ht="208.5" customHeight="1">
      <c r="A18" s="85" t="s">
        <v>2848</v>
      </c>
      <c r="B18" s="85" t="s">
        <v>2924</v>
      </c>
      <c r="C18" s="171" t="s">
        <v>2925</v>
      </c>
      <c r="D18" s="85" t="s">
        <v>94</v>
      </c>
      <c r="E18" s="85" t="s">
        <v>2851</v>
      </c>
      <c r="F18" s="167" t="s">
        <v>2926</v>
      </c>
      <c r="G18" s="172" t="s">
        <v>2927</v>
      </c>
      <c r="H18" s="180" t="s">
        <v>25</v>
      </c>
      <c r="I18" s="85" t="s">
        <v>24</v>
      </c>
      <c r="J18" s="173" t="s">
        <v>1527</v>
      </c>
      <c r="K18" s="178" t="s">
        <v>2928</v>
      </c>
      <c r="L18" s="179" t="s">
        <v>2873</v>
      </c>
      <c r="M18" s="179"/>
    </row>
    <row r="19" spans="1:13" ht="208.5" customHeight="1">
      <c r="A19" s="85" t="s">
        <v>2848</v>
      </c>
      <c r="B19" s="85" t="s">
        <v>2929</v>
      </c>
      <c r="C19" s="171" t="s">
        <v>2930</v>
      </c>
      <c r="D19" s="85" t="s">
        <v>94</v>
      </c>
      <c r="E19" s="85" t="s">
        <v>2851</v>
      </c>
      <c r="F19" s="167" t="s">
        <v>2931</v>
      </c>
      <c r="G19" s="172" t="s">
        <v>2932</v>
      </c>
      <c r="H19" s="85" t="s">
        <v>24</v>
      </c>
      <c r="I19" s="85" t="s">
        <v>24</v>
      </c>
      <c r="J19" s="173" t="s">
        <v>1527</v>
      </c>
      <c r="K19" s="176" t="s">
        <v>2562</v>
      </c>
      <c r="L19" s="177" t="s">
        <v>2933</v>
      </c>
      <c r="M19" s="85"/>
    </row>
    <row r="20" spans="1:13" ht="208.5" customHeight="1">
      <c r="A20" s="85" t="s">
        <v>2848</v>
      </c>
      <c r="B20" s="85" t="s">
        <v>2934</v>
      </c>
      <c r="C20" s="171" t="s">
        <v>2935</v>
      </c>
      <c r="D20" s="85" t="s">
        <v>94</v>
      </c>
      <c r="E20" s="85" t="s">
        <v>2851</v>
      </c>
      <c r="F20" s="167" t="s">
        <v>2936</v>
      </c>
      <c r="G20" s="172" t="s">
        <v>2937</v>
      </c>
      <c r="H20" s="85" t="s">
        <v>24</v>
      </c>
      <c r="I20" s="85" t="s">
        <v>24</v>
      </c>
      <c r="J20" s="173" t="s">
        <v>1527</v>
      </c>
      <c r="K20" s="176" t="s">
        <v>2562</v>
      </c>
      <c r="L20" s="175"/>
      <c r="M20" s="85"/>
    </row>
    <row r="21" spans="1:13" ht="208.5" customHeight="1">
      <c r="A21" s="85" t="s">
        <v>2848</v>
      </c>
      <c r="B21" s="85" t="s">
        <v>2938</v>
      </c>
      <c r="C21" s="171" t="s">
        <v>2939</v>
      </c>
      <c r="D21" s="85" t="s">
        <v>94</v>
      </c>
      <c r="E21" s="85" t="s">
        <v>2851</v>
      </c>
      <c r="F21" s="167" t="s">
        <v>2940</v>
      </c>
      <c r="G21" s="172" t="s">
        <v>2941</v>
      </c>
      <c r="H21" s="85" t="s">
        <v>24</v>
      </c>
      <c r="I21" s="85" t="s">
        <v>24</v>
      </c>
      <c r="J21" s="173" t="s">
        <v>1527</v>
      </c>
      <c r="K21" s="176" t="s">
        <v>2562</v>
      </c>
      <c r="L21" s="175"/>
      <c r="M21" s="85"/>
    </row>
    <row r="22" spans="1:13" ht="208.5" customHeight="1">
      <c r="A22" s="85" t="s">
        <v>2848</v>
      </c>
      <c r="B22" s="85" t="s">
        <v>2942</v>
      </c>
      <c r="C22" s="171" t="s">
        <v>2943</v>
      </c>
      <c r="D22" s="85" t="s">
        <v>94</v>
      </c>
      <c r="E22" s="85" t="s">
        <v>2851</v>
      </c>
      <c r="F22" s="167" t="s">
        <v>2944</v>
      </c>
      <c r="G22" s="172" t="s">
        <v>2945</v>
      </c>
      <c r="H22" s="85" t="s">
        <v>24</v>
      </c>
      <c r="I22" s="85" t="s">
        <v>24</v>
      </c>
      <c r="J22" s="173" t="s">
        <v>1527</v>
      </c>
      <c r="K22" s="176" t="s">
        <v>2562</v>
      </c>
      <c r="L22" s="175"/>
      <c r="M22" s="85"/>
    </row>
    <row r="23" spans="1:13" ht="208.5" customHeight="1">
      <c r="A23" s="85" t="s">
        <v>2848</v>
      </c>
      <c r="B23" s="85" t="s">
        <v>2946</v>
      </c>
      <c r="C23" s="171" t="s">
        <v>2947</v>
      </c>
      <c r="D23" s="85" t="s">
        <v>94</v>
      </c>
      <c r="E23" s="85" t="s">
        <v>2851</v>
      </c>
      <c r="F23" s="167" t="s">
        <v>2948</v>
      </c>
      <c r="G23" s="172" t="s">
        <v>2949</v>
      </c>
      <c r="H23" s="85" t="s">
        <v>24</v>
      </c>
      <c r="I23" s="85" t="s">
        <v>24</v>
      </c>
      <c r="J23" s="173" t="s">
        <v>1527</v>
      </c>
      <c r="K23" s="176" t="s">
        <v>2562</v>
      </c>
      <c r="L23" s="177" t="s">
        <v>2950</v>
      </c>
      <c r="M23" s="85"/>
    </row>
    <row r="24" spans="1:13" ht="208.5" customHeight="1">
      <c r="A24" s="85" t="s">
        <v>2848</v>
      </c>
      <c r="B24" s="85" t="s">
        <v>2951</v>
      </c>
      <c r="C24" s="171" t="s">
        <v>2952</v>
      </c>
      <c r="D24" s="85" t="s">
        <v>94</v>
      </c>
      <c r="E24" s="85" t="s">
        <v>2851</v>
      </c>
      <c r="F24" s="167" t="s">
        <v>2953</v>
      </c>
      <c r="G24" s="172" t="s">
        <v>2954</v>
      </c>
      <c r="H24" s="85" t="s">
        <v>24</v>
      </c>
      <c r="I24" s="85" t="s">
        <v>24</v>
      </c>
      <c r="J24" s="173" t="s">
        <v>1527</v>
      </c>
      <c r="K24" s="176" t="s">
        <v>2562</v>
      </c>
      <c r="L24" s="175"/>
      <c r="M24" s="85"/>
    </row>
    <row r="25" spans="1:13" ht="208.5" customHeight="1">
      <c r="A25" s="85" t="s">
        <v>2848</v>
      </c>
      <c r="B25" s="85" t="s">
        <v>2955</v>
      </c>
      <c r="C25" s="171" t="s">
        <v>2956</v>
      </c>
      <c r="D25" s="85" t="s">
        <v>94</v>
      </c>
      <c r="E25" s="85" t="s">
        <v>2851</v>
      </c>
      <c r="F25" s="167" t="s">
        <v>2957</v>
      </c>
      <c r="G25" s="172" t="s">
        <v>2958</v>
      </c>
      <c r="H25" s="85" t="s">
        <v>24</v>
      </c>
      <c r="I25" s="85" t="s">
        <v>24</v>
      </c>
      <c r="J25" s="173" t="s">
        <v>1527</v>
      </c>
      <c r="K25" s="176" t="s">
        <v>2959</v>
      </c>
      <c r="L25" s="177"/>
      <c r="M25" s="85"/>
    </row>
    <row r="26" spans="1:13" ht="208.5" customHeight="1">
      <c r="A26" s="85" t="s">
        <v>2848</v>
      </c>
      <c r="B26" s="85" t="s">
        <v>2960</v>
      </c>
      <c r="C26" s="171" t="s">
        <v>2961</v>
      </c>
      <c r="D26" s="85" t="s">
        <v>94</v>
      </c>
      <c r="E26" s="85" t="s">
        <v>2851</v>
      </c>
      <c r="F26" s="167" t="s">
        <v>2962</v>
      </c>
      <c r="G26" s="172" t="s">
        <v>2963</v>
      </c>
      <c r="H26" s="85" t="s">
        <v>24</v>
      </c>
      <c r="I26" s="85" t="s">
        <v>24</v>
      </c>
      <c r="J26" s="173" t="s">
        <v>1527</v>
      </c>
      <c r="K26" s="176" t="s">
        <v>2964</v>
      </c>
      <c r="L26" s="177"/>
      <c r="M26" s="85"/>
    </row>
    <row r="27" spans="1:13" ht="208.5" customHeight="1">
      <c r="A27" s="85" t="s">
        <v>2848</v>
      </c>
      <c r="B27" s="85" t="s">
        <v>2965</v>
      </c>
      <c r="C27" s="171" t="s">
        <v>2966</v>
      </c>
      <c r="D27" s="85" t="s">
        <v>94</v>
      </c>
      <c r="E27" s="85" t="s">
        <v>2851</v>
      </c>
      <c r="F27" s="167" t="s">
        <v>2967</v>
      </c>
      <c r="G27" s="172" t="s">
        <v>2968</v>
      </c>
      <c r="H27" s="85" t="s">
        <v>24</v>
      </c>
      <c r="I27" s="85" t="s">
        <v>24</v>
      </c>
      <c r="J27" s="173" t="s">
        <v>1527</v>
      </c>
      <c r="K27" s="176" t="s">
        <v>2969</v>
      </c>
      <c r="L27" s="177"/>
      <c r="M27" s="85"/>
    </row>
    <row r="28" spans="1:13" ht="208.5" customHeight="1">
      <c r="A28" s="85" t="s">
        <v>2848</v>
      </c>
      <c r="B28" s="85" t="s">
        <v>2970</v>
      </c>
      <c r="C28" s="171" t="s">
        <v>2971</v>
      </c>
      <c r="D28" s="85" t="s">
        <v>94</v>
      </c>
      <c r="E28" s="85" t="s">
        <v>2851</v>
      </c>
      <c r="F28" s="167" t="s">
        <v>2972</v>
      </c>
      <c r="G28" s="172" t="s">
        <v>2973</v>
      </c>
      <c r="H28" s="85" t="s">
        <v>24</v>
      </c>
      <c r="I28" s="85" t="s">
        <v>24</v>
      </c>
      <c r="J28" s="173" t="s">
        <v>1527</v>
      </c>
      <c r="K28" s="176" t="s">
        <v>2974</v>
      </c>
      <c r="L28" s="177"/>
      <c r="M28" s="85"/>
    </row>
    <row r="29" spans="1:13" ht="208.5" customHeight="1">
      <c r="A29" s="85" t="s">
        <v>2848</v>
      </c>
      <c r="B29" s="85" t="s">
        <v>2975</v>
      </c>
      <c r="C29" s="171" t="s">
        <v>2976</v>
      </c>
      <c r="D29" s="85" t="s">
        <v>94</v>
      </c>
      <c r="E29" s="85" t="s">
        <v>2851</v>
      </c>
      <c r="F29" s="167" t="s">
        <v>2977</v>
      </c>
      <c r="G29" s="172" t="s">
        <v>2978</v>
      </c>
      <c r="H29" s="85" t="s">
        <v>24</v>
      </c>
      <c r="I29" s="85" t="s">
        <v>24</v>
      </c>
      <c r="J29" s="173" t="s">
        <v>1527</v>
      </c>
      <c r="K29" s="176" t="s">
        <v>2979</v>
      </c>
      <c r="L29" s="177"/>
      <c r="M29" s="85"/>
    </row>
    <row r="30" spans="1:13" ht="208.5" customHeight="1">
      <c r="A30" s="85" t="s">
        <v>2848</v>
      </c>
      <c r="B30" s="85" t="s">
        <v>2980</v>
      </c>
      <c r="C30" s="171" t="s">
        <v>2981</v>
      </c>
      <c r="D30" s="85" t="s">
        <v>94</v>
      </c>
      <c r="E30" s="85" t="s">
        <v>2851</v>
      </c>
      <c r="F30" s="167" t="s">
        <v>2982</v>
      </c>
      <c r="G30" s="172" t="s">
        <v>2983</v>
      </c>
      <c r="H30" s="85" t="s">
        <v>24</v>
      </c>
      <c r="I30" s="85" t="s">
        <v>24</v>
      </c>
      <c r="J30" s="173" t="s">
        <v>1527</v>
      </c>
      <c r="K30" s="182" t="s">
        <v>2984</v>
      </c>
      <c r="L30" s="177" t="s">
        <v>2985</v>
      </c>
      <c r="M30" s="85"/>
    </row>
    <row r="31" spans="1:13" ht="208.5" customHeight="1">
      <c r="A31" s="85" t="s">
        <v>2848</v>
      </c>
      <c r="B31" s="85" t="s">
        <v>2986</v>
      </c>
      <c r="C31" s="171" t="s">
        <v>2987</v>
      </c>
      <c r="D31" s="85" t="s">
        <v>94</v>
      </c>
      <c r="E31" s="85" t="s">
        <v>2851</v>
      </c>
      <c r="F31" s="167" t="s">
        <v>2988</v>
      </c>
      <c r="G31" s="172" t="s">
        <v>2989</v>
      </c>
      <c r="H31" s="85" t="s">
        <v>24</v>
      </c>
      <c r="I31" s="85" t="s">
        <v>24</v>
      </c>
      <c r="J31" s="173" t="s">
        <v>1527</v>
      </c>
      <c r="K31" s="176" t="s">
        <v>2990</v>
      </c>
      <c r="L31" s="177"/>
      <c r="M31" s="85"/>
    </row>
    <row r="32" spans="1:13" ht="208.5" customHeight="1">
      <c r="A32" s="85" t="s">
        <v>2848</v>
      </c>
      <c r="B32" s="85" t="s">
        <v>2991</v>
      </c>
      <c r="C32" s="171" t="s">
        <v>2992</v>
      </c>
      <c r="D32" s="85" t="s">
        <v>94</v>
      </c>
      <c r="E32" s="85" t="s">
        <v>2851</v>
      </c>
      <c r="F32" s="167" t="s">
        <v>2993</v>
      </c>
      <c r="G32" s="172" t="s">
        <v>2994</v>
      </c>
      <c r="H32" s="85" t="s">
        <v>24</v>
      </c>
      <c r="I32" s="85" t="s">
        <v>24</v>
      </c>
      <c r="J32" s="173" t="s">
        <v>1527</v>
      </c>
      <c r="K32" s="176" t="s">
        <v>2995</v>
      </c>
      <c r="L32" s="167" t="s">
        <v>2996</v>
      </c>
      <c r="M32" s="85"/>
    </row>
    <row r="33" spans="1:14" ht="208.5" customHeight="1">
      <c r="A33" s="85" t="s">
        <v>2848</v>
      </c>
      <c r="B33" s="85" t="s">
        <v>2997</v>
      </c>
      <c r="C33" s="171" t="s">
        <v>2998</v>
      </c>
      <c r="D33" s="85" t="s">
        <v>94</v>
      </c>
      <c r="E33" s="85" t="s">
        <v>2851</v>
      </c>
      <c r="F33" s="167" t="s">
        <v>2999</v>
      </c>
      <c r="G33" s="172" t="s">
        <v>3000</v>
      </c>
      <c r="H33" s="85" t="s">
        <v>24</v>
      </c>
      <c r="I33" s="85" t="s">
        <v>24</v>
      </c>
      <c r="J33" s="173" t="s">
        <v>1527</v>
      </c>
      <c r="K33" s="176" t="s">
        <v>2562</v>
      </c>
      <c r="L33" s="175"/>
      <c r="M33" s="85"/>
    </row>
    <row r="34" spans="1:14" ht="208.5" customHeight="1">
      <c r="A34" s="85" t="s">
        <v>2848</v>
      </c>
      <c r="B34" s="85" t="s">
        <v>3001</v>
      </c>
      <c r="C34" s="171" t="s">
        <v>3002</v>
      </c>
      <c r="D34" s="85" t="s">
        <v>94</v>
      </c>
      <c r="E34" s="85" t="s">
        <v>2851</v>
      </c>
      <c r="F34" s="167" t="s">
        <v>3003</v>
      </c>
      <c r="G34" s="172" t="s">
        <v>3004</v>
      </c>
      <c r="H34" s="180" t="s">
        <v>25</v>
      </c>
      <c r="I34" s="85" t="s">
        <v>24</v>
      </c>
      <c r="J34" s="173" t="s">
        <v>1527</v>
      </c>
      <c r="K34" s="178" t="s">
        <v>3005</v>
      </c>
      <c r="L34" s="179" t="s">
        <v>2873</v>
      </c>
      <c r="M34" s="179"/>
    </row>
    <row r="35" spans="1:14" ht="208.5" customHeight="1">
      <c r="A35" s="85" t="s">
        <v>2848</v>
      </c>
      <c r="B35" s="85" t="s">
        <v>3006</v>
      </c>
      <c r="C35" s="171" t="s">
        <v>3007</v>
      </c>
      <c r="D35" s="85" t="s">
        <v>94</v>
      </c>
      <c r="E35" s="85" t="s">
        <v>2851</v>
      </c>
      <c r="F35" s="167" t="s">
        <v>3008</v>
      </c>
      <c r="G35" s="172" t="s">
        <v>3009</v>
      </c>
      <c r="H35" s="180" t="s">
        <v>25</v>
      </c>
      <c r="I35" s="85" t="s">
        <v>24</v>
      </c>
      <c r="J35" s="173" t="s">
        <v>1527</v>
      </c>
      <c r="K35" s="178" t="s">
        <v>3010</v>
      </c>
      <c r="L35" s="179" t="s">
        <v>2873</v>
      </c>
      <c r="M35" s="179"/>
    </row>
    <row r="36" spans="1:14" ht="208.5" customHeight="1">
      <c r="A36" s="85" t="s">
        <v>2848</v>
      </c>
      <c r="B36" s="85" t="s">
        <v>3011</v>
      </c>
      <c r="C36" s="171" t="s">
        <v>3012</v>
      </c>
      <c r="D36" s="85" t="s">
        <v>94</v>
      </c>
      <c r="E36" s="85" t="s">
        <v>2851</v>
      </c>
      <c r="F36" s="167" t="s">
        <v>3013</v>
      </c>
      <c r="G36" s="172" t="s">
        <v>3014</v>
      </c>
      <c r="H36" s="85" t="s">
        <v>24</v>
      </c>
      <c r="I36" s="85" t="s">
        <v>24</v>
      </c>
      <c r="J36" s="173" t="s">
        <v>1527</v>
      </c>
      <c r="K36" s="176" t="s">
        <v>2562</v>
      </c>
      <c r="L36" s="175"/>
      <c r="M36" s="85"/>
    </row>
    <row r="37" spans="1:14" ht="208.5" customHeight="1">
      <c r="A37" s="85" t="s">
        <v>2848</v>
      </c>
      <c r="B37" s="85" t="s">
        <v>3015</v>
      </c>
      <c r="C37" s="171" t="s">
        <v>3016</v>
      </c>
      <c r="D37" s="85" t="s">
        <v>94</v>
      </c>
      <c r="E37" s="85" t="s">
        <v>2851</v>
      </c>
      <c r="F37" s="167" t="s">
        <v>3017</v>
      </c>
      <c r="G37" s="172" t="s">
        <v>3018</v>
      </c>
      <c r="H37" s="85" t="s">
        <v>24</v>
      </c>
      <c r="I37" s="85" t="s">
        <v>24</v>
      </c>
      <c r="J37" s="173" t="s">
        <v>1527</v>
      </c>
      <c r="K37" s="178" t="s">
        <v>3019</v>
      </c>
      <c r="L37" s="177" t="s">
        <v>3020</v>
      </c>
      <c r="M37" s="85"/>
    </row>
    <row r="38" spans="1:14" ht="208.5" customHeight="1">
      <c r="A38" s="85" t="s">
        <v>2848</v>
      </c>
      <c r="B38" s="85" t="s">
        <v>3021</v>
      </c>
      <c r="C38" s="171" t="s">
        <v>3022</v>
      </c>
      <c r="D38" s="85" t="s">
        <v>94</v>
      </c>
      <c r="E38" s="85" t="s">
        <v>2851</v>
      </c>
      <c r="F38" s="167" t="s">
        <v>3023</v>
      </c>
      <c r="G38" s="172" t="s">
        <v>3024</v>
      </c>
      <c r="H38" s="85" t="s">
        <v>24</v>
      </c>
      <c r="I38" s="85" t="s">
        <v>24</v>
      </c>
      <c r="J38" s="173" t="s">
        <v>1527</v>
      </c>
      <c r="K38" s="176" t="s">
        <v>2562</v>
      </c>
      <c r="L38" s="175"/>
      <c r="M38" s="85"/>
    </row>
    <row r="39" spans="1:14" ht="208.5" customHeight="1">
      <c r="A39" s="85" t="s">
        <v>2848</v>
      </c>
      <c r="B39" s="85" t="s">
        <v>3025</v>
      </c>
      <c r="C39" s="171" t="s">
        <v>3026</v>
      </c>
      <c r="D39" s="85" t="s">
        <v>94</v>
      </c>
      <c r="E39" s="85" t="s">
        <v>2851</v>
      </c>
      <c r="F39" s="222" t="s">
        <v>3027</v>
      </c>
      <c r="G39" s="172" t="s">
        <v>3028</v>
      </c>
      <c r="H39" s="180" t="s">
        <v>25</v>
      </c>
      <c r="I39" s="85" t="s">
        <v>24</v>
      </c>
      <c r="J39" s="173" t="s">
        <v>1527</v>
      </c>
      <c r="K39" s="178" t="s">
        <v>3029</v>
      </c>
      <c r="L39" s="179" t="s">
        <v>2873</v>
      </c>
      <c r="M39" s="179"/>
      <c r="N39" s="183"/>
    </row>
    <row r="40" spans="1:14" ht="208.5" customHeight="1">
      <c r="A40" s="85" t="s">
        <v>2848</v>
      </c>
      <c r="B40" s="85" t="s">
        <v>3030</v>
      </c>
      <c r="C40" s="171" t="s">
        <v>3031</v>
      </c>
      <c r="D40" s="85" t="s">
        <v>94</v>
      </c>
      <c r="E40" s="85" t="s">
        <v>2851</v>
      </c>
      <c r="F40" s="167" t="s">
        <v>3032</v>
      </c>
      <c r="G40" s="172" t="s">
        <v>3033</v>
      </c>
      <c r="H40" s="85" t="s">
        <v>24</v>
      </c>
      <c r="I40" s="85" t="s">
        <v>24</v>
      </c>
      <c r="J40" s="173" t="s">
        <v>1527</v>
      </c>
      <c r="K40" s="176" t="s">
        <v>2562</v>
      </c>
      <c r="L40" s="175"/>
      <c r="M40" s="85"/>
    </row>
    <row r="41" spans="1:14" ht="208.5" customHeight="1">
      <c r="A41" s="85" t="s">
        <v>2848</v>
      </c>
      <c r="B41" s="85" t="s">
        <v>607</v>
      </c>
      <c r="C41" s="171" t="s">
        <v>3034</v>
      </c>
      <c r="D41" s="85" t="s">
        <v>94</v>
      </c>
      <c r="E41" s="85" t="s">
        <v>2851</v>
      </c>
      <c r="F41" s="167" t="s">
        <v>3035</v>
      </c>
      <c r="G41" s="172" t="s">
        <v>3036</v>
      </c>
      <c r="H41" s="85" t="s">
        <v>24</v>
      </c>
      <c r="I41" s="85" t="s">
        <v>24</v>
      </c>
      <c r="J41" s="173" t="s">
        <v>1527</v>
      </c>
      <c r="K41" s="176" t="s">
        <v>2562</v>
      </c>
      <c r="L41" s="175"/>
      <c r="M41" s="85"/>
    </row>
    <row r="42" spans="1:14" ht="208.5" customHeight="1">
      <c r="A42" s="85" t="s">
        <v>2848</v>
      </c>
      <c r="B42" s="85" t="s">
        <v>3037</v>
      </c>
      <c r="C42" s="171" t="s">
        <v>3038</v>
      </c>
      <c r="D42" s="85" t="s">
        <v>94</v>
      </c>
      <c r="E42" s="85" t="s">
        <v>2851</v>
      </c>
      <c r="F42" s="167" t="s">
        <v>3039</v>
      </c>
      <c r="G42" s="172" t="s">
        <v>3040</v>
      </c>
      <c r="H42" s="85" t="s">
        <v>24</v>
      </c>
      <c r="I42" s="85" t="s">
        <v>24</v>
      </c>
      <c r="J42" s="173" t="s">
        <v>1527</v>
      </c>
      <c r="K42" s="176" t="s">
        <v>2562</v>
      </c>
      <c r="L42" s="175"/>
      <c r="M42" s="85"/>
    </row>
    <row r="43" spans="1:14" ht="208.5" customHeight="1">
      <c r="A43" s="85" t="s">
        <v>2848</v>
      </c>
      <c r="B43" s="85" t="s">
        <v>3041</v>
      </c>
      <c r="C43" s="171" t="s">
        <v>3042</v>
      </c>
      <c r="D43" s="85" t="s">
        <v>94</v>
      </c>
      <c r="E43" s="85" t="s">
        <v>2851</v>
      </c>
      <c r="F43" s="167" t="s">
        <v>3043</v>
      </c>
      <c r="G43" s="172" t="s">
        <v>3044</v>
      </c>
      <c r="H43" s="85" t="s">
        <v>24</v>
      </c>
      <c r="I43" s="85" t="s">
        <v>24</v>
      </c>
      <c r="J43" s="173" t="s">
        <v>1527</v>
      </c>
      <c r="K43" s="176" t="s">
        <v>2562</v>
      </c>
      <c r="L43" s="175"/>
      <c r="M43" s="85"/>
    </row>
    <row r="44" spans="1:14" ht="208.5" customHeight="1">
      <c r="A44" s="85" t="s">
        <v>2848</v>
      </c>
      <c r="B44" s="85" t="s">
        <v>3045</v>
      </c>
      <c r="C44" s="171" t="s">
        <v>3046</v>
      </c>
      <c r="D44" s="85" t="s">
        <v>94</v>
      </c>
      <c r="E44" s="85" t="s">
        <v>2851</v>
      </c>
      <c r="F44" s="167" t="s">
        <v>3047</v>
      </c>
      <c r="G44" s="172" t="s">
        <v>3048</v>
      </c>
      <c r="H44" s="85" t="s">
        <v>24</v>
      </c>
      <c r="I44" s="85" t="s">
        <v>24</v>
      </c>
      <c r="J44" s="173" t="s">
        <v>1527</v>
      </c>
      <c r="K44" s="176" t="s">
        <v>2562</v>
      </c>
      <c r="L44" s="175"/>
      <c r="M44" s="85"/>
    </row>
    <row r="45" spans="1:14" ht="208.5" customHeight="1">
      <c r="A45" s="85" t="s">
        <v>2848</v>
      </c>
      <c r="B45" s="85" t="s">
        <v>3049</v>
      </c>
      <c r="C45" s="171" t="s">
        <v>3050</v>
      </c>
      <c r="D45" s="85" t="s">
        <v>94</v>
      </c>
      <c r="E45" s="85" t="s">
        <v>2851</v>
      </c>
      <c r="F45" s="167" t="s">
        <v>3051</v>
      </c>
      <c r="G45" s="172" t="s">
        <v>3052</v>
      </c>
      <c r="H45" s="180" t="s">
        <v>25</v>
      </c>
      <c r="I45" s="85" t="s">
        <v>24</v>
      </c>
      <c r="J45" s="173" t="s">
        <v>1527</v>
      </c>
      <c r="K45" s="178" t="s">
        <v>2562</v>
      </c>
      <c r="L45" s="179" t="s">
        <v>2873</v>
      </c>
      <c r="M45" s="179"/>
    </row>
    <row r="46" spans="1:14" ht="208.5" customHeight="1">
      <c r="A46" s="85" t="s">
        <v>2848</v>
      </c>
      <c r="B46" s="85" t="s">
        <v>3053</v>
      </c>
      <c r="C46" s="171" t="s">
        <v>3054</v>
      </c>
      <c r="D46" s="85" t="s">
        <v>94</v>
      </c>
      <c r="E46" s="85" t="s">
        <v>2851</v>
      </c>
      <c r="F46" s="167" t="s">
        <v>3055</v>
      </c>
      <c r="G46" s="172" t="s">
        <v>3056</v>
      </c>
      <c r="H46" s="85" t="s">
        <v>24</v>
      </c>
      <c r="I46" s="85" t="s">
        <v>24</v>
      </c>
      <c r="J46" s="173" t="s">
        <v>1527</v>
      </c>
      <c r="K46" s="176" t="s">
        <v>2562</v>
      </c>
      <c r="L46" s="177" t="s">
        <v>3057</v>
      </c>
      <c r="M46" s="85"/>
    </row>
    <row r="47" spans="1:14" ht="208.5" customHeight="1">
      <c r="A47" s="85" t="s">
        <v>3058</v>
      </c>
      <c r="B47" s="85" t="s">
        <v>3059</v>
      </c>
      <c r="C47" s="171" t="s">
        <v>3060</v>
      </c>
      <c r="D47" s="85" t="s">
        <v>94</v>
      </c>
      <c r="E47" s="85" t="s">
        <v>2851</v>
      </c>
      <c r="F47" s="167" t="s">
        <v>3061</v>
      </c>
      <c r="G47" s="172" t="s">
        <v>3062</v>
      </c>
      <c r="H47" s="85" t="s">
        <v>24</v>
      </c>
      <c r="I47" s="85" t="s">
        <v>24</v>
      </c>
      <c r="J47" s="173" t="s">
        <v>1527</v>
      </c>
      <c r="K47" s="176" t="s">
        <v>2562</v>
      </c>
      <c r="L47" s="177" t="s">
        <v>3063</v>
      </c>
      <c r="M47" s="85"/>
    </row>
    <row r="48" spans="1:14" ht="208.5" customHeight="1">
      <c r="A48" s="85" t="s">
        <v>3058</v>
      </c>
      <c r="B48" s="85" t="s">
        <v>3064</v>
      </c>
      <c r="C48" s="171" t="s">
        <v>3065</v>
      </c>
      <c r="D48" s="85" t="s">
        <v>94</v>
      </c>
      <c r="E48" s="85" t="s">
        <v>2851</v>
      </c>
      <c r="F48" s="167" t="s">
        <v>3066</v>
      </c>
      <c r="G48" s="172" t="s">
        <v>3067</v>
      </c>
      <c r="H48" s="85" t="s">
        <v>24</v>
      </c>
      <c r="I48" s="85" t="s">
        <v>24</v>
      </c>
      <c r="J48" s="173" t="s">
        <v>1527</v>
      </c>
      <c r="K48" s="176" t="s">
        <v>2562</v>
      </c>
      <c r="L48" s="177" t="s">
        <v>3068</v>
      </c>
      <c r="M48" s="85"/>
    </row>
    <row r="49" spans="1:13" ht="208.5" customHeight="1">
      <c r="A49" s="85" t="s">
        <v>3058</v>
      </c>
      <c r="B49" s="85" t="s">
        <v>3069</v>
      </c>
      <c r="C49" s="171" t="s">
        <v>3070</v>
      </c>
      <c r="D49" s="85" t="s">
        <v>94</v>
      </c>
      <c r="E49" s="85" t="s">
        <v>2851</v>
      </c>
      <c r="F49" s="167" t="s">
        <v>3071</v>
      </c>
      <c r="G49" s="172" t="s">
        <v>3072</v>
      </c>
      <c r="H49" s="85" t="s">
        <v>24</v>
      </c>
      <c r="I49" s="85" t="s">
        <v>24</v>
      </c>
      <c r="J49" s="173" t="s">
        <v>1527</v>
      </c>
      <c r="K49" s="176" t="s">
        <v>2562</v>
      </c>
      <c r="L49" s="175"/>
      <c r="M49" s="85"/>
    </row>
    <row r="50" spans="1:13" ht="208.5" customHeight="1">
      <c r="A50" s="85" t="s">
        <v>3058</v>
      </c>
      <c r="B50" s="85" t="s">
        <v>3073</v>
      </c>
      <c r="C50" s="171" t="s">
        <v>3074</v>
      </c>
      <c r="D50" s="85" t="s">
        <v>94</v>
      </c>
      <c r="E50" s="85" t="s">
        <v>2851</v>
      </c>
      <c r="F50" s="167" t="s">
        <v>3075</v>
      </c>
      <c r="G50" s="172" t="s">
        <v>3076</v>
      </c>
      <c r="H50" s="85" t="s">
        <v>24</v>
      </c>
      <c r="I50" s="85" t="s">
        <v>24</v>
      </c>
      <c r="J50" s="173" t="s">
        <v>1527</v>
      </c>
      <c r="K50" s="176" t="s">
        <v>2562</v>
      </c>
      <c r="L50" s="85"/>
      <c r="M50" s="85"/>
    </row>
    <row r="51" spans="1:13" ht="208.5" customHeight="1">
      <c r="A51" s="85" t="s">
        <v>3058</v>
      </c>
      <c r="B51" s="85" t="s">
        <v>3077</v>
      </c>
      <c r="C51" s="171" t="s">
        <v>3078</v>
      </c>
      <c r="D51" s="85" t="s">
        <v>94</v>
      </c>
      <c r="E51" s="85" t="s">
        <v>2851</v>
      </c>
      <c r="F51" s="167" t="s">
        <v>3079</v>
      </c>
      <c r="G51" s="172" t="s">
        <v>3080</v>
      </c>
      <c r="H51" s="85" t="s">
        <v>24</v>
      </c>
      <c r="I51" s="85" t="s">
        <v>24</v>
      </c>
      <c r="J51" s="173" t="s">
        <v>1527</v>
      </c>
      <c r="K51" s="176" t="s">
        <v>2562</v>
      </c>
      <c r="L51" s="177" t="s">
        <v>3081</v>
      </c>
      <c r="M51" s="85"/>
    </row>
    <row r="52" spans="1:13" ht="208.5" customHeight="1">
      <c r="A52" s="85" t="s">
        <v>3058</v>
      </c>
      <c r="B52" s="85" t="s">
        <v>3082</v>
      </c>
      <c r="C52" s="171" t="s">
        <v>3083</v>
      </c>
      <c r="D52" s="85" t="s">
        <v>94</v>
      </c>
      <c r="E52" s="85" t="s">
        <v>2851</v>
      </c>
      <c r="F52" s="167" t="s">
        <v>3084</v>
      </c>
      <c r="G52" s="172" t="s">
        <v>3085</v>
      </c>
      <c r="H52" s="85" t="s">
        <v>24</v>
      </c>
      <c r="I52" s="85" t="s">
        <v>24</v>
      </c>
      <c r="J52" s="173" t="s">
        <v>1527</v>
      </c>
      <c r="K52" s="176" t="s">
        <v>2562</v>
      </c>
      <c r="L52" s="177" t="s">
        <v>3081</v>
      </c>
      <c r="M52" s="85"/>
    </row>
    <row r="53" spans="1:13" ht="208.5" customHeight="1">
      <c r="A53" s="85" t="s">
        <v>3058</v>
      </c>
      <c r="B53" s="85" t="s">
        <v>3086</v>
      </c>
      <c r="C53" s="171" t="s">
        <v>3087</v>
      </c>
      <c r="D53" s="85" t="s">
        <v>94</v>
      </c>
      <c r="E53" s="85" t="s">
        <v>2851</v>
      </c>
      <c r="F53" s="167" t="s">
        <v>3088</v>
      </c>
      <c r="G53" s="172" t="s">
        <v>3089</v>
      </c>
      <c r="H53" s="85" t="s">
        <v>24</v>
      </c>
      <c r="I53" s="85" t="s">
        <v>24</v>
      </c>
      <c r="J53" s="173" t="s">
        <v>1527</v>
      </c>
      <c r="K53" s="176" t="s">
        <v>2562</v>
      </c>
      <c r="L53" s="177" t="s">
        <v>3090</v>
      </c>
      <c r="M53" s="85"/>
    </row>
    <row r="54" spans="1:13" ht="208.5" customHeight="1">
      <c r="A54" s="85" t="s">
        <v>3058</v>
      </c>
      <c r="B54" s="85" t="s">
        <v>3091</v>
      </c>
      <c r="C54" s="171" t="s">
        <v>3092</v>
      </c>
      <c r="D54" s="85" t="s">
        <v>94</v>
      </c>
      <c r="E54" s="85" t="s">
        <v>2851</v>
      </c>
      <c r="F54" s="167" t="s">
        <v>3093</v>
      </c>
      <c r="G54" s="172" t="s">
        <v>3094</v>
      </c>
      <c r="H54" s="85" t="s">
        <v>24</v>
      </c>
      <c r="I54" s="85" t="s">
        <v>24</v>
      </c>
      <c r="J54" s="173" t="s">
        <v>1527</v>
      </c>
      <c r="K54" s="176" t="s">
        <v>2562</v>
      </c>
      <c r="L54" s="177" t="s">
        <v>3095</v>
      </c>
      <c r="M54" s="85"/>
    </row>
    <row r="55" spans="1:13" ht="208.5" customHeight="1">
      <c r="A55" s="85" t="s">
        <v>3058</v>
      </c>
      <c r="B55" s="85" t="s">
        <v>3096</v>
      </c>
      <c r="C55" s="171" t="s">
        <v>3097</v>
      </c>
      <c r="D55" s="85" t="s">
        <v>94</v>
      </c>
      <c r="E55" s="85" t="s">
        <v>2851</v>
      </c>
      <c r="F55" s="167" t="s">
        <v>3098</v>
      </c>
      <c r="G55" s="172" t="s">
        <v>3099</v>
      </c>
      <c r="H55" s="85" t="s">
        <v>24</v>
      </c>
      <c r="I55" s="85" t="s">
        <v>24</v>
      </c>
      <c r="J55" s="173" t="s">
        <v>1527</v>
      </c>
      <c r="K55" s="176" t="s">
        <v>3100</v>
      </c>
      <c r="L55" s="177" t="s">
        <v>3101</v>
      </c>
      <c r="M55" s="85"/>
    </row>
    <row r="56" spans="1:13" ht="208.5" customHeight="1">
      <c r="A56" s="85" t="s">
        <v>3058</v>
      </c>
      <c r="B56" s="85" t="s">
        <v>3102</v>
      </c>
      <c r="C56" s="171" t="s">
        <v>3103</v>
      </c>
      <c r="D56" s="85" t="s">
        <v>94</v>
      </c>
      <c r="E56" s="85" t="s">
        <v>2851</v>
      </c>
      <c r="F56" s="167" t="s">
        <v>3104</v>
      </c>
      <c r="G56" s="172" t="s">
        <v>3105</v>
      </c>
      <c r="H56" s="85" t="s">
        <v>24</v>
      </c>
      <c r="I56" s="85" t="s">
        <v>24</v>
      </c>
      <c r="J56" s="173" t="s">
        <v>1527</v>
      </c>
      <c r="K56" s="176" t="s">
        <v>3100</v>
      </c>
      <c r="L56" s="177" t="s">
        <v>3106</v>
      </c>
      <c r="M56" s="85"/>
    </row>
    <row r="57" spans="1:13" ht="208.5" customHeight="1">
      <c r="A57" s="85" t="s">
        <v>3058</v>
      </c>
      <c r="B57" s="85" t="s">
        <v>3107</v>
      </c>
      <c r="C57" s="171" t="s">
        <v>3108</v>
      </c>
      <c r="D57" s="85" t="s">
        <v>94</v>
      </c>
      <c r="E57" s="85" t="s">
        <v>2851</v>
      </c>
      <c r="F57" s="167" t="s">
        <v>3109</v>
      </c>
      <c r="G57" s="172" t="s">
        <v>3110</v>
      </c>
      <c r="H57" s="85" t="s">
        <v>24</v>
      </c>
      <c r="I57" s="85" t="s">
        <v>24</v>
      </c>
      <c r="J57" s="173" t="s">
        <v>1527</v>
      </c>
      <c r="K57" s="176" t="s">
        <v>2562</v>
      </c>
      <c r="L57" s="177" t="s">
        <v>3111</v>
      </c>
      <c r="M57" s="85"/>
    </row>
    <row r="58" spans="1:13" ht="208.5" customHeight="1">
      <c r="A58" s="85" t="s">
        <v>3058</v>
      </c>
      <c r="B58" s="85" t="s">
        <v>3112</v>
      </c>
      <c r="C58" s="171" t="s">
        <v>3113</v>
      </c>
      <c r="D58" s="85" t="s">
        <v>94</v>
      </c>
      <c r="E58" s="85" t="s">
        <v>2851</v>
      </c>
      <c r="F58" s="167" t="s">
        <v>3114</v>
      </c>
      <c r="G58" s="172" t="s">
        <v>3115</v>
      </c>
      <c r="H58" s="85" t="s">
        <v>24</v>
      </c>
      <c r="I58" s="85" t="s">
        <v>24</v>
      </c>
      <c r="J58" s="173" t="s">
        <v>1527</v>
      </c>
      <c r="K58" s="176" t="s">
        <v>2562</v>
      </c>
      <c r="L58" s="177" t="s">
        <v>3116</v>
      </c>
      <c r="M58" s="85"/>
    </row>
    <row r="59" spans="1:13" ht="208.5" customHeight="1">
      <c r="A59" s="85" t="s">
        <v>3058</v>
      </c>
      <c r="B59" s="85" t="s">
        <v>3117</v>
      </c>
      <c r="C59" s="171" t="s">
        <v>3118</v>
      </c>
      <c r="D59" s="85" t="s">
        <v>94</v>
      </c>
      <c r="E59" s="85" t="s">
        <v>2851</v>
      </c>
      <c r="F59" s="167" t="s">
        <v>3119</v>
      </c>
      <c r="G59" s="172" t="s">
        <v>3120</v>
      </c>
      <c r="H59" s="85" t="s">
        <v>24</v>
      </c>
      <c r="I59" s="85" t="s">
        <v>24</v>
      </c>
      <c r="J59" s="173" t="s">
        <v>1527</v>
      </c>
      <c r="K59" s="176" t="s">
        <v>2562</v>
      </c>
      <c r="L59" s="175"/>
      <c r="M59" s="85"/>
    </row>
    <row r="60" spans="1:13" ht="208.5" customHeight="1">
      <c r="A60" s="85" t="s">
        <v>3058</v>
      </c>
      <c r="B60" s="85" t="s">
        <v>3121</v>
      </c>
      <c r="C60" s="171" t="s">
        <v>3122</v>
      </c>
      <c r="D60" s="85" t="s">
        <v>94</v>
      </c>
      <c r="E60" s="85" t="s">
        <v>2851</v>
      </c>
      <c r="F60" s="167" t="s">
        <v>3123</v>
      </c>
      <c r="G60" s="172" t="s">
        <v>3124</v>
      </c>
      <c r="H60" s="85" t="s">
        <v>24</v>
      </c>
      <c r="I60" s="85" t="s">
        <v>24</v>
      </c>
      <c r="J60" s="173" t="s">
        <v>1527</v>
      </c>
      <c r="K60" s="176" t="s">
        <v>2562</v>
      </c>
      <c r="L60" s="175"/>
      <c r="M60" s="85"/>
    </row>
    <row r="61" spans="1:13" ht="208.5" customHeight="1">
      <c r="A61" s="85" t="s">
        <v>3058</v>
      </c>
      <c r="B61" s="85" t="s">
        <v>3125</v>
      </c>
      <c r="C61" s="171" t="s">
        <v>3126</v>
      </c>
      <c r="D61" s="85" t="s">
        <v>94</v>
      </c>
      <c r="E61" s="85" t="s">
        <v>2851</v>
      </c>
      <c r="F61" s="167" t="s">
        <v>3127</v>
      </c>
      <c r="G61" s="172" t="s">
        <v>3128</v>
      </c>
      <c r="H61" s="85" t="s">
        <v>24</v>
      </c>
      <c r="I61" s="85" t="s">
        <v>24</v>
      </c>
      <c r="J61" s="173" t="s">
        <v>1527</v>
      </c>
      <c r="K61" s="176" t="s">
        <v>2562</v>
      </c>
      <c r="L61" s="175"/>
      <c r="M61" s="85"/>
    </row>
    <row r="62" spans="1:13" ht="208.5" customHeight="1">
      <c r="A62" s="85" t="s">
        <v>3058</v>
      </c>
      <c r="B62" s="85" t="s">
        <v>3129</v>
      </c>
      <c r="C62" s="171" t="s">
        <v>3130</v>
      </c>
      <c r="D62" s="85" t="s">
        <v>94</v>
      </c>
      <c r="E62" s="85" t="s">
        <v>2851</v>
      </c>
      <c r="F62" s="167" t="s">
        <v>3131</v>
      </c>
      <c r="G62" s="172" t="s">
        <v>3132</v>
      </c>
      <c r="H62" s="85" t="s">
        <v>24</v>
      </c>
      <c r="I62" s="85" t="s">
        <v>24</v>
      </c>
      <c r="J62" s="173" t="s">
        <v>1527</v>
      </c>
      <c r="K62" s="176" t="s">
        <v>2562</v>
      </c>
      <c r="L62" s="175"/>
      <c r="M62" s="85"/>
    </row>
    <row r="63" spans="1:13" ht="208.5" customHeight="1">
      <c r="A63" s="85" t="s">
        <v>3058</v>
      </c>
      <c r="B63" s="85" t="s">
        <v>3133</v>
      </c>
      <c r="C63" s="171" t="s">
        <v>3134</v>
      </c>
      <c r="D63" s="85" t="s">
        <v>94</v>
      </c>
      <c r="E63" s="85" t="s">
        <v>2851</v>
      </c>
      <c r="F63" s="167" t="s">
        <v>3135</v>
      </c>
      <c r="G63" s="172" t="s">
        <v>3136</v>
      </c>
      <c r="H63" s="85" t="s">
        <v>24</v>
      </c>
      <c r="I63" s="85" t="s">
        <v>24</v>
      </c>
      <c r="J63" s="173" t="s">
        <v>1527</v>
      </c>
      <c r="K63" s="176" t="s">
        <v>2562</v>
      </c>
      <c r="L63" s="177" t="s">
        <v>3137</v>
      </c>
      <c r="M63" s="85"/>
    </row>
    <row r="64" spans="1:13" ht="208.5" customHeight="1">
      <c r="A64" s="85" t="s">
        <v>3058</v>
      </c>
      <c r="B64" s="85" t="s">
        <v>3138</v>
      </c>
      <c r="C64" s="171" t="s">
        <v>3139</v>
      </c>
      <c r="D64" s="85" t="s">
        <v>94</v>
      </c>
      <c r="E64" s="85" t="s">
        <v>2851</v>
      </c>
      <c r="F64" s="167" t="s">
        <v>3140</v>
      </c>
      <c r="G64" s="172" t="s">
        <v>3141</v>
      </c>
      <c r="H64" s="85" t="s">
        <v>24</v>
      </c>
      <c r="I64" s="85" t="s">
        <v>24</v>
      </c>
      <c r="J64" s="173" t="s">
        <v>1527</v>
      </c>
      <c r="K64" s="176" t="s">
        <v>2562</v>
      </c>
      <c r="L64" s="175"/>
      <c r="M64" s="85"/>
    </row>
    <row r="65" spans="1:13" ht="208.5" customHeight="1">
      <c r="A65" s="85" t="s">
        <v>3058</v>
      </c>
      <c r="B65" s="85" t="s">
        <v>3142</v>
      </c>
      <c r="C65" s="171" t="s">
        <v>3143</v>
      </c>
      <c r="D65" s="85" t="s">
        <v>94</v>
      </c>
      <c r="E65" s="85" t="s">
        <v>2851</v>
      </c>
      <c r="F65" s="167" t="s">
        <v>3144</v>
      </c>
      <c r="G65" s="172" t="s">
        <v>3145</v>
      </c>
      <c r="H65" s="85" t="s">
        <v>24</v>
      </c>
      <c r="I65" s="85" t="s">
        <v>24</v>
      </c>
      <c r="J65" s="173" t="s">
        <v>1527</v>
      </c>
      <c r="K65" s="176" t="s">
        <v>2562</v>
      </c>
      <c r="L65" s="175"/>
      <c r="M65" s="85"/>
    </row>
    <row r="66" spans="1:13" ht="208.5" customHeight="1">
      <c r="A66" s="85" t="s">
        <v>3058</v>
      </c>
      <c r="B66" s="85" t="s">
        <v>3146</v>
      </c>
      <c r="C66" s="171" t="s">
        <v>3147</v>
      </c>
      <c r="D66" s="85" t="s">
        <v>94</v>
      </c>
      <c r="E66" s="85" t="s">
        <v>2851</v>
      </c>
      <c r="F66" s="167" t="s">
        <v>3148</v>
      </c>
      <c r="G66" s="172" t="s">
        <v>3149</v>
      </c>
      <c r="H66" s="85" t="s">
        <v>24</v>
      </c>
      <c r="I66" s="85" t="s">
        <v>24</v>
      </c>
      <c r="J66" s="173" t="s">
        <v>1527</v>
      </c>
      <c r="K66" s="176" t="s">
        <v>3150</v>
      </c>
      <c r="L66" s="177" t="s">
        <v>3151</v>
      </c>
      <c r="M66" s="85"/>
    </row>
    <row r="67" spans="1:13" ht="208.5" customHeight="1">
      <c r="A67" s="85" t="s">
        <v>3152</v>
      </c>
      <c r="B67" s="85" t="s">
        <v>3153</v>
      </c>
      <c r="C67" s="171" t="s">
        <v>3154</v>
      </c>
      <c r="D67" s="85" t="s">
        <v>94</v>
      </c>
      <c r="E67" s="85" t="s">
        <v>2851</v>
      </c>
      <c r="F67" s="167" t="s">
        <v>3155</v>
      </c>
      <c r="G67" s="172" t="s">
        <v>3156</v>
      </c>
      <c r="H67" s="180" t="s">
        <v>25</v>
      </c>
      <c r="I67" s="85" t="s">
        <v>24</v>
      </c>
      <c r="J67" s="173" t="s">
        <v>1527</v>
      </c>
      <c r="K67" s="178" t="s">
        <v>3157</v>
      </c>
      <c r="L67" s="179" t="s">
        <v>2873</v>
      </c>
      <c r="M67" s="179"/>
    </row>
    <row r="68" spans="1:13" ht="208.5" customHeight="1">
      <c r="A68" s="85" t="s">
        <v>3152</v>
      </c>
      <c r="B68" s="85" t="s">
        <v>3158</v>
      </c>
      <c r="C68" s="171" t="s">
        <v>3159</v>
      </c>
      <c r="D68" s="85" t="s">
        <v>94</v>
      </c>
      <c r="E68" s="85" t="s">
        <v>2851</v>
      </c>
      <c r="F68" s="167" t="s">
        <v>3160</v>
      </c>
      <c r="G68" s="172" t="s">
        <v>3161</v>
      </c>
      <c r="H68" s="180" t="s">
        <v>25</v>
      </c>
      <c r="I68" s="85" t="s">
        <v>24</v>
      </c>
      <c r="J68" s="173" t="s">
        <v>1527</v>
      </c>
      <c r="K68" s="178" t="s">
        <v>2883</v>
      </c>
      <c r="L68" s="179" t="s">
        <v>2873</v>
      </c>
      <c r="M68" s="179"/>
    </row>
    <row r="69" spans="1:13" ht="208.5" customHeight="1">
      <c r="A69" s="85" t="s">
        <v>3152</v>
      </c>
      <c r="B69" s="85" t="s">
        <v>3162</v>
      </c>
      <c r="C69" s="171" t="s">
        <v>3163</v>
      </c>
      <c r="D69" s="85" t="s">
        <v>94</v>
      </c>
      <c r="E69" s="85" t="s">
        <v>2851</v>
      </c>
      <c r="F69" s="167" t="s">
        <v>3164</v>
      </c>
      <c r="G69" s="172" t="s">
        <v>3165</v>
      </c>
      <c r="H69" s="180" t="s">
        <v>25</v>
      </c>
      <c r="I69" s="85" t="s">
        <v>24</v>
      </c>
      <c r="J69" s="173" t="s">
        <v>1527</v>
      </c>
      <c r="K69" s="178" t="s">
        <v>2872</v>
      </c>
      <c r="L69" s="179" t="s">
        <v>2873</v>
      </c>
      <c r="M69" s="179"/>
    </row>
    <row r="70" spans="1:13" ht="208.5" customHeight="1">
      <c r="A70" s="85" t="s">
        <v>3152</v>
      </c>
      <c r="B70" s="85" t="s">
        <v>3166</v>
      </c>
      <c r="C70" s="171" t="s">
        <v>3167</v>
      </c>
      <c r="D70" s="85" t="s">
        <v>94</v>
      </c>
      <c r="E70" s="85" t="s">
        <v>2851</v>
      </c>
      <c r="F70" s="167" t="s">
        <v>3168</v>
      </c>
      <c r="G70" s="172" t="s">
        <v>3169</v>
      </c>
      <c r="H70" s="180" t="s">
        <v>25</v>
      </c>
      <c r="I70" s="85" t="s">
        <v>24</v>
      </c>
      <c r="J70" s="173" t="s">
        <v>1527</v>
      </c>
      <c r="K70" s="178" t="s">
        <v>3170</v>
      </c>
      <c r="L70" s="179" t="s">
        <v>2873</v>
      </c>
      <c r="M70" s="179"/>
    </row>
    <row r="71" spans="1:13" ht="208.5" customHeight="1">
      <c r="A71" s="85" t="s">
        <v>3152</v>
      </c>
      <c r="B71" s="85" t="s">
        <v>2820</v>
      </c>
      <c r="C71" s="171" t="s">
        <v>3171</v>
      </c>
      <c r="D71" s="85" t="s">
        <v>94</v>
      </c>
      <c r="E71" s="85" t="s">
        <v>2851</v>
      </c>
      <c r="F71" s="167" t="s">
        <v>3172</v>
      </c>
      <c r="G71" s="172" t="s">
        <v>3173</v>
      </c>
      <c r="H71" s="85" t="s">
        <v>24</v>
      </c>
      <c r="I71" s="85" t="s">
        <v>24</v>
      </c>
      <c r="J71" s="173" t="s">
        <v>1527</v>
      </c>
      <c r="K71" s="176" t="s">
        <v>2562</v>
      </c>
      <c r="L71" s="177" t="s">
        <v>3174</v>
      </c>
      <c r="M71" s="85"/>
    </row>
    <row r="72" spans="1:13" ht="208.5" customHeight="1">
      <c r="A72" s="85" t="s">
        <v>3152</v>
      </c>
      <c r="B72" s="85" t="s">
        <v>3175</v>
      </c>
      <c r="C72" s="171" t="s">
        <v>3176</v>
      </c>
      <c r="D72" s="85" t="s">
        <v>94</v>
      </c>
      <c r="E72" s="85" t="s">
        <v>2851</v>
      </c>
      <c r="F72" s="167" t="s">
        <v>3177</v>
      </c>
      <c r="G72" s="172" t="s">
        <v>3178</v>
      </c>
      <c r="H72" s="180" t="s">
        <v>25</v>
      </c>
      <c r="I72" s="85" t="s">
        <v>24</v>
      </c>
      <c r="J72" s="173" t="s">
        <v>1527</v>
      </c>
      <c r="K72" s="178" t="s">
        <v>2562</v>
      </c>
      <c r="L72" s="179" t="s">
        <v>2873</v>
      </c>
      <c r="M72" s="179"/>
    </row>
    <row r="73" spans="1:13" ht="208.5" customHeight="1">
      <c r="A73" s="85" t="s">
        <v>3152</v>
      </c>
      <c r="B73" s="85" t="s">
        <v>3179</v>
      </c>
      <c r="C73" s="171" t="s">
        <v>3180</v>
      </c>
      <c r="D73" s="85" t="s">
        <v>94</v>
      </c>
      <c r="E73" s="85" t="s">
        <v>2851</v>
      </c>
      <c r="F73" s="167" t="s">
        <v>3181</v>
      </c>
      <c r="G73" s="172" t="s">
        <v>3182</v>
      </c>
      <c r="H73" s="180" t="s">
        <v>25</v>
      </c>
      <c r="I73" s="85" t="s">
        <v>24</v>
      </c>
      <c r="J73" s="173" t="s">
        <v>1527</v>
      </c>
      <c r="K73" s="178" t="s">
        <v>2562</v>
      </c>
      <c r="L73" s="179" t="s">
        <v>2873</v>
      </c>
      <c r="M73" s="179"/>
    </row>
    <row r="74" spans="1:13" ht="208.5" customHeight="1">
      <c r="A74" s="85" t="s">
        <v>3152</v>
      </c>
      <c r="B74" s="85" t="s">
        <v>3183</v>
      </c>
      <c r="C74" s="171" t="s">
        <v>3184</v>
      </c>
      <c r="D74" s="85" t="s">
        <v>94</v>
      </c>
      <c r="E74" s="85" t="s">
        <v>2851</v>
      </c>
      <c r="F74" s="167" t="s">
        <v>3185</v>
      </c>
      <c r="G74" s="172" t="s">
        <v>3186</v>
      </c>
      <c r="H74" s="180" t="s">
        <v>25</v>
      </c>
      <c r="I74" s="85" t="s">
        <v>24</v>
      </c>
      <c r="J74" s="173" t="s">
        <v>1527</v>
      </c>
      <c r="K74" s="178" t="s">
        <v>2562</v>
      </c>
      <c r="L74" s="179" t="s">
        <v>2873</v>
      </c>
      <c r="M74" s="179"/>
    </row>
    <row r="75" spans="1:13" ht="208.5" customHeight="1">
      <c r="A75" s="85" t="s">
        <v>3152</v>
      </c>
      <c r="B75" s="85" t="s">
        <v>1653</v>
      </c>
      <c r="C75" s="171" t="s">
        <v>3187</v>
      </c>
      <c r="D75" s="85" t="s">
        <v>94</v>
      </c>
      <c r="E75" s="85" t="s">
        <v>2851</v>
      </c>
      <c r="F75" s="167" t="s">
        <v>3188</v>
      </c>
      <c r="G75" s="172" t="s">
        <v>3189</v>
      </c>
      <c r="H75" s="85" t="s">
        <v>24</v>
      </c>
      <c r="I75" s="85" t="s">
        <v>24</v>
      </c>
      <c r="J75" s="173" t="s">
        <v>1527</v>
      </c>
      <c r="K75" s="176" t="s">
        <v>2562</v>
      </c>
      <c r="L75" s="177" t="s">
        <v>3190</v>
      </c>
      <c r="M75" s="85"/>
    </row>
    <row r="76" spans="1:13" ht="208.5" customHeight="1">
      <c r="A76" s="85" t="s">
        <v>3152</v>
      </c>
      <c r="B76" s="85" t="s">
        <v>3191</v>
      </c>
      <c r="C76" s="171" t="s">
        <v>3192</v>
      </c>
      <c r="D76" s="85" t="s">
        <v>94</v>
      </c>
      <c r="E76" s="85" t="s">
        <v>2851</v>
      </c>
      <c r="F76" s="167" t="s">
        <v>3193</v>
      </c>
      <c r="G76" s="172" t="s">
        <v>3194</v>
      </c>
      <c r="H76" s="85" t="s">
        <v>24</v>
      </c>
      <c r="I76" s="85" t="s">
        <v>24</v>
      </c>
      <c r="J76" s="173" t="s">
        <v>1527</v>
      </c>
      <c r="K76" s="176" t="s">
        <v>2562</v>
      </c>
      <c r="L76" s="177" t="s">
        <v>3195</v>
      </c>
      <c r="M76" s="85"/>
    </row>
    <row r="77" spans="1:13" ht="208.5" customHeight="1">
      <c r="A77" s="85" t="s">
        <v>3152</v>
      </c>
      <c r="B77" s="85" t="s">
        <v>3196</v>
      </c>
      <c r="C77" s="171" t="s">
        <v>3197</v>
      </c>
      <c r="D77" s="85" t="s">
        <v>94</v>
      </c>
      <c r="E77" s="85" t="s">
        <v>2851</v>
      </c>
      <c r="F77" s="167" t="s">
        <v>3198</v>
      </c>
      <c r="G77" s="172" t="s">
        <v>3199</v>
      </c>
      <c r="H77" s="180" t="s">
        <v>25</v>
      </c>
      <c r="I77" s="85" t="s">
        <v>24</v>
      </c>
      <c r="J77" s="173" t="s">
        <v>1527</v>
      </c>
      <c r="K77" s="178" t="s">
        <v>2562</v>
      </c>
      <c r="L77" s="179" t="s">
        <v>2873</v>
      </c>
      <c r="M77" s="179"/>
    </row>
    <row r="78" spans="1:13" ht="208.5" customHeight="1">
      <c r="A78" s="85" t="s">
        <v>3152</v>
      </c>
      <c r="B78" s="85" t="s">
        <v>2826</v>
      </c>
      <c r="C78" s="171" t="s">
        <v>3200</v>
      </c>
      <c r="D78" s="85" t="s">
        <v>94</v>
      </c>
      <c r="E78" s="85" t="s">
        <v>2851</v>
      </c>
      <c r="F78" s="167" t="s">
        <v>3201</v>
      </c>
      <c r="G78" s="172" t="s">
        <v>3202</v>
      </c>
      <c r="H78" s="85" t="s">
        <v>24</v>
      </c>
      <c r="I78" s="85" t="s">
        <v>24</v>
      </c>
      <c r="J78" s="173" t="s">
        <v>1527</v>
      </c>
      <c r="K78" s="176" t="s">
        <v>2562</v>
      </c>
      <c r="L78" s="177" t="s">
        <v>3203</v>
      </c>
      <c r="M78" s="85"/>
    </row>
    <row r="79" spans="1:13" ht="208.5" customHeight="1">
      <c r="A79" s="85" t="s">
        <v>3152</v>
      </c>
      <c r="B79" s="85" t="s">
        <v>3204</v>
      </c>
      <c r="C79" s="171" t="s">
        <v>3205</v>
      </c>
      <c r="D79" s="85" t="s">
        <v>94</v>
      </c>
      <c r="E79" s="85" t="s">
        <v>2851</v>
      </c>
      <c r="F79" s="167" t="s">
        <v>3206</v>
      </c>
      <c r="G79" s="172" t="s">
        <v>3207</v>
      </c>
      <c r="H79" s="85" t="s">
        <v>24</v>
      </c>
      <c r="I79" s="85" t="s">
        <v>24</v>
      </c>
      <c r="J79" s="173" t="s">
        <v>1527</v>
      </c>
      <c r="K79" s="176" t="s">
        <v>2562</v>
      </c>
      <c r="L79" s="177" t="s">
        <v>3208</v>
      </c>
      <c r="M79" s="85"/>
    </row>
    <row r="80" spans="1:13" ht="208.5" customHeight="1">
      <c r="A80" s="85" t="s">
        <v>3209</v>
      </c>
      <c r="B80" s="85" t="s">
        <v>3210</v>
      </c>
      <c r="C80" s="171" t="s">
        <v>3211</v>
      </c>
      <c r="D80" s="85" t="s">
        <v>94</v>
      </c>
      <c r="E80" s="85" t="s">
        <v>2851</v>
      </c>
      <c r="F80" s="167" t="s">
        <v>3212</v>
      </c>
      <c r="G80" s="172" t="s">
        <v>3213</v>
      </c>
      <c r="H80" s="85" t="s">
        <v>24</v>
      </c>
      <c r="I80" s="85" t="s">
        <v>24</v>
      </c>
      <c r="J80" s="173" t="s">
        <v>1527</v>
      </c>
      <c r="K80" s="176" t="s">
        <v>2562</v>
      </c>
      <c r="L80" s="175"/>
      <c r="M80" s="85"/>
    </row>
    <row r="81" spans="1:13" ht="208.5" customHeight="1">
      <c r="A81" s="85" t="s">
        <v>3209</v>
      </c>
      <c r="B81" s="85" t="s">
        <v>3214</v>
      </c>
      <c r="C81" s="171" t="s">
        <v>3215</v>
      </c>
      <c r="D81" s="85" t="s">
        <v>94</v>
      </c>
      <c r="E81" s="85" t="s">
        <v>2851</v>
      </c>
      <c r="F81" s="167" t="s">
        <v>3216</v>
      </c>
      <c r="G81" s="172" t="s">
        <v>3217</v>
      </c>
      <c r="H81" s="85" t="s">
        <v>24</v>
      </c>
      <c r="I81" s="85" t="s">
        <v>24</v>
      </c>
      <c r="J81" s="173" t="s">
        <v>1527</v>
      </c>
      <c r="K81" s="176" t="s">
        <v>2562</v>
      </c>
      <c r="L81" s="175"/>
      <c r="M81" s="85"/>
    </row>
    <row r="82" spans="1:13" ht="208.5" customHeight="1">
      <c r="A82" s="85" t="s">
        <v>3209</v>
      </c>
      <c r="B82" s="85" t="s">
        <v>3218</v>
      </c>
      <c r="C82" s="171" t="s">
        <v>3219</v>
      </c>
      <c r="D82" s="85" t="s">
        <v>94</v>
      </c>
      <c r="E82" s="85" t="s">
        <v>2851</v>
      </c>
      <c r="F82" s="167" t="s">
        <v>3220</v>
      </c>
      <c r="G82" s="172" t="s">
        <v>3221</v>
      </c>
      <c r="H82" s="85" t="s">
        <v>24</v>
      </c>
      <c r="I82" s="85" t="s">
        <v>24</v>
      </c>
      <c r="J82" s="173" t="s">
        <v>1527</v>
      </c>
      <c r="K82" s="176" t="s">
        <v>2562</v>
      </c>
      <c r="L82" s="175"/>
      <c r="M82" s="85"/>
    </row>
    <row r="83" spans="1:13" ht="208.5" customHeight="1">
      <c r="A83" s="85" t="s">
        <v>3209</v>
      </c>
      <c r="B83" s="85" t="s">
        <v>3222</v>
      </c>
      <c r="C83" s="171" t="s">
        <v>3223</v>
      </c>
      <c r="D83" s="85" t="s">
        <v>94</v>
      </c>
      <c r="E83" s="85" t="s">
        <v>2851</v>
      </c>
      <c r="F83" s="167" t="s">
        <v>3224</v>
      </c>
      <c r="G83" s="172" t="s">
        <v>3225</v>
      </c>
      <c r="H83" s="85" t="s">
        <v>24</v>
      </c>
      <c r="I83" s="85" t="s">
        <v>24</v>
      </c>
      <c r="J83" s="173" t="s">
        <v>1527</v>
      </c>
      <c r="K83" s="176" t="s">
        <v>2562</v>
      </c>
      <c r="L83" s="175"/>
      <c r="M83" s="85"/>
    </row>
    <row r="84" spans="1:13" ht="208.5" customHeight="1">
      <c r="A84" s="85" t="s">
        <v>3209</v>
      </c>
      <c r="B84" s="85" t="s">
        <v>3226</v>
      </c>
      <c r="C84" s="171" t="s">
        <v>3227</v>
      </c>
      <c r="D84" s="85" t="s">
        <v>94</v>
      </c>
      <c r="E84" s="85" t="s">
        <v>2851</v>
      </c>
      <c r="F84" s="167" t="s">
        <v>3228</v>
      </c>
      <c r="G84" s="172" t="s">
        <v>3229</v>
      </c>
      <c r="H84" s="85" t="s">
        <v>24</v>
      </c>
      <c r="I84" s="85" t="s">
        <v>24</v>
      </c>
      <c r="J84" s="173" t="s">
        <v>1527</v>
      </c>
      <c r="K84" s="176" t="s">
        <v>2562</v>
      </c>
      <c r="L84" s="175"/>
      <c r="M84" s="85"/>
    </row>
    <row r="85" spans="1:13" ht="208.5" customHeight="1">
      <c r="A85" s="85" t="s">
        <v>3209</v>
      </c>
      <c r="B85" s="85" t="s">
        <v>3230</v>
      </c>
      <c r="C85" s="171" t="s">
        <v>3231</v>
      </c>
      <c r="D85" s="85" t="s">
        <v>94</v>
      </c>
      <c r="E85" s="85" t="s">
        <v>2851</v>
      </c>
      <c r="F85" s="167" t="s">
        <v>3232</v>
      </c>
      <c r="G85" s="172" t="s">
        <v>3233</v>
      </c>
      <c r="H85" s="85" t="s">
        <v>24</v>
      </c>
      <c r="I85" s="85" t="s">
        <v>24</v>
      </c>
      <c r="J85" s="173" t="s">
        <v>1527</v>
      </c>
      <c r="K85" s="176" t="s">
        <v>2562</v>
      </c>
      <c r="L85" s="175"/>
      <c r="M85" s="85"/>
    </row>
    <row r="86" spans="1:13" ht="208.5" customHeight="1">
      <c r="A86" s="85" t="s">
        <v>3209</v>
      </c>
      <c r="B86" s="85" t="s">
        <v>3234</v>
      </c>
      <c r="C86" s="171" t="s">
        <v>3235</v>
      </c>
      <c r="D86" s="85" t="s">
        <v>94</v>
      </c>
      <c r="E86" s="85" t="s">
        <v>2851</v>
      </c>
      <c r="F86" s="167" t="s">
        <v>3236</v>
      </c>
      <c r="G86" s="172" t="s">
        <v>3237</v>
      </c>
      <c r="H86" s="85" t="s">
        <v>24</v>
      </c>
      <c r="I86" s="85" t="s">
        <v>24</v>
      </c>
      <c r="J86" s="173" t="s">
        <v>1527</v>
      </c>
      <c r="K86" s="176" t="s">
        <v>2562</v>
      </c>
      <c r="L86" s="175"/>
      <c r="M86" s="85"/>
    </row>
    <row r="87" spans="1:13" ht="208.5" customHeight="1">
      <c r="A87" s="85" t="s">
        <v>3209</v>
      </c>
      <c r="B87" s="85" t="s">
        <v>3238</v>
      </c>
      <c r="C87" s="171" t="s">
        <v>3239</v>
      </c>
      <c r="D87" s="85" t="s">
        <v>94</v>
      </c>
      <c r="E87" s="85" t="s">
        <v>2851</v>
      </c>
      <c r="F87" s="167" t="s">
        <v>3240</v>
      </c>
      <c r="G87" s="172" t="s">
        <v>3241</v>
      </c>
      <c r="H87" s="85" t="s">
        <v>24</v>
      </c>
      <c r="I87" s="85" t="s">
        <v>24</v>
      </c>
      <c r="J87" s="173" t="s">
        <v>1527</v>
      </c>
      <c r="K87" s="176" t="s">
        <v>2562</v>
      </c>
      <c r="L87" s="175"/>
      <c r="M87" s="85"/>
    </row>
    <row r="88" spans="1:13" ht="208.5" customHeight="1">
      <c r="A88" s="85" t="s">
        <v>3209</v>
      </c>
      <c r="B88" s="85" t="s">
        <v>3242</v>
      </c>
      <c r="C88" s="171" t="s">
        <v>3243</v>
      </c>
      <c r="D88" s="85" t="s">
        <v>94</v>
      </c>
      <c r="E88" s="85" t="s">
        <v>2851</v>
      </c>
      <c r="F88" s="167" t="s">
        <v>3244</v>
      </c>
      <c r="G88" s="172" t="s">
        <v>3245</v>
      </c>
      <c r="H88" s="85" t="s">
        <v>24</v>
      </c>
      <c r="I88" s="85" t="s">
        <v>24</v>
      </c>
      <c r="J88" s="173" t="s">
        <v>1527</v>
      </c>
      <c r="K88" s="176" t="s">
        <v>2562</v>
      </c>
      <c r="L88" s="175"/>
      <c r="M88" s="85"/>
    </row>
    <row r="89" spans="1:13" ht="208.5" customHeight="1">
      <c r="A89" s="85" t="s">
        <v>3209</v>
      </c>
      <c r="B89" s="85" t="s">
        <v>3246</v>
      </c>
      <c r="C89" s="171" t="s">
        <v>3247</v>
      </c>
      <c r="D89" s="85" t="s">
        <v>94</v>
      </c>
      <c r="E89" s="85" t="s">
        <v>2851</v>
      </c>
      <c r="F89" s="167" t="s">
        <v>3248</v>
      </c>
      <c r="G89" s="172" t="s">
        <v>3249</v>
      </c>
      <c r="H89" s="85" t="s">
        <v>24</v>
      </c>
      <c r="I89" s="85" t="s">
        <v>24</v>
      </c>
      <c r="J89" s="173" t="s">
        <v>1527</v>
      </c>
      <c r="K89" s="176" t="s">
        <v>2562</v>
      </c>
      <c r="L89" s="175"/>
      <c r="M89" s="85"/>
    </row>
    <row r="90" spans="1:13" ht="208.5" customHeight="1">
      <c r="A90" s="85" t="s">
        <v>3250</v>
      </c>
      <c r="B90" s="85" t="s">
        <v>3210</v>
      </c>
      <c r="C90" s="171" t="s">
        <v>3251</v>
      </c>
      <c r="D90" s="85" t="s">
        <v>94</v>
      </c>
      <c r="E90" s="85" t="s">
        <v>2851</v>
      </c>
      <c r="F90" s="167" t="s">
        <v>3252</v>
      </c>
      <c r="G90" s="172" t="s">
        <v>3253</v>
      </c>
      <c r="H90" s="85" t="s">
        <v>24</v>
      </c>
      <c r="I90" s="85" t="s">
        <v>24</v>
      </c>
      <c r="J90" s="173" t="s">
        <v>1527</v>
      </c>
      <c r="K90" s="176" t="s">
        <v>2562</v>
      </c>
      <c r="L90" s="175"/>
      <c r="M90" s="85"/>
    </row>
    <row r="91" spans="1:13" ht="208.5" customHeight="1">
      <c r="A91" s="85" t="s">
        <v>3250</v>
      </c>
      <c r="B91" s="85" t="s">
        <v>3214</v>
      </c>
      <c r="C91" s="171" t="s">
        <v>3254</v>
      </c>
      <c r="D91" s="85" t="s">
        <v>94</v>
      </c>
      <c r="E91" s="85" t="s">
        <v>2851</v>
      </c>
      <c r="F91" s="167" t="s">
        <v>3255</v>
      </c>
      <c r="G91" s="172" t="s">
        <v>3256</v>
      </c>
      <c r="H91" s="85" t="s">
        <v>24</v>
      </c>
      <c r="I91" s="85" t="s">
        <v>24</v>
      </c>
      <c r="J91" s="173" t="s">
        <v>1527</v>
      </c>
      <c r="K91" s="176" t="s">
        <v>2562</v>
      </c>
      <c r="L91" s="175"/>
      <c r="M91" s="85"/>
    </row>
    <row r="92" spans="1:13" ht="208.5" customHeight="1">
      <c r="A92" s="85" t="s">
        <v>3250</v>
      </c>
      <c r="B92" s="85" t="s">
        <v>3218</v>
      </c>
      <c r="C92" s="171" t="s">
        <v>3257</v>
      </c>
      <c r="D92" s="85" t="s">
        <v>94</v>
      </c>
      <c r="E92" s="85" t="s">
        <v>2851</v>
      </c>
      <c r="F92" s="167" t="s">
        <v>3258</v>
      </c>
      <c r="G92" s="172" t="s">
        <v>3259</v>
      </c>
      <c r="H92" s="85" t="s">
        <v>24</v>
      </c>
      <c r="I92" s="85" t="s">
        <v>24</v>
      </c>
      <c r="J92" s="173" t="s">
        <v>1527</v>
      </c>
      <c r="K92" s="176" t="s">
        <v>2562</v>
      </c>
      <c r="L92" s="175"/>
      <c r="M92" s="85"/>
    </row>
    <row r="93" spans="1:13" ht="208.5" customHeight="1">
      <c r="A93" s="85" t="s">
        <v>3250</v>
      </c>
      <c r="B93" s="85" t="s">
        <v>3222</v>
      </c>
      <c r="C93" s="171" t="s">
        <v>3260</v>
      </c>
      <c r="D93" s="85" t="s">
        <v>94</v>
      </c>
      <c r="E93" s="85" t="s">
        <v>2851</v>
      </c>
      <c r="F93" s="167" t="s">
        <v>3261</v>
      </c>
      <c r="G93" s="172" t="s">
        <v>3262</v>
      </c>
      <c r="H93" s="85" t="s">
        <v>24</v>
      </c>
      <c r="I93" s="85" t="s">
        <v>24</v>
      </c>
      <c r="J93" s="173" t="s">
        <v>1527</v>
      </c>
      <c r="K93" s="176" t="s">
        <v>2562</v>
      </c>
      <c r="L93" s="175"/>
      <c r="M93" s="85"/>
    </row>
    <row r="94" spans="1:13" ht="208.5" customHeight="1">
      <c r="A94" s="85" t="s">
        <v>3250</v>
      </c>
      <c r="B94" s="85" t="s">
        <v>3226</v>
      </c>
      <c r="C94" s="171" t="s">
        <v>3263</v>
      </c>
      <c r="D94" s="85" t="s">
        <v>94</v>
      </c>
      <c r="E94" s="85" t="s">
        <v>2851</v>
      </c>
      <c r="F94" s="167" t="s">
        <v>3264</v>
      </c>
      <c r="G94" s="172" t="s">
        <v>3265</v>
      </c>
      <c r="H94" s="85" t="s">
        <v>24</v>
      </c>
      <c r="I94" s="85" t="s">
        <v>24</v>
      </c>
      <c r="J94" s="173" t="s">
        <v>1527</v>
      </c>
      <c r="K94" s="176" t="s">
        <v>2562</v>
      </c>
      <c r="L94" s="175"/>
      <c r="M94" s="85"/>
    </row>
    <row r="95" spans="1:13" ht="208.5" customHeight="1">
      <c r="A95" s="85" t="s">
        <v>3250</v>
      </c>
      <c r="B95" s="85" t="s">
        <v>3230</v>
      </c>
      <c r="C95" s="171" t="s">
        <v>3266</v>
      </c>
      <c r="D95" s="85" t="s">
        <v>94</v>
      </c>
      <c r="E95" s="85" t="s">
        <v>2851</v>
      </c>
      <c r="F95" s="167" t="s">
        <v>3267</v>
      </c>
      <c r="G95" s="172" t="s">
        <v>3268</v>
      </c>
      <c r="H95" s="85" t="s">
        <v>24</v>
      </c>
      <c r="I95" s="85" t="s">
        <v>24</v>
      </c>
      <c r="J95" s="173" t="s">
        <v>1527</v>
      </c>
      <c r="K95" s="176" t="s">
        <v>2562</v>
      </c>
      <c r="L95" s="175"/>
      <c r="M95" s="85"/>
    </row>
    <row r="96" spans="1:13" ht="208.5" customHeight="1">
      <c r="A96" s="85" t="s">
        <v>3250</v>
      </c>
      <c r="B96" s="85" t="s">
        <v>3234</v>
      </c>
      <c r="C96" s="171" t="s">
        <v>3269</v>
      </c>
      <c r="D96" s="85" t="s">
        <v>94</v>
      </c>
      <c r="E96" s="85" t="s">
        <v>2851</v>
      </c>
      <c r="F96" s="167" t="s">
        <v>3270</v>
      </c>
      <c r="G96" s="172" t="s">
        <v>3271</v>
      </c>
      <c r="H96" s="85" t="s">
        <v>24</v>
      </c>
      <c r="I96" s="85" t="s">
        <v>24</v>
      </c>
      <c r="J96" s="173" t="s">
        <v>1527</v>
      </c>
      <c r="K96" s="176" t="s">
        <v>2562</v>
      </c>
      <c r="L96" s="175"/>
      <c r="M96" s="85"/>
    </row>
    <row r="97" spans="1:13" ht="208.5" customHeight="1">
      <c r="A97" s="85" t="s">
        <v>3250</v>
      </c>
      <c r="B97" s="85" t="s">
        <v>3238</v>
      </c>
      <c r="C97" s="171" t="s">
        <v>3272</v>
      </c>
      <c r="D97" s="85" t="s">
        <v>94</v>
      </c>
      <c r="E97" s="85" t="s">
        <v>2851</v>
      </c>
      <c r="F97" s="167" t="s">
        <v>3273</v>
      </c>
      <c r="G97" s="172" t="s">
        <v>3274</v>
      </c>
      <c r="H97" s="85" t="s">
        <v>24</v>
      </c>
      <c r="I97" s="85" t="s">
        <v>24</v>
      </c>
      <c r="J97" s="173" t="s">
        <v>1527</v>
      </c>
      <c r="K97" s="176" t="s">
        <v>2562</v>
      </c>
      <c r="L97" s="175"/>
      <c r="M97" s="85"/>
    </row>
    <row r="98" spans="1:13" ht="208.5" customHeight="1">
      <c r="A98" s="85" t="s">
        <v>3250</v>
      </c>
      <c r="B98" s="85" t="s">
        <v>3242</v>
      </c>
      <c r="C98" s="171" t="s">
        <v>3275</v>
      </c>
      <c r="D98" s="85" t="s">
        <v>94</v>
      </c>
      <c r="E98" s="85" t="s">
        <v>2851</v>
      </c>
      <c r="F98" s="167" t="s">
        <v>3276</v>
      </c>
      <c r="G98" s="172" t="s">
        <v>3277</v>
      </c>
      <c r="H98" s="85" t="s">
        <v>24</v>
      </c>
      <c r="I98" s="85" t="s">
        <v>24</v>
      </c>
      <c r="J98" s="173" t="s">
        <v>1527</v>
      </c>
      <c r="K98" s="176" t="s">
        <v>2562</v>
      </c>
      <c r="L98" s="175"/>
      <c r="M98" s="85"/>
    </row>
    <row r="99" spans="1:13" ht="208.5" customHeight="1">
      <c r="A99" s="85" t="s">
        <v>3250</v>
      </c>
      <c r="B99" s="85" t="s">
        <v>3246</v>
      </c>
      <c r="C99" s="171" t="s">
        <v>3278</v>
      </c>
      <c r="D99" s="85" t="s">
        <v>94</v>
      </c>
      <c r="E99" s="85" t="s">
        <v>2851</v>
      </c>
      <c r="F99" s="167" t="s">
        <v>3279</v>
      </c>
      <c r="G99" s="172" t="s">
        <v>3280</v>
      </c>
      <c r="H99" s="85" t="s">
        <v>24</v>
      </c>
      <c r="I99" s="85" t="s">
        <v>24</v>
      </c>
      <c r="J99" s="184" t="s">
        <v>1527</v>
      </c>
      <c r="K99" s="185" t="s">
        <v>2562</v>
      </c>
      <c r="L99" s="175"/>
      <c r="M99" s="8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25D6B-99A8-448C-916A-0790B1CCBB60}">
  <dimension ref="A1:E38"/>
  <sheetViews>
    <sheetView topLeftCell="B33" workbookViewId="0">
      <selection activeCell="C13" sqref="C13"/>
    </sheetView>
  </sheetViews>
  <sheetFormatPr defaultRowHeight="15"/>
  <cols>
    <col min="1" max="1" width="58.75" style="14" customWidth="1"/>
    <col min="2" max="2" width="71.125" style="14" customWidth="1"/>
    <col min="3" max="3" width="62.625" style="14" customWidth="1"/>
    <col min="4" max="4" width="12.875" style="29" customWidth="1"/>
    <col min="5" max="5" width="9" style="20"/>
    <col min="6" max="16384" width="9" style="11"/>
  </cols>
  <sheetData>
    <row r="1" spans="1:5">
      <c r="A1" s="15" t="s">
        <v>3281</v>
      </c>
      <c r="B1" s="15" t="s">
        <v>3282</v>
      </c>
      <c r="C1" s="15" t="s">
        <v>3283</v>
      </c>
      <c r="D1" s="23" t="s">
        <v>84</v>
      </c>
      <c r="E1" s="22" t="s">
        <v>3284</v>
      </c>
    </row>
    <row r="2" spans="1:5" ht="60.75">
      <c r="A2" s="12" t="s">
        <v>3285</v>
      </c>
      <c r="B2" s="12" t="s">
        <v>3286</v>
      </c>
      <c r="C2" s="12" t="s">
        <v>3287</v>
      </c>
      <c r="D2" s="25" t="s">
        <v>3288</v>
      </c>
      <c r="E2" s="24"/>
    </row>
    <row r="3" spans="1:5" ht="52.5">
      <c r="A3" s="12" t="s">
        <v>392</v>
      </c>
      <c r="B3" s="12" t="s">
        <v>3289</v>
      </c>
      <c r="C3" s="21" t="s">
        <v>3290</v>
      </c>
      <c r="D3" s="25"/>
      <c r="E3" s="24"/>
    </row>
    <row r="4" spans="1:5" ht="45.75">
      <c r="A4" s="12" t="s">
        <v>1013</v>
      </c>
      <c r="B4" s="12" t="s">
        <v>3291</v>
      </c>
      <c r="C4" s="12" t="s">
        <v>3292</v>
      </c>
      <c r="D4" s="25"/>
      <c r="E4" s="24"/>
    </row>
    <row r="5" spans="1:5" ht="45.75">
      <c r="A5" s="12" t="s">
        <v>1184</v>
      </c>
      <c r="B5" s="12" t="s">
        <v>3293</v>
      </c>
      <c r="C5" s="12" t="s">
        <v>3294</v>
      </c>
      <c r="D5" s="25"/>
      <c r="E5" s="24"/>
    </row>
    <row r="6" spans="1:5" ht="45.75">
      <c r="A6" s="12" t="s">
        <v>720</v>
      </c>
      <c r="B6" s="12" t="s">
        <v>3295</v>
      </c>
      <c r="C6" s="12" t="s">
        <v>3296</v>
      </c>
      <c r="D6" s="25"/>
      <c r="E6" s="24"/>
    </row>
    <row r="7" spans="1:5" ht="45.75">
      <c r="A7" s="12" t="s">
        <v>1725</v>
      </c>
      <c r="B7" s="12" t="s">
        <v>3297</v>
      </c>
      <c r="C7" s="12" t="s">
        <v>3298</v>
      </c>
      <c r="D7" s="25"/>
      <c r="E7" s="24"/>
    </row>
    <row r="8" spans="1:5" ht="30.75">
      <c r="A8" s="12" t="s">
        <v>3299</v>
      </c>
      <c r="B8" s="12"/>
      <c r="C8" s="12" t="s">
        <v>3300</v>
      </c>
      <c r="D8" s="25"/>
      <c r="E8" s="24" t="s">
        <v>24</v>
      </c>
    </row>
    <row r="9" spans="1:5" ht="30.75">
      <c r="A9" s="12" t="s">
        <v>1431</v>
      </c>
      <c r="B9" s="12" t="s">
        <v>3301</v>
      </c>
      <c r="C9" s="12" t="s">
        <v>3302</v>
      </c>
      <c r="D9" s="25"/>
      <c r="E9" s="24"/>
    </row>
    <row r="10" spans="1:5" ht="45.75">
      <c r="A10" s="12" t="s">
        <v>617</v>
      </c>
      <c r="B10" s="12" t="s">
        <v>3303</v>
      </c>
      <c r="C10" s="12" t="s">
        <v>3304</v>
      </c>
      <c r="D10" s="25" t="s">
        <v>3288</v>
      </c>
      <c r="E10" s="24"/>
    </row>
    <row r="11" spans="1:5" ht="91.5">
      <c r="A11" s="12" t="s">
        <v>665</v>
      </c>
      <c r="B11" s="12" t="s">
        <v>3305</v>
      </c>
      <c r="C11" s="12" t="s">
        <v>3306</v>
      </c>
      <c r="D11" s="25" t="s">
        <v>3288</v>
      </c>
      <c r="E11" s="24"/>
    </row>
    <row r="12" spans="1:5" ht="76.5">
      <c r="A12" s="12" t="s">
        <v>691</v>
      </c>
      <c r="B12" s="12" t="s">
        <v>3307</v>
      </c>
      <c r="C12" s="12" t="s">
        <v>3308</v>
      </c>
      <c r="D12" s="25" t="s">
        <v>3288</v>
      </c>
      <c r="E12" s="24"/>
    </row>
    <row r="13" spans="1:5" ht="259.5">
      <c r="A13" s="12" t="s">
        <v>3309</v>
      </c>
      <c r="B13" s="12" t="s">
        <v>3310</v>
      </c>
      <c r="C13" s="12" t="s">
        <v>3311</v>
      </c>
      <c r="D13" s="25" t="s">
        <v>3312</v>
      </c>
      <c r="E13" s="24" t="s">
        <v>337</v>
      </c>
    </row>
    <row r="14" spans="1:5" ht="76.5">
      <c r="A14" s="12" t="s">
        <v>696</v>
      </c>
      <c r="B14" s="12" t="s">
        <v>3313</v>
      </c>
      <c r="C14" s="12" t="s">
        <v>3314</v>
      </c>
      <c r="D14" s="25" t="s">
        <v>3288</v>
      </c>
      <c r="E14" s="24" t="s">
        <v>24</v>
      </c>
    </row>
    <row r="15" spans="1:5" ht="30.75">
      <c r="A15" s="12" t="s">
        <v>957</v>
      </c>
      <c r="B15" s="12" t="s">
        <v>3315</v>
      </c>
      <c r="C15" s="12" t="s">
        <v>3316</v>
      </c>
      <c r="D15" s="25" t="s">
        <v>3288</v>
      </c>
      <c r="E15" s="24"/>
    </row>
    <row r="16" spans="1:5" ht="30.75">
      <c r="A16" s="12" t="s">
        <v>1029</v>
      </c>
      <c r="B16" s="12" t="s">
        <v>3317</v>
      </c>
      <c r="C16" s="12" t="s">
        <v>3318</v>
      </c>
      <c r="D16" s="25" t="s">
        <v>3319</v>
      </c>
      <c r="E16" s="24"/>
    </row>
    <row r="17" spans="1:5" ht="152.25">
      <c r="A17" s="12" t="s">
        <v>1058</v>
      </c>
      <c r="B17" s="12" t="s">
        <v>3320</v>
      </c>
      <c r="C17" s="12" t="s">
        <v>3321</v>
      </c>
      <c r="D17" s="25" t="s">
        <v>3288</v>
      </c>
      <c r="E17" s="24"/>
    </row>
    <row r="18" spans="1:5" ht="45.75">
      <c r="A18" s="12" t="s">
        <v>1088</v>
      </c>
      <c r="B18" s="12" t="s">
        <v>3322</v>
      </c>
      <c r="C18" s="12" t="s">
        <v>3323</v>
      </c>
      <c r="D18" s="25" t="s">
        <v>3288</v>
      </c>
      <c r="E18" s="24" t="s">
        <v>24</v>
      </c>
    </row>
    <row r="19" spans="1:5" ht="76.5">
      <c r="A19" s="12" t="s">
        <v>1107</v>
      </c>
      <c r="B19" s="12" t="s">
        <v>3324</v>
      </c>
      <c r="C19" s="12" t="s">
        <v>3325</v>
      </c>
      <c r="D19" s="25" t="s">
        <v>3288</v>
      </c>
      <c r="E19" s="24"/>
    </row>
    <row r="20" spans="1:5" ht="30.75">
      <c r="A20" s="12" t="s">
        <v>3326</v>
      </c>
      <c r="B20" s="12" t="s">
        <v>3327</v>
      </c>
      <c r="C20" s="12" t="s">
        <v>3328</v>
      </c>
      <c r="D20" s="25" t="s">
        <v>3329</v>
      </c>
      <c r="E20" s="24"/>
    </row>
    <row r="21" spans="1:5" ht="30.75">
      <c r="A21" s="12" t="s">
        <v>1239</v>
      </c>
      <c r="B21" s="12" t="s">
        <v>3330</v>
      </c>
      <c r="C21" s="12" t="s">
        <v>3328</v>
      </c>
      <c r="D21" s="26" t="s">
        <v>3329</v>
      </c>
      <c r="E21" s="24"/>
    </row>
    <row r="22" spans="1:5" ht="30.75">
      <c r="A22" s="12" t="s">
        <v>3331</v>
      </c>
      <c r="B22" s="12" t="s">
        <v>3332</v>
      </c>
      <c r="C22" s="12" t="s">
        <v>3328</v>
      </c>
      <c r="D22" s="25" t="s">
        <v>3329</v>
      </c>
      <c r="E22" s="24"/>
    </row>
    <row r="23" spans="1:5">
      <c r="A23" s="12" t="s">
        <v>1314</v>
      </c>
      <c r="B23" s="12" t="s">
        <v>3333</v>
      </c>
      <c r="C23" s="12" t="s">
        <v>3334</v>
      </c>
      <c r="D23" s="25" t="s">
        <v>3288</v>
      </c>
      <c r="E23" s="24"/>
    </row>
    <row r="24" spans="1:5">
      <c r="A24" s="12" t="s">
        <v>1320</v>
      </c>
      <c r="B24" s="12" t="s">
        <v>3335</v>
      </c>
      <c r="C24" s="12" t="s">
        <v>3334</v>
      </c>
      <c r="D24" s="25" t="s">
        <v>3288</v>
      </c>
      <c r="E24" s="24"/>
    </row>
    <row r="25" spans="1:5" ht="76.5">
      <c r="A25" s="12" t="s">
        <v>1007</v>
      </c>
      <c r="B25" s="12" t="s">
        <v>3336</v>
      </c>
      <c r="C25" s="13" t="s">
        <v>3337</v>
      </c>
      <c r="D25" s="25" t="s">
        <v>3338</v>
      </c>
      <c r="E25" s="24" t="s">
        <v>24</v>
      </c>
    </row>
    <row r="26" spans="1:5" ht="30.75">
      <c r="A26" s="12" t="s">
        <v>3339</v>
      </c>
      <c r="B26" s="12" t="s">
        <v>3340</v>
      </c>
      <c r="C26" s="12" t="s">
        <v>3328</v>
      </c>
      <c r="D26" s="25" t="s">
        <v>3329</v>
      </c>
      <c r="E26" s="24"/>
    </row>
    <row r="27" spans="1:5" ht="91.5">
      <c r="A27" s="12" t="s">
        <v>3341</v>
      </c>
      <c r="B27" s="12" t="s">
        <v>3342</v>
      </c>
      <c r="C27" s="12" t="s">
        <v>3343</v>
      </c>
      <c r="D27" s="25" t="s">
        <v>3329</v>
      </c>
      <c r="E27" s="24"/>
    </row>
    <row r="28" spans="1:5" ht="91.5">
      <c r="A28" s="12" t="s">
        <v>1040</v>
      </c>
      <c r="B28" s="12" t="s">
        <v>3344</v>
      </c>
      <c r="C28" s="12" t="s">
        <v>3345</v>
      </c>
      <c r="D28" s="25" t="s">
        <v>3288</v>
      </c>
      <c r="E28" s="30" t="s">
        <v>24</v>
      </c>
    </row>
    <row r="29" spans="1:5" ht="30.75">
      <c r="A29" s="12" t="s">
        <v>1096</v>
      </c>
      <c r="B29" s="12" t="s">
        <v>3346</v>
      </c>
      <c r="C29" s="13" t="s">
        <v>3347</v>
      </c>
      <c r="D29" s="25" t="s">
        <v>3319</v>
      </c>
      <c r="E29" s="24"/>
    </row>
    <row r="30" spans="1:5" ht="27">
      <c r="A30" s="12" t="s">
        <v>1180</v>
      </c>
      <c r="B30" s="12" t="s">
        <v>3348</v>
      </c>
      <c r="C30" s="12" t="s">
        <v>3349</v>
      </c>
      <c r="D30" s="27" t="s">
        <v>3350</v>
      </c>
      <c r="E30" s="24"/>
    </row>
    <row r="31" spans="1:5" ht="76.5">
      <c r="A31" s="12" t="s">
        <v>1199</v>
      </c>
      <c r="B31" s="12" t="s">
        <v>3351</v>
      </c>
      <c r="C31" s="12" t="s">
        <v>3325</v>
      </c>
      <c r="D31" s="25" t="s">
        <v>3288</v>
      </c>
      <c r="E31" s="24"/>
    </row>
    <row r="32" spans="1:5" ht="321">
      <c r="A32" s="12" t="s">
        <v>729</v>
      </c>
      <c r="B32" s="12" t="s">
        <v>3352</v>
      </c>
      <c r="C32" s="12" t="s">
        <v>3353</v>
      </c>
      <c r="D32" s="25" t="s">
        <v>3288</v>
      </c>
      <c r="E32" s="24" t="s">
        <v>24</v>
      </c>
    </row>
    <row r="33" spans="1:5" ht="409.6">
      <c r="A33" s="19" t="s">
        <v>1500</v>
      </c>
      <c r="B33" s="19" t="s">
        <v>3354</v>
      </c>
      <c r="C33" s="19" t="s">
        <v>3355</v>
      </c>
      <c r="D33" s="28" t="s">
        <v>3319</v>
      </c>
      <c r="E33" s="24"/>
    </row>
    <row r="34" spans="1:5" ht="45.75">
      <c r="A34" s="17" t="s">
        <v>1572</v>
      </c>
      <c r="B34" s="16" t="s">
        <v>3356</v>
      </c>
      <c r="C34" s="12" t="s">
        <v>3357</v>
      </c>
      <c r="D34" s="26" t="s">
        <v>3350</v>
      </c>
      <c r="E34" s="24"/>
    </row>
    <row r="35" spans="1:5" ht="30.75">
      <c r="A35" s="18" t="s">
        <v>1566</v>
      </c>
      <c r="B35" s="16" t="s">
        <v>3358</v>
      </c>
      <c r="C35" s="12" t="s">
        <v>3359</v>
      </c>
      <c r="D35" s="25" t="s">
        <v>3360</v>
      </c>
      <c r="E35" s="24"/>
    </row>
    <row r="38" spans="1:5">
      <c r="A38" s="1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文件" ma:contentTypeID="0x0101002A275ED96231204897BD315AC0CD5AA7" ma:contentTypeVersion="10" ma:contentTypeDescription="建立新的文件。" ma:contentTypeScope="" ma:versionID="2f3ca112731cc02655082529df5295d2">
  <xsd:schema xmlns:xsd="http://www.w3.org/2001/XMLSchema" xmlns:xs="http://www.w3.org/2001/XMLSchema" xmlns:p="http://schemas.microsoft.com/office/2006/metadata/properties" xmlns:ns2="ed545abf-02e6-498d-8748-8eff89cec19d" xmlns:ns3="7044ffc2-f53d-432d-91ac-bf7dda67558a" targetNamespace="http://schemas.microsoft.com/office/2006/metadata/properties" ma:root="true" ma:fieldsID="d917599681e96f2f4257e1bcc0a13359" ns2:_="" ns3:_="">
    <xsd:import namespace="ed545abf-02e6-498d-8748-8eff89cec19d"/>
    <xsd:import namespace="7044ffc2-f53d-432d-91ac-bf7dda67558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545abf-02e6-498d-8748-8eff89cec1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44ffc2-f53d-432d-91ac-bf7dda67558a" elementFormDefault="qualified">
    <xsd:import namespace="http://schemas.microsoft.com/office/2006/documentManagement/types"/>
    <xsd:import namespace="http://schemas.microsoft.com/office/infopath/2007/PartnerControls"/>
    <xsd:element name="SharedWithUsers" ma:index="12" nillable="true" ma:displayName="共用對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用詳細資料"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162A36-4086-4EDA-BE89-2D5EBE367C5D}"/>
</file>

<file path=customXml/itemProps2.xml><?xml version="1.0" encoding="utf-8"?>
<ds:datastoreItem xmlns:ds="http://schemas.openxmlformats.org/officeDocument/2006/customXml" ds:itemID="{CE0C4A9D-D5D9-41F1-9C31-7644C98F8CBB}"/>
</file>

<file path=customXml/itemProps3.xml><?xml version="1.0" encoding="utf-8"?>
<ds:datastoreItem xmlns:ds="http://schemas.openxmlformats.org/officeDocument/2006/customXml" ds:itemID="{5DB68D0A-72FD-45C5-972E-BCCB48CF59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linus_chen 陳右國</dc:creator>
  <cp:keywords/>
  <dc:description/>
  <cp:lastModifiedBy/>
  <cp:revision/>
  <dcterms:created xsi:type="dcterms:W3CDTF">2021-05-05T05:31:18Z</dcterms:created>
  <dcterms:modified xsi:type="dcterms:W3CDTF">2026-03-26T00:55:49Z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0x0101002A275ED96231204897BD315AC0CD5AA7</vt:lpwstr>
  </property>
</Properties>
</file>